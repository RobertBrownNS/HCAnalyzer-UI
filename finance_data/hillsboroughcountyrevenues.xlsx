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loridalegislature-my.sharepoint.com/personal/ocain_steve_leg_state_fl_us/Documents/Documents/EDR/AFR Data/EDR County Revenues/"/>
    </mc:Choice>
  </mc:AlternateContent>
  <xr:revisionPtr revIDLastSave="455" documentId="11_937ED0BAF274FE1C025B001A009DE2431AEE1D37" xr6:coauthVersionLast="47" xr6:coauthVersionMax="47" xr10:uidLastSave="{E5B2F6A1-81DD-4BF3-B7E7-B62845EA40ED}"/>
  <bookViews>
    <workbookView xWindow="-120" yWindow="-120" windowWidth="29040" windowHeight="15720" tabRatio="786" xr2:uid="{00000000-000D-0000-FFFF-FFFF00000000}"/>
  </bookViews>
  <sheets>
    <sheet name="2025" sheetId="53" r:id="rId1"/>
    <sheet name="2024" sheetId="52" r:id="rId2"/>
    <sheet name="2023" sheetId="51" r:id="rId3"/>
    <sheet name="2022" sheetId="50" r:id="rId4"/>
    <sheet name="2021" sheetId="49" r:id="rId5"/>
    <sheet name="2020" sheetId="47" r:id="rId6"/>
    <sheet name="2019" sheetId="46" r:id="rId7"/>
    <sheet name="2018" sheetId="45" r:id="rId8"/>
    <sheet name="2017" sheetId="44" r:id="rId9"/>
    <sheet name="2016" sheetId="43" r:id="rId10"/>
    <sheet name="2015" sheetId="40" r:id="rId11"/>
    <sheet name="2014" sheetId="39" r:id="rId12"/>
    <sheet name="2013" sheetId="38" r:id="rId13"/>
    <sheet name="2012" sheetId="37" r:id="rId14"/>
    <sheet name="2011" sheetId="35" r:id="rId15"/>
    <sheet name="2010" sheetId="34" r:id="rId16"/>
    <sheet name="2009" sheetId="33" r:id="rId17"/>
    <sheet name="2008" sheetId="36" r:id="rId18"/>
    <sheet name="2007" sheetId="41" r:id="rId19"/>
    <sheet name="2006" sheetId="42" r:id="rId20"/>
  </sheets>
  <definedNames>
    <definedName name="_xlnm.Print_Area" localSheetId="19">'2006'!$A$1:$O$155</definedName>
    <definedName name="_xlnm.Print_Area" localSheetId="18">'2007'!$A$1:$O$153</definedName>
    <definedName name="_xlnm.Print_Area" localSheetId="17">'2008'!$A$1:$O$151</definedName>
    <definedName name="_xlnm.Print_Area" localSheetId="16">'2009'!$A$1:$O$155</definedName>
    <definedName name="_xlnm.Print_Area" localSheetId="15">'2010'!$A$1:$O$141</definedName>
    <definedName name="_xlnm.Print_Area" localSheetId="14">'2011'!$A$1:$O$141</definedName>
    <definedName name="_xlnm.Print_Area" localSheetId="13">'2012'!$A$1:$O$143</definedName>
    <definedName name="_xlnm.Print_Area" localSheetId="12">'2013'!$A$1:$O$144</definedName>
    <definedName name="_xlnm.Print_Area" localSheetId="11">'2014'!$A$1:$O$154</definedName>
    <definedName name="_xlnm.Print_Area" localSheetId="10">'2015'!$A$1:$O$159</definedName>
    <definedName name="_xlnm.Print_Area" localSheetId="9">'2016'!$A$1:$O$157</definedName>
    <definedName name="_xlnm.Print_Area" localSheetId="8">'2017'!$A$1:$O$161</definedName>
    <definedName name="_xlnm.Print_Area" localSheetId="7">'2018'!$A$1:$O$160</definedName>
    <definedName name="_xlnm.Print_Area" localSheetId="6">'2019'!$A$1:$O$154</definedName>
    <definedName name="_xlnm.Print_Area" localSheetId="5">'2020'!$A$1:$O$138</definedName>
    <definedName name="_xlnm.Print_Area" localSheetId="4">'2021'!$A$1:$Q$162</definedName>
    <definedName name="_xlnm.Print_Area" localSheetId="3">'2022'!$A$1:$Q$158</definedName>
    <definedName name="_xlnm.Print_Area" localSheetId="2">'2023'!$A$1:$Q$136</definedName>
    <definedName name="_xlnm.Print_Area" localSheetId="1">'2024'!$A$1:$Q$133</definedName>
    <definedName name="_xlnm.Print_Area" localSheetId="0">'2025'!$A$1:$Q$138</definedName>
    <definedName name="_xlnm.Print_Titles" localSheetId="19">'2006'!$1:$4</definedName>
    <definedName name="_xlnm.Print_Titles" localSheetId="18">'2007'!$1:$4</definedName>
    <definedName name="_xlnm.Print_Titles" localSheetId="17">'2008'!$1:$4</definedName>
    <definedName name="_xlnm.Print_Titles" localSheetId="16">'2009'!$1:$4</definedName>
    <definedName name="_xlnm.Print_Titles" localSheetId="15">'2010'!$1:$4</definedName>
    <definedName name="_xlnm.Print_Titles" localSheetId="14">'2011'!$1:$4</definedName>
    <definedName name="_xlnm.Print_Titles" localSheetId="13">'2012'!$1:$4</definedName>
    <definedName name="_xlnm.Print_Titles" localSheetId="12">'2013'!$1:$4</definedName>
    <definedName name="_xlnm.Print_Titles" localSheetId="11">'2014'!$1:$4</definedName>
    <definedName name="_xlnm.Print_Titles" localSheetId="10">'2015'!$1:$4</definedName>
    <definedName name="_xlnm.Print_Titles" localSheetId="9">'2016'!$1:$4</definedName>
    <definedName name="_xlnm.Print_Titles" localSheetId="8">'2017'!$1:$4</definedName>
    <definedName name="_xlnm.Print_Titles" localSheetId="7">'2018'!$1:$4</definedName>
    <definedName name="_xlnm.Print_Titles" localSheetId="6">'2019'!$1:$4</definedName>
    <definedName name="_xlnm.Print_Titles" localSheetId="5">'2020'!$1:$4</definedName>
    <definedName name="_xlnm.Print_Titles" localSheetId="4">'2021'!$1:$4</definedName>
    <definedName name="_xlnm.Print_Titles" localSheetId="3">'2022'!$1:$4</definedName>
    <definedName name="_xlnm.Print_Titles" localSheetId="2">'2023'!$1:$4</definedName>
    <definedName name="_xlnm.Print_Titles" localSheetId="1">'2024'!$1:$4</definedName>
    <definedName name="_xlnm.Print_Titles" localSheetId="0">'2025'!$1:$4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33" i="53" l="1"/>
  <c r="Q133" i="53" s="1"/>
  <c r="P132" i="53"/>
  <c r="Q132" i="53" s="1"/>
  <c r="P131" i="53"/>
  <c r="Q131" i="53" s="1"/>
  <c r="P130" i="53"/>
  <c r="Q130" i="53" s="1"/>
  <c r="P129" i="53"/>
  <c r="Q129" i="53" s="1"/>
  <c r="P128" i="53"/>
  <c r="Q128" i="53" s="1"/>
  <c r="O127" i="53"/>
  <c r="N127" i="53"/>
  <c r="M127" i="53"/>
  <c r="L127" i="53"/>
  <c r="K127" i="53"/>
  <c r="J127" i="53"/>
  <c r="I127" i="53"/>
  <c r="H127" i="53"/>
  <c r="G127" i="53"/>
  <c r="F127" i="53"/>
  <c r="E127" i="53"/>
  <c r="D127" i="53"/>
  <c r="P126" i="53"/>
  <c r="Q126" i="53" s="1"/>
  <c r="P125" i="53"/>
  <c r="Q125" i="53" s="1"/>
  <c r="P124" i="53"/>
  <c r="Q124" i="53" s="1"/>
  <c r="P123" i="53"/>
  <c r="Q123" i="53" s="1"/>
  <c r="P122" i="53"/>
  <c r="Q122" i="53" s="1"/>
  <c r="P121" i="53"/>
  <c r="Q121" i="53" s="1"/>
  <c r="P120" i="53"/>
  <c r="Q120" i="53" s="1"/>
  <c r="P119" i="53"/>
  <c r="Q119" i="53" s="1"/>
  <c r="P118" i="53"/>
  <c r="Q118" i="53" s="1"/>
  <c r="P117" i="53"/>
  <c r="Q117" i="53" s="1"/>
  <c r="O116" i="53"/>
  <c r="N116" i="53"/>
  <c r="M116" i="53"/>
  <c r="L116" i="53"/>
  <c r="K116" i="53"/>
  <c r="J116" i="53"/>
  <c r="I116" i="53"/>
  <c r="H116" i="53"/>
  <c r="G116" i="53"/>
  <c r="F116" i="53"/>
  <c r="E116" i="53"/>
  <c r="D116" i="53"/>
  <c r="P115" i="53"/>
  <c r="Q115" i="53" s="1"/>
  <c r="P114" i="53"/>
  <c r="Q114" i="53" s="1"/>
  <c r="P113" i="53"/>
  <c r="Q113" i="53" s="1"/>
  <c r="P112" i="53"/>
  <c r="Q112" i="53" s="1"/>
  <c r="P111" i="53"/>
  <c r="Q111" i="53" s="1"/>
  <c r="P110" i="53"/>
  <c r="Q110" i="53" s="1"/>
  <c r="P109" i="53"/>
  <c r="Q109" i="53" s="1"/>
  <c r="P108" i="53"/>
  <c r="Q108" i="53" s="1"/>
  <c r="O107" i="53"/>
  <c r="N107" i="53"/>
  <c r="M107" i="53"/>
  <c r="L107" i="53"/>
  <c r="K107" i="53"/>
  <c r="J107" i="53"/>
  <c r="I107" i="53"/>
  <c r="H107" i="53"/>
  <c r="G107" i="53"/>
  <c r="F107" i="53"/>
  <c r="E107" i="53"/>
  <c r="D107" i="53"/>
  <c r="P106" i="53"/>
  <c r="Q106" i="53" s="1"/>
  <c r="P105" i="53"/>
  <c r="Q105" i="53" s="1"/>
  <c r="P104" i="53"/>
  <c r="Q104" i="53" s="1"/>
  <c r="P103" i="53"/>
  <c r="Q103" i="53" s="1"/>
  <c r="P102" i="53"/>
  <c r="Q102" i="53" s="1"/>
  <c r="P101" i="53"/>
  <c r="Q101" i="53" s="1"/>
  <c r="P100" i="53"/>
  <c r="Q100" i="53" s="1"/>
  <c r="P99" i="53"/>
  <c r="Q99" i="53" s="1"/>
  <c r="P98" i="53"/>
  <c r="Q98" i="53" s="1"/>
  <c r="P97" i="53"/>
  <c r="Q97" i="53" s="1"/>
  <c r="P96" i="53"/>
  <c r="Q96" i="53" s="1"/>
  <c r="P95" i="53"/>
  <c r="Q95" i="53" s="1"/>
  <c r="P94" i="53"/>
  <c r="Q94" i="53" s="1"/>
  <c r="P93" i="53"/>
  <c r="Q93" i="53" s="1"/>
  <c r="P92" i="53"/>
  <c r="Q92" i="53" s="1"/>
  <c r="P91" i="53"/>
  <c r="Q91" i="53" s="1"/>
  <c r="P90" i="53"/>
  <c r="Q90" i="53" s="1"/>
  <c r="P89" i="53"/>
  <c r="Q89" i="53" s="1"/>
  <c r="P88" i="53"/>
  <c r="Q88" i="53" s="1"/>
  <c r="P87" i="53"/>
  <c r="Q87" i="53" s="1"/>
  <c r="P86" i="53"/>
  <c r="Q86" i="53" s="1"/>
  <c r="P85" i="53"/>
  <c r="Q85" i="53" s="1"/>
  <c r="P84" i="53"/>
  <c r="Q84" i="53" s="1"/>
  <c r="P83" i="53"/>
  <c r="Q83" i="53" s="1"/>
  <c r="P82" i="53"/>
  <c r="Q82" i="53" s="1"/>
  <c r="P81" i="53"/>
  <c r="Q81" i="53" s="1"/>
  <c r="P80" i="53"/>
  <c r="Q80" i="53" s="1"/>
  <c r="P79" i="53"/>
  <c r="Q79" i="53" s="1"/>
  <c r="P78" i="53"/>
  <c r="Q78" i="53" s="1"/>
  <c r="P77" i="53"/>
  <c r="Q77" i="53" s="1"/>
  <c r="P76" i="53"/>
  <c r="Q76" i="53" s="1"/>
  <c r="P75" i="53"/>
  <c r="Q75" i="53" s="1"/>
  <c r="P74" i="53"/>
  <c r="Q74" i="53" s="1"/>
  <c r="P73" i="53"/>
  <c r="Q73" i="53" s="1"/>
  <c r="P72" i="53"/>
  <c r="Q72" i="53" s="1"/>
  <c r="P71" i="53"/>
  <c r="Q71" i="53" s="1"/>
  <c r="P70" i="53"/>
  <c r="Q70" i="53" s="1"/>
  <c r="P69" i="53"/>
  <c r="Q69" i="53" s="1"/>
  <c r="O68" i="53"/>
  <c r="N68" i="53"/>
  <c r="M68" i="53"/>
  <c r="L68" i="53"/>
  <c r="K68" i="53"/>
  <c r="J68" i="53"/>
  <c r="I68" i="53"/>
  <c r="H68" i="53"/>
  <c r="G68" i="53"/>
  <c r="F68" i="53"/>
  <c r="E68" i="53"/>
  <c r="D68" i="53"/>
  <c r="P67" i="53"/>
  <c r="Q67" i="53" s="1"/>
  <c r="P66" i="53"/>
  <c r="Q66" i="53" s="1"/>
  <c r="P65" i="53"/>
  <c r="Q65" i="53" s="1"/>
  <c r="P64" i="53"/>
  <c r="Q64" i="53" s="1"/>
  <c r="P63" i="53"/>
  <c r="Q63" i="53" s="1"/>
  <c r="P62" i="53"/>
  <c r="Q62" i="53" s="1"/>
  <c r="P61" i="53"/>
  <c r="Q61" i="53" s="1"/>
  <c r="P60" i="53"/>
  <c r="Q60" i="53" s="1"/>
  <c r="P59" i="53"/>
  <c r="Q59" i="53" s="1"/>
  <c r="P58" i="53"/>
  <c r="Q58" i="53" s="1"/>
  <c r="P57" i="53"/>
  <c r="Q57" i="53" s="1"/>
  <c r="P56" i="53"/>
  <c r="Q56" i="53" s="1"/>
  <c r="P55" i="53"/>
  <c r="Q55" i="53" s="1"/>
  <c r="P54" i="53"/>
  <c r="Q54" i="53" s="1"/>
  <c r="P53" i="53"/>
  <c r="Q53" i="53" s="1"/>
  <c r="P52" i="53"/>
  <c r="Q52" i="53" s="1"/>
  <c r="P51" i="53"/>
  <c r="Q51" i="53" s="1"/>
  <c r="P50" i="53"/>
  <c r="Q50" i="53" s="1"/>
  <c r="P49" i="53"/>
  <c r="Q49" i="53" s="1"/>
  <c r="P48" i="53"/>
  <c r="Q48" i="53" s="1"/>
  <c r="P47" i="53"/>
  <c r="Q47" i="53" s="1"/>
  <c r="P46" i="53"/>
  <c r="Q46" i="53" s="1"/>
  <c r="P45" i="53"/>
  <c r="Q45" i="53" s="1"/>
  <c r="P44" i="53"/>
  <c r="Q44" i="53" s="1"/>
  <c r="P43" i="53"/>
  <c r="Q43" i="53" s="1"/>
  <c r="P42" i="53"/>
  <c r="Q42" i="53" s="1"/>
  <c r="P41" i="53"/>
  <c r="Q41" i="53" s="1"/>
  <c r="P40" i="53"/>
  <c r="Q40" i="53" s="1"/>
  <c r="P39" i="53"/>
  <c r="Q39" i="53" s="1"/>
  <c r="P38" i="53"/>
  <c r="Q38" i="53" s="1"/>
  <c r="P37" i="53"/>
  <c r="Q37" i="53" s="1"/>
  <c r="P36" i="53"/>
  <c r="Q36" i="53" s="1"/>
  <c r="P35" i="53"/>
  <c r="Q35" i="53" s="1"/>
  <c r="P34" i="53"/>
  <c r="Q34" i="53" s="1"/>
  <c r="P33" i="53"/>
  <c r="Q33" i="53" s="1"/>
  <c r="P32" i="53"/>
  <c r="Q32" i="53" s="1"/>
  <c r="P31" i="53"/>
  <c r="Q31" i="53" s="1"/>
  <c r="P30" i="53"/>
  <c r="Q30" i="53" s="1"/>
  <c r="P29" i="53"/>
  <c r="Q29" i="53" s="1"/>
  <c r="P28" i="53"/>
  <c r="Q28" i="53" s="1"/>
  <c r="P27" i="53"/>
  <c r="Q27" i="53" s="1"/>
  <c r="O26" i="53"/>
  <c r="N26" i="53"/>
  <c r="M26" i="53"/>
  <c r="L26" i="53"/>
  <c r="K26" i="53"/>
  <c r="J26" i="53"/>
  <c r="I26" i="53"/>
  <c r="H26" i="53"/>
  <c r="G26" i="53"/>
  <c r="F26" i="53"/>
  <c r="E26" i="53"/>
  <c r="D26" i="53"/>
  <c r="P25" i="53"/>
  <c r="Q25" i="53" s="1"/>
  <c r="P24" i="53"/>
  <c r="Q24" i="53" s="1"/>
  <c r="P23" i="53"/>
  <c r="Q23" i="53" s="1"/>
  <c r="P22" i="53"/>
  <c r="Q22" i="53" s="1"/>
  <c r="P21" i="53"/>
  <c r="Q21" i="53" s="1"/>
  <c r="P20" i="53"/>
  <c r="Q20" i="53" s="1"/>
  <c r="P19" i="53"/>
  <c r="Q19" i="53" s="1"/>
  <c r="P18" i="53"/>
  <c r="Q18" i="53" s="1"/>
  <c r="P17" i="53"/>
  <c r="Q17" i="53" s="1"/>
  <c r="P16" i="53"/>
  <c r="Q16" i="53" s="1"/>
  <c r="P15" i="53"/>
  <c r="Q15" i="53" s="1"/>
  <c r="O14" i="53"/>
  <c r="N14" i="53"/>
  <c r="M14" i="53"/>
  <c r="L14" i="53"/>
  <c r="K14" i="53"/>
  <c r="J14" i="53"/>
  <c r="I14" i="53"/>
  <c r="H14" i="53"/>
  <c r="G14" i="53"/>
  <c r="F14" i="53"/>
  <c r="E14" i="53"/>
  <c r="D14" i="53"/>
  <c r="P13" i="53"/>
  <c r="Q13" i="53" s="1"/>
  <c r="P12" i="53"/>
  <c r="Q12" i="53" s="1"/>
  <c r="P11" i="53"/>
  <c r="Q11" i="53" s="1"/>
  <c r="P10" i="53"/>
  <c r="Q10" i="53" s="1"/>
  <c r="P9" i="53"/>
  <c r="Q9" i="53" s="1"/>
  <c r="P8" i="53"/>
  <c r="Q8" i="53" s="1"/>
  <c r="P7" i="53"/>
  <c r="Q7" i="53" s="1"/>
  <c r="P6" i="53"/>
  <c r="Q6" i="53" s="1"/>
  <c r="O5" i="53"/>
  <c r="N5" i="53"/>
  <c r="M5" i="53"/>
  <c r="L5" i="53"/>
  <c r="K5" i="53"/>
  <c r="J5" i="53"/>
  <c r="I5" i="53"/>
  <c r="H5" i="53"/>
  <c r="G5" i="53"/>
  <c r="F5" i="53"/>
  <c r="E5" i="53"/>
  <c r="D5" i="53"/>
  <c r="L150" i="49"/>
  <c r="L140" i="49"/>
  <c r="L129" i="49"/>
  <c r="L73" i="49"/>
  <c r="L28" i="49"/>
  <c r="L15" i="49"/>
  <c r="L5" i="49"/>
  <c r="L158" i="49" s="1"/>
  <c r="N146" i="50"/>
  <c r="N135" i="50"/>
  <c r="N125" i="50"/>
  <c r="N70" i="50"/>
  <c r="N27" i="50"/>
  <c r="N14" i="50"/>
  <c r="N5" i="50"/>
  <c r="N154" i="50" s="1"/>
  <c r="K146" i="50"/>
  <c r="K135" i="50"/>
  <c r="K125" i="50"/>
  <c r="K70" i="50"/>
  <c r="K27" i="50"/>
  <c r="K14" i="50"/>
  <c r="K5" i="50"/>
  <c r="K154" i="50" s="1"/>
  <c r="L146" i="50"/>
  <c r="L135" i="50"/>
  <c r="L125" i="50"/>
  <c r="L70" i="50"/>
  <c r="L27" i="50"/>
  <c r="L14" i="50"/>
  <c r="L5" i="50"/>
  <c r="L154" i="50" s="1"/>
  <c r="N123" i="51"/>
  <c r="N112" i="51"/>
  <c r="N103" i="51"/>
  <c r="N67" i="51"/>
  <c r="N27" i="51"/>
  <c r="N14" i="51"/>
  <c r="N5" i="51"/>
  <c r="N132" i="51" s="1"/>
  <c r="K123" i="51"/>
  <c r="K112" i="51"/>
  <c r="K103" i="51"/>
  <c r="K67" i="51"/>
  <c r="K27" i="51"/>
  <c r="K14" i="51"/>
  <c r="K5" i="51"/>
  <c r="K132" i="51" s="1"/>
  <c r="L123" i="51"/>
  <c r="L112" i="51"/>
  <c r="L103" i="51"/>
  <c r="L67" i="51"/>
  <c r="L27" i="51"/>
  <c r="L14" i="51"/>
  <c r="L5" i="51"/>
  <c r="L132" i="51" s="1"/>
  <c r="N120" i="52"/>
  <c r="N109" i="52"/>
  <c r="N101" i="52"/>
  <c r="N65" i="52"/>
  <c r="N25" i="52"/>
  <c r="N14" i="52"/>
  <c r="N5" i="52"/>
  <c r="N129" i="52" s="1"/>
  <c r="K120" i="52"/>
  <c r="K109" i="52"/>
  <c r="K101" i="52"/>
  <c r="K65" i="52"/>
  <c r="K25" i="52"/>
  <c r="K14" i="52"/>
  <c r="K5" i="52"/>
  <c r="K129" i="52" s="1"/>
  <c r="L120" i="52"/>
  <c r="L109" i="52"/>
  <c r="L101" i="52"/>
  <c r="L65" i="52"/>
  <c r="L25" i="52"/>
  <c r="L14" i="52"/>
  <c r="L5" i="52"/>
  <c r="L129" i="52" s="1"/>
  <c r="P128" i="52"/>
  <c r="Q128" i="52" s="1"/>
  <c r="P127" i="52"/>
  <c r="Q127" i="52" s="1"/>
  <c r="P126" i="52"/>
  <c r="Q126" i="52" s="1"/>
  <c r="P125" i="52"/>
  <c r="Q125" i="52" s="1"/>
  <c r="P124" i="52"/>
  <c r="Q124" i="52" s="1"/>
  <c r="P123" i="52"/>
  <c r="Q123" i="52" s="1"/>
  <c r="P122" i="52"/>
  <c r="Q122" i="52" s="1"/>
  <c r="P121" i="52"/>
  <c r="Q121" i="52" s="1"/>
  <c r="O120" i="52"/>
  <c r="M120" i="52"/>
  <c r="J120" i="52"/>
  <c r="I120" i="52"/>
  <c r="H120" i="52"/>
  <c r="G120" i="52"/>
  <c r="F120" i="52"/>
  <c r="E120" i="52"/>
  <c r="D120" i="52"/>
  <c r="P119" i="52"/>
  <c r="Q119" i="52" s="1"/>
  <c r="P118" i="52"/>
  <c r="Q118" i="52" s="1"/>
  <c r="P117" i="52"/>
  <c r="Q117" i="52" s="1"/>
  <c r="P116" i="52"/>
  <c r="Q116" i="52" s="1"/>
  <c r="P115" i="52"/>
  <c r="Q115" i="52" s="1"/>
  <c r="P114" i="52"/>
  <c r="Q114" i="52" s="1"/>
  <c r="P113" i="52"/>
  <c r="Q113" i="52" s="1"/>
  <c r="P112" i="52"/>
  <c r="Q112" i="52" s="1"/>
  <c r="P111" i="52"/>
  <c r="Q111" i="52" s="1"/>
  <c r="P110" i="52"/>
  <c r="Q110" i="52" s="1"/>
  <c r="O109" i="52"/>
  <c r="M109" i="52"/>
  <c r="J109" i="52"/>
  <c r="I109" i="52"/>
  <c r="H109" i="52"/>
  <c r="G109" i="52"/>
  <c r="F109" i="52"/>
  <c r="E109" i="52"/>
  <c r="D109" i="52"/>
  <c r="P108" i="52"/>
  <c r="Q108" i="52" s="1"/>
  <c r="P107" i="52"/>
  <c r="Q107" i="52" s="1"/>
  <c r="P106" i="52"/>
  <c r="Q106" i="52" s="1"/>
  <c r="P105" i="52"/>
  <c r="Q105" i="52" s="1"/>
  <c r="P104" i="52"/>
  <c r="Q104" i="52" s="1"/>
  <c r="P103" i="52"/>
  <c r="Q103" i="52" s="1"/>
  <c r="P102" i="52"/>
  <c r="Q102" i="52" s="1"/>
  <c r="O101" i="52"/>
  <c r="M101" i="52"/>
  <c r="J101" i="52"/>
  <c r="I101" i="52"/>
  <c r="H101" i="52"/>
  <c r="G101" i="52"/>
  <c r="F101" i="52"/>
  <c r="E101" i="52"/>
  <c r="D101" i="52"/>
  <c r="P100" i="52"/>
  <c r="Q100" i="52" s="1"/>
  <c r="P99" i="52"/>
  <c r="Q99" i="52" s="1"/>
  <c r="P98" i="52"/>
  <c r="Q98" i="52" s="1"/>
  <c r="P97" i="52"/>
  <c r="Q97" i="52" s="1"/>
  <c r="P96" i="52"/>
  <c r="Q96" i="52" s="1"/>
  <c r="P95" i="52"/>
  <c r="Q95" i="52" s="1"/>
  <c r="P94" i="52"/>
  <c r="Q94" i="52" s="1"/>
  <c r="P93" i="52"/>
  <c r="Q93" i="52" s="1"/>
  <c r="P92" i="52"/>
  <c r="Q92" i="52" s="1"/>
  <c r="P91" i="52"/>
  <c r="Q91" i="52" s="1"/>
  <c r="P90" i="52"/>
  <c r="Q90" i="52" s="1"/>
  <c r="P89" i="52"/>
  <c r="Q89" i="52" s="1"/>
  <c r="P88" i="52"/>
  <c r="Q88" i="52" s="1"/>
  <c r="P87" i="52"/>
  <c r="Q87" i="52" s="1"/>
  <c r="P86" i="52"/>
  <c r="Q86" i="52" s="1"/>
  <c r="P85" i="52"/>
  <c r="Q85" i="52" s="1"/>
  <c r="P84" i="52"/>
  <c r="Q84" i="52" s="1"/>
  <c r="P83" i="52"/>
  <c r="Q83" i="52" s="1"/>
  <c r="P82" i="52"/>
  <c r="Q82" i="52" s="1"/>
  <c r="P81" i="52"/>
  <c r="Q81" i="52" s="1"/>
  <c r="P80" i="52"/>
  <c r="Q80" i="52" s="1"/>
  <c r="P79" i="52"/>
  <c r="Q79" i="52" s="1"/>
  <c r="P78" i="52"/>
  <c r="Q78" i="52" s="1"/>
  <c r="P77" i="52"/>
  <c r="Q77" i="52" s="1"/>
  <c r="P76" i="52"/>
  <c r="Q76" i="52" s="1"/>
  <c r="P75" i="52"/>
  <c r="Q75" i="52" s="1"/>
  <c r="P74" i="52"/>
  <c r="Q74" i="52" s="1"/>
  <c r="P73" i="52"/>
  <c r="Q73" i="52" s="1"/>
  <c r="P72" i="52"/>
  <c r="Q72" i="52" s="1"/>
  <c r="P71" i="52"/>
  <c r="Q71" i="52" s="1"/>
  <c r="P70" i="52"/>
  <c r="Q70" i="52" s="1"/>
  <c r="P69" i="52"/>
  <c r="Q69" i="52" s="1"/>
  <c r="P68" i="52"/>
  <c r="Q68" i="52" s="1"/>
  <c r="P67" i="52"/>
  <c r="Q67" i="52" s="1"/>
  <c r="P66" i="52"/>
  <c r="Q66" i="52" s="1"/>
  <c r="O65" i="52"/>
  <c r="M65" i="52"/>
  <c r="J65" i="52"/>
  <c r="I65" i="52"/>
  <c r="H65" i="52"/>
  <c r="G65" i="52"/>
  <c r="F65" i="52"/>
  <c r="E65" i="52"/>
  <c r="D65" i="52"/>
  <c r="P64" i="52"/>
  <c r="Q64" i="52" s="1"/>
  <c r="P63" i="52"/>
  <c r="Q63" i="52" s="1"/>
  <c r="P62" i="52"/>
  <c r="Q62" i="52" s="1"/>
  <c r="P61" i="52"/>
  <c r="Q61" i="52" s="1"/>
  <c r="P60" i="52"/>
  <c r="Q60" i="52" s="1"/>
  <c r="P59" i="52"/>
  <c r="Q59" i="52" s="1"/>
  <c r="P58" i="52"/>
  <c r="Q58" i="52" s="1"/>
  <c r="P57" i="52"/>
  <c r="Q57" i="52" s="1"/>
  <c r="P56" i="52"/>
  <c r="Q56" i="52" s="1"/>
  <c r="P55" i="52"/>
  <c r="Q55" i="52" s="1"/>
  <c r="P54" i="52"/>
  <c r="Q54" i="52" s="1"/>
  <c r="P53" i="52"/>
  <c r="Q53" i="52" s="1"/>
  <c r="P52" i="52"/>
  <c r="Q52" i="52" s="1"/>
  <c r="P51" i="52"/>
  <c r="Q51" i="52" s="1"/>
  <c r="P50" i="52"/>
  <c r="Q50" i="52" s="1"/>
  <c r="P49" i="52"/>
  <c r="Q49" i="52" s="1"/>
  <c r="P48" i="52"/>
  <c r="Q48" i="52" s="1"/>
  <c r="P47" i="52"/>
  <c r="Q47" i="52" s="1"/>
  <c r="P46" i="52"/>
  <c r="Q46" i="52" s="1"/>
  <c r="P45" i="52"/>
  <c r="Q45" i="52" s="1"/>
  <c r="P44" i="52"/>
  <c r="Q44" i="52" s="1"/>
  <c r="P43" i="52"/>
  <c r="Q43" i="52" s="1"/>
  <c r="P42" i="52"/>
  <c r="Q42" i="52" s="1"/>
  <c r="P41" i="52"/>
  <c r="Q41" i="52" s="1"/>
  <c r="P40" i="52"/>
  <c r="Q40" i="52" s="1"/>
  <c r="P39" i="52"/>
  <c r="Q39" i="52" s="1"/>
  <c r="P38" i="52"/>
  <c r="Q38" i="52" s="1"/>
  <c r="P37" i="52"/>
  <c r="Q37" i="52" s="1"/>
  <c r="P36" i="52"/>
  <c r="Q36" i="52" s="1"/>
  <c r="P35" i="52"/>
  <c r="Q35" i="52" s="1"/>
  <c r="P34" i="52"/>
  <c r="Q34" i="52" s="1"/>
  <c r="P33" i="52"/>
  <c r="Q33" i="52" s="1"/>
  <c r="P32" i="52"/>
  <c r="Q32" i="52" s="1"/>
  <c r="P31" i="52"/>
  <c r="Q31" i="52" s="1"/>
  <c r="P30" i="52"/>
  <c r="Q30" i="52" s="1"/>
  <c r="P29" i="52"/>
  <c r="Q29" i="52" s="1"/>
  <c r="P28" i="52"/>
  <c r="Q28" i="52" s="1"/>
  <c r="P27" i="52"/>
  <c r="Q27" i="52" s="1"/>
  <c r="P26" i="52"/>
  <c r="Q26" i="52" s="1"/>
  <c r="O25" i="52"/>
  <c r="M25" i="52"/>
  <c r="J25" i="52"/>
  <c r="I25" i="52"/>
  <c r="H25" i="52"/>
  <c r="G25" i="52"/>
  <c r="F25" i="52"/>
  <c r="E25" i="52"/>
  <c r="D25" i="52"/>
  <c r="P24" i="52"/>
  <c r="Q24" i="52" s="1"/>
  <c r="P23" i="52"/>
  <c r="Q23" i="52" s="1"/>
  <c r="P22" i="52"/>
  <c r="Q22" i="52" s="1"/>
  <c r="P21" i="52"/>
  <c r="Q21" i="52" s="1"/>
  <c r="P20" i="52"/>
  <c r="Q20" i="52" s="1"/>
  <c r="P19" i="52"/>
  <c r="Q19" i="52" s="1"/>
  <c r="P18" i="52"/>
  <c r="Q18" i="52" s="1"/>
  <c r="P17" i="52"/>
  <c r="Q17" i="52" s="1"/>
  <c r="P16" i="52"/>
  <c r="Q16" i="52" s="1"/>
  <c r="P15" i="52"/>
  <c r="Q15" i="52" s="1"/>
  <c r="O14" i="52"/>
  <c r="M14" i="52"/>
  <c r="J14" i="52"/>
  <c r="I14" i="52"/>
  <c r="H14" i="52"/>
  <c r="G14" i="52"/>
  <c r="F14" i="52"/>
  <c r="E14" i="52"/>
  <c r="D14" i="52"/>
  <c r="P13" i="52"/>
  <c r="Q13" i="52" s="1"/>
  <c r="P12" i="52"/>
  <c r="Q12" i="52" s="1"/>
  <c r="P11" i="52"/>
  <c r="Q11" i="52" s="1"/>
  <c r="P10" i="52"/>
  <c r="Q10" i="52" s="1"/>
  <c r="P9" i="52"/>
  <c r="Q9" i="52" s="1"/>
  <c r="P8" i="52"/>
  <c r="Q8" i="52" s="1"/>
  <c r="P7" i="52"/>
  <c r="Q7" i="52" s="1"/>
  <c r="P6" i="52"/>
  <c r="Q6" i="52" s="1"/>
  <c r="O5" i="52"/>
  <c r="M5" i="52"/>
  <c r="J5" i="52"/>
  <c r="I5" i="52"/>
  <c r="H5" i="52"/>
  <c r="G5" i="52"/>
  <c r="F5" i="52"/>
  <c r="E5" i="52"/>
  <c r="D5" i="52"/>
  <c r="P131" i="51"/>
  <c r="Q131" i="51" s="1"/>
  <c r="P130" i="51"/>
  <c r="Q130" i="51" s="1"/>
  <c r="P129" i="51"/>
  <c r="Q129" i="51" s="1"/>
  <c r="P128" i="51"/>
  <c r="Q128" i="51" s="1"/>
  <c r="P127" i="51"/>
  <c r="Q127" i="51" s="1"/>
  <c r="P126" i="51"/>
  <c r="Q126" i="51" s="1"/>
  <c r="P125" i="51"/>
  <c r="Q125" i="51" s="1"/>
  <c r="P124" i="51"/>
  <c r="Q124" i="51" s="1"/>
  <c r="O123" i="51"/>
  <c r="M123" i="51"/>
  <c r="J123" i="51"/>
  <c r="I123" i="51"/>
  <c r="H123" i="51"/>
  <c r="G123" i="51"/>
  <c r="F123" i="51"/>
  <c r="E123" i="51"/>
  <c r="D123" i="51"/>
  <c r="P122" i="51"/>
  <c r="Q122" i="51" s="1"/>
  <c r="P121" i="51"/>
  <c r="Q121" i="51" s="1"/>
  <c r="P120" i="51"/>
  <c r="Q120" i="51" s="1"/>
  <c r="P119" i="51"/>
  <c r="Q119" i="51" s="1"/>
  <c r="P118" i="51"/>
  <c r="Q118" i="51" s="1"/>
  <c r="P117" i="51"/>
  <c r="Q117" i="51" s="1"/>
  <c r="P116" i="51"/>
  <c r="Q116" i="51" s="1"/>
  <c r="P115" i="51"/>
  <c r="Q115" i="51" s="1"/>
  <c r="P114" i="51"/>
  <c r="Q114" i="51" s="1"/>
  <c r="P113" i="51"/>
  <c r="Q113" i="51" s="1"/>
  <c r="O112" i="51"/>
  <c r="M112" i="51"/>
  <c r="J112" i="51"/>
  <c r="I112" i="51"/>
  <c r="H112" i="51"/>
  <c r="G112" i="51"/>
  <c r="F112" i="51"/>
  <c r="E112" i="51"/>
  <c r="D112" i="51"/>
  <c r="P111" i="51"/>
  <c r="Q111" i="51" s="1"/>
  <c r="P110" i="51"/>
  <c r="Q110" i="51" s="1"/>
  <c r="P109" i="51"/>
  <c r="Q109" i="51" s="1"/>
  <c r="P108" i="51"/>
  <c r="Q108" i="51" s="1"/>
  <c r="P107" i="51"/>
  <c r="Q107" i="51" s="1"/>
  <c r="P106" i="51"/>
  <c r="Q106" i="51" s="1"/>
  <c r="P105" i="51"/>
  <c r="Q105" i="51" s="1"/>
  <c r="P104" i="51"/>
  <c r="Q104" i="51" s="1"/>
  <c r="O103" i="51"/>
  <c r="M103" i="51"/>
  <c r="J103" i="51"/>
  <c r="I103" i="51"/>
  <c r="H103" i="51"/>
  <c r="G103" i="51"/>
  <c r="F103" i="51"/>
  <c r="E103" i="51"/>
  <c r="D103" i="51"/>
  <c r="P102" i="51"/>
  <c r="Q102" i="51" s="1"/>
  <c r="P101" i="51"/>
  <c r="Q101" i="51" s="1"/>
  <c r="P100" i="51"/>
  <c r="Q100" i="51" s="1"/>
  <c r="P99" i="51"/>
  <c r="Q99" i="51" s="1"/>
  <c r="P98" i="51"/>
  <c r="Q98" i="51" s="1"/>
  <c r="P97" i="51"/>
  <c r="Q97" i="51" s="1"/>
  <c r="P96" i="51"/>
  <c r="Q96" i="51" s="1"/>
  <c r="P95" i="51"/>
  <c r="Q95" i="51" s="1"/>
  <c r="P94" i="51"/>
  <c r="Q94" i="51" s="1"/>
  <c r="P93" i="51"/>
  <c r="Q93" i="51" s="1"/>
  <c r="P92" i="51"/>
  <c r="Q92" i="51" s="1"/>
  <c r="P91" i="51"/>
  <c r="Q91" i="51" s="1"/>
  <c r="P90" i="51"/>
  <c r="Q90" i="51" s="1"/>
  <c r="P89" i="51"/>
  <c r="Q89" i="51" s="1"/>
  <c r="P88" i="51"/>
  <c r="Q88" i="51" s="1"/>
  <c r="P87" i="51"/>
  <c r="Q87" i="51" s="1"/>
  <c r="P86" i="51"/>
  <c r="Q86" i="51" s="1"/>
  <c r="P85" i="51"/>
  <c r="Q85" i="51" s="1"/>
  <c r="P84" i="51"/>
  <c r="Q84" i="51" s="1"/>
  <c r="P83" i="51"/>
  <c r="Q83" i="51" s="1"/>
  <c r="P82" i="51"/>
  <c r="Q82" i="51" s="1"/>
  <c r="P81" i="51"/>
  <c r="Q81" i="51" s="1"/>
  <c r="P80" i="51"/>
  <c r="Q80" i="51" s="1"/>
  <c r="P79" i="51"/>
  <c r="Q79" i="51" s="1"/>
  <c r="P78" i="51"/>
  <c r="Q78" i="51" s="1"/>
  <c r="P77" i="51"/>
  <c r="Q77" i="51" s="1"/>
  <c r="P76" i="51"/>
  <c r="Q76" i="51" s="1"/>
  <c r="P75" i="51"/>
  <c r="Q75" i="51" s="1"/>
  <c r="P74" i="51"/>
  <c r="Q74" i="51" s="1"/>
  <c r="P73" i="51"/>
  <c r="Q73" i="51" s="1"/>
  <c r="P72" i="51"/>
  <c r="Q72" i="51" s="1"/>
  <c r="P71" i="51"/>
  <c r="Q71" i="51" s="1"/>
  <c r="P70" i="51"/>
  <c r="Q70" i="51" s="1"/>
  <c r="P69" i="51"/>
  <c r="Q69" i="51" s="1"/>
  <c r="P68" i="51"/>
  <c r="Q68" i="51" s="1"/>
  <c r="O67" i="51"/>
  <c r="M67" i="51"/>
  <c r="J67" i="51"/>
  <c r="I67" i="51"/>
  <c r="H67" i="51"/>
  <c r="G67" i="51"/>
  <c r="F67" i="51"/>
  <c r="E67" i="51"/>
  <c r="D67" i="51"/>
  <c r="P66" i="51"/>
  <c r="Q66" i="51" s="1"/>
  <c r="P65" i="51"/>
  <c r="Q65" i="51" s="1"/>
  <c r="P64" i="51"/>
  <c r="Q64" i="51" s="1"/>
  <c r="P63" i="51"/>
  <c r="Q63" i="51" s="1"/>
  <c r="P62" i="51"/>
  <c r="Q62" i="51" s="1"/>
  <c r="P61" i="51"/>
  <c r="Q61" i="51" s="1"/>
  <c r="P60" i="51"/>
  <c r="Q60" i="51" s="1"/>
  <c r="P59" i="51"/>
  <c r="Q59" i="51" s="1"/>
  <c r="P58" i="51"/>
  <c r="Q58" i="51" s="1"/>
  <c r="P57" i="51"/>
  <c r="Q57" i="51" s="1"/>
  <c r="P56" i="51"/>
  <c r="Q56" i="51" s="1"/>
  <c r="P55" i="51"/>
  <c r="Q55" i="51" s="1"/>
  <c r="P54" i="51"/>
  <c r="Q54" i="51" s="1"/>
  <c r="P53" i="51"/>
  <c r="Q53" i="51" s="1"/>
  <c r="P52" i="51"/>
  <c r="Q52" i="51" s="1"/>
  <c r="P51" i="51"/>
  <c r="Q51" i="51" s="1"/>
  <c r="P50" i="51"/>
  <c r="Q50" i="51" s="1"/>
  <c r="P49" i="51"/>
  <c r="Q49" i="51" s="1"/>
  <c r="P48" i="51"/>
  <c r="Q48" i="51" s="1"/>
  <c r="P47" i="51"/>
  <c r="Q47" i="51" s="1"/>
  <c r="P46" i="51"/>
  <c r="Q46" i="51" s="1"/>
  <c r="P45" i="51"/>
  <c r="Q45" i="51" s="1"/>
  <c r="P44" i="51"/>
  <c r="Q44" i="51" s="1"/>
  <c r="P43" i="51"/>
  <c r="Q43" i="51" s="1"/>
  <c r="P42" i="51"/>
  <c r="Q42" i="51" s="1"/>
  <c r="P41" i="51"/>
  <c r="Q41" i="51" s="1"/>
  <c r="P40" i="51"/>
  <c r="Q40" i="51" s="1"/>
  <c r="P39" i="51"/>
  <c r="Q39" i="51" s="1"/>
  <c r="P38" i="51"/>
  <c r="Q38" i="51" s="1"/>
  <c r="P37" i="51"/>
  <c r="Q37" i="51" s="1"/>
  <c r="P36" i="51"/>
  <c r="Q36" i="51" s="1"/>
  <c r="P35" i="51"/>
  <c r="Q35" i="51" s="1"/>
  <c r="P34" i="51"/>
  <c r="Q34" i="51" s="1"/>
  <c r="P33" i="51"/>
  <c r="Q33" i="51" s="1"/>
  <c r="P32" i="51"/>
  <c r="Q32" i="51" s="1"/>
  <c r="P31" i="51"/>
  <c r="Q31" i="51" s="1"/>
  <c r="P30" i="51"/>
  <c r="Q30" i="51" s="1"/>
  <c r="P29" i="51"/>
  <c r="Q29" i="51" s="1"/>
  <c r="P28" i="51"/>
  <c r="Q28" i="51" s="1"/>
  <c r="O27" i="51"/>
  <c r="M27" i="51"/>
  <c r="J27" i="51"/>
  <c r="I27" i="51"/>
  <c r="H27" i="51"/>
  <c r="G27" i="51"/>
  <c r="F27" i="51"/>
  <c r="E27" i="51"/>
  <c r="D27" i="51"/>
  <c r="P26" i="51"/>
  <c r="Q26" i="51" s="1"/>
  <c r="P25" i="51"/>
  <c r="Q25" i="51" s="1"/>
  <c r="P24" i="51"/>
  <c r="Q24" i="51" s="1"/>
  <c r="P23" i="51"/>
  <c r="Q23" i="51" s="1"/>
  <c r="P22" i="51"/>
  <c r="Q22" i="51" s="1"/>
  <c r="P21" i="51"/>
  <c r="Q21" i="51" s="1"/>
  <c r="P20" i="51"/>
  <c r="Q20" i="51" s="1"/>
  <c r="P19" i="51"/>
  <c r="Q19" i="51" s="1"/>
  <c r="P18" i="51"/>
  <c r="Q18" i="51" s="1"/>
  <c r="P17" i="51"/>
  <c r="Q17" i="51" s="1"/>
  <c r="P16" i="51"/>
  <c r="Q16" i="51" s="1"/>
  <c r="P15" i="51"/>
  <c r="Q15" i="51" s="1"/>
  <c r="O14" i="51"/>
  <c r="M14" i="51"/>
  <c r="J14" i="51"/>
  <c r="I14" i="51"/>
  <c r="H14" i="51"/>
  <c r="G14" i="51"/>
  <c r="F14" i="51"/>
  <c r="E14" i="51"/>
  <c r="D14" i="51"/>
  <c r="P13" i="51"/>
  <c r="Q13" i="51" s="1"/>
  <c r="P12" i="51"/>
  <c r="Q12" i="51" s="1"/>
  <c r="P11" i="51"/>
  <c r="Q11" i="51" s="1"/>
  <c r="P10" i="51"/>
  <c r="Q10" i="51" s="1"/>
  <c r="P9" i="51"/>
  <c r="Q9" i="51" s="1"/>
  <c r="P8" i="51"/>
  <c r="Q8" i="51" s="1"/>
  <c r="P7" i="51"/>
  <c r="Q7" i="51" s="1"/>
  <c r="P6" i="51"/>
  <c r="Q6" i="51" s="1"/>
  <c r="O5" i="51"/>
  <c r="M5" i="51"/>
  <c r="J5" i="51"/>
  <c r="I5" i="51"/>
  <c r="H5" i="51"/>
  <c r="G5" i="51"/>
  <c r="F5" i="51"/>
  <c r="E5" i="51"/>
  <c r="D5" i="51"/>
  <c r="P14" i="53" l="1"/>
  <c r="Q14" i="53" s="1"/>
  <c r="P127" i="53"/>
  <c r="Q127" i="53" s="1"/>
  <c r="P107" i="53"/>
  <c r="Q107" i="53" s="1"/>
  <c r="G134" i="53"/>
  <c r="P68" i="53"/>
  <c r="Q68" i="53" s="1"/>
  <c r="H134" i="53"/>
  <c r="I134" i="53"/>
  <c r="P26" i="53"/>
  <c r="Q26" i="53" s="1"/>
  <c r="M134" i="53"/>
  <c r="L134" i="53"/>
  <c r="N134" i="53"/>
  <c r="O134" i="53"/>
  <c r="E134" i="53"/>
  <c r="F134" i="53"/>
  <c r="P5" i="53"/>
  <c r="Q5" i="53" s="1"/>
  <c r="K134" i="53"/>
  <c r="J134" i="53"/>
  <c r="P116" i="53"/>
  <c r="Q116" i="53" s="1"/>
  <c r="D134" i="53"/>
  <c r="P120" i="52"/>
  <c r="Q120" i="52" s="1"/>
  <c r="P109" i="52"/>
  <c r="Q109" i="52" s="1"/>
  <c r="P65" i="52"/>
  <c r="Q65" i="52" s="1"/>
  <c r="P25" i="52"/>
  <c r="Q25" i="52" s="1"/>
  <c r="P14" i="52"/>
  <c r="Q14" i="52" s="1"/>
  <c r="O129" i="52"/>
  <c r="M129" i="52"/>
  <c r="F129" i="52"/>
  <c r="D129" i="52"/>
  <c r="G129" i="52"/>
  <c r="H129" i="52"/>
  <c r="I129" i="52"/>
  <c r="J129" i="52"/>
  <c r="E129" i="52"/>
  <c r="P101" i="52"/>
  <c r="Q101" i="52" s="1"/>
  <c r="P5" i="52"/>
  <c r="Q5" i="52" s="1"/>
  <c r="P123" i="51"/>
  <c r="Q123" i="51" s="1"/>
  <c r="P112" i="51"/>
  <c r="Q112" i="51" s="1"/>
  <c r="P103" i="51"/>
  <c r="Q103" i="51" s="1"/>
  <c r="P67" i="51"/>
  <c r="Q67" i="51" s="1"/>
  <c r="M132" i="51"/>
  <c r="P27" i="51"/>
  <c r="Q27" i="51" s="1"/>
  <c r="O132" i="51"/>
  <c r="P14" i="51"/>
  <c r="Q14" i="51" s="1"/>
  <c r="J132" i="51"/>
  <c r="D132" i="51"/>
  <c r="E132" i="51"/>
  <c r="F132" i="51"/>
  <c r="H132" i="51"/>
  <c r="G132" i="51"/>
  <c r="I132" i="51"/>
  <c r="P5" i="51"/>
  <c r="Q5" i="51" s="1"/>
  <c r="P153" i="50"/>
  <c r="Q153" i="50" s="1"/>
  <c r="P152" i="50"/>
  <c r="Q152" i="50" s="1"/>
  <c r="P151" i="50"/>
  <c r="Q151" i="50" s="1"/>
  <c r="P150" i="50"/>
  <c r="Q150" i="50" s="1"/>
  <c r="P149" i="50"/>
  <c r="Q149" i="50" s="1"/>
  <c r="P148" i="50"/>
  <c r="Q148" i="50" s="1"/>
  <c r="P147" i="50"/>
  <c r="Q147" i="50" s="1"/>
  <c r="O146" i="50"/>
  <c r="M146" i="50"/>
  <c r="J146" i="50"/>
  <c r="I146" i="50"/>
  <c r="H146" i="50"/>
  <c r="G146" i="50"/>
  <c r="F146" i="50"/>
  <c r="E146" i="50"/>
  <c r="D146" i="50"/>
  <c r="P145" i="50"/>
  <c r="Q145" i="50" s="1"/>
  <c r="P144" i="50"/>
  <c r="Q144" i="50" s="1"/>
  <c r="P143" i="50"/>
  <c r="Q143" i="50" s="1"/>
  <c r="P142" i="50"/>
  <c r="Q142" i="50" s="1"/>
  <c r="P141" i="50"/>
  <c r="Q141" i="50" s="1"/>
  <c r="P140" i="50"/>
  <c r="Q140" i="50" s="1"/>
  <c r="P139" i="50"/>
  <c r="Q139" i="50" s="1"/>
  <c r="P138" i="50"/>
  <c r="Q138" i="50" s="1"/>
  <c r="P137" i="50"/>
  <c r="Q137" i="50" s="1"/>
  <c r="P136" i="50"/>
  <c r="Q136" i="50" s="1"/>
  <c r="O135" i="50"/>
  <c r="M135" i="50"/>
  <c r="J135" i="50"/>
  <c r="I135" i="50"/>
  <c r="H135" i="50"/>
  <c r="G135" i="50"/>
  <c r="F135" i="50"/>
  <c r="E135" i="50"/>
  <c r="D135" i="50"/>
  <c r="P134" i="50"/>
  <c r="Q134" i="50" s="1"/>
  <c r="P133" i="50"/>
  <c r="Q133" i="50" s="1"/>
  <c r="P132" i="50"/>
  <c r="Q132" i="50" s="1"/>
  <c r="P131" i="50"/>
  <c r="Q131" i="50" s="1"/>
  <c r="P130" i="50"/>
  <c r="Q130" i="50" s="1"/>
  <c r="P129" i="50"/>
  <c r="Q129" i="50" s="1"/>
  <c r="P128" i="50"/>
  <c r="Q128" i="50" s="1"/>
  <c r="P127" i="50"/>
  <c r="Q127" i="50" s="1"/>
  <c r="P126" i="50"/>
  <c r="Q126" i="50" s="1"/>
  <c r="O125" i="50"/>
  <c r="M125" i="50"/>
  <c r="J125" i="50"/>
  <c r="I125" i="50"/>
  <c r="H125" i="50"/>
  <c r="G125" i="50"/>
  <c r="F125" i="50"/>
  <c r="E125" i="50"/>
  <c r="D125" i="50"/>
  <c r="P124" i="50"/>
  <c r="Q124" i="50" s="1"/>
  <c r="P123" i="50"/>
  <c r="Q123" i="50" s="1"/>
  <c r="P122" i="50"/>
  <c r="Q122" i="50" s="1"/>
  <c r="P121" i="50"/>
  <c r="Q121" i="50" s="1"/>
  <c r="P120" i="50"/>
  <c r="Q120" i="50" s="1"/>
  <c r="P119" i="50"/>
  <c r="Q119" i="50" s="1"/>
  <c r="P118" i="50"/>
  <c r="Q118" i="50" s="1"/>
  <c r="P117" i="50"/>
  <c r="Q117" i="50" s="1"/>
  <c r="P116" i="50"/>
  <c r="Q116" i="50" s="1"/>
  <c r="P115" i="50"/>
  <c r="Q115" i="50" s="1"/>
  <c r="P114" i="50"/>
  <c r="Q114" i="50" s="1"/>
  <c r="P113" i="50"/>
  <c r="Q113" i="50" s="1"/>
  <c r="P112" i="50"/>
  <c r="Q112" i="50" s="1"/>
  <c r="P111" i="50"/>
  <c r="Q111" i="50" s="1"/>
  <c r="P110" i="50"/>
  <c r="Q110" i="50" s="1"/>
  <c r="P109" i="50"/>
  <c r="Q109" i="50" s="1"/>
  <c r="P108" i="50"/>
  <c r="Q108" i="50" s="1"/>
  <c r="P107" i="50"/>
  <c r="Q107" i="50" s="1"/>
  <c r="P106" i="50"/>
  <c r="Q106" i="50" s="1"/>
  <c r="P105" i="50"/>
  <c r="Q105" i="50" s="1"/>
  <c r="P104" i="50"/>
  <c r="Q104" i="50" s="1"/>
  <c r="P103" i="50"/>
  <c r="Q103" i="50" s="1"/>
  <c r="P102" i="50"/>
  <c r="Q102" i="50" s="1"/>
  <c r="P101" i="50"/>
  <c r="Q101" i="50" s="1"/>
  <c r="P100" i="50"/>
  <c r="Q100" i="50" s="1"/>
  <c r="P99" i="50"/>
  <c r="Q99" i="50" s="1"/>
  <c r="P98" i="50"/>
  <c r="Q98" i="50" s="1"/>
  <c r="P97" i="50"/>
  <c r="Q97" i="50" s="1"/>
  <c r="P96" i="50"/>
  <c r="Q96" i="50" s="1"/>
  <c r="P95" i="50"/>
  <c r="Q95" i="50" s="1"/>
  <c r="P94" i="50"/>
  <c r="Q94" i="50" s="1"/>
  <c r="P93" i="50"/>
  <c r="Q93" i="50" s="1"/>
  <c r="P92" i="50"/>
  <c r="Q92" i="50" s="1"/>
  <c r="P91" i="50"/>
  <c r="Q91" i="50" s="1"/>
  <c r="P90" i="50"/>
  <c r="Q90" i="50" s="1"/>
  <c r="P89" i="50"/>
  <c r="Q89" i="50" s="1"/>
  <c r="P88" i="50"/>
  <c r="Q88" i="50" s="1"/>
  <c r="P87" i="50"/>
  <c r="Q87" i="50" s="1"/>
  <c r="P86" i="50"/>
  <c r="Q86" i="50" s="1"/>
  <c r="P85" i="50"/>
  <c r="Q85" i="50" s="1"/>
  <c r="P84" i="50"/>
  <c r="Q84" i="50" s="1"/>
  <c r="P83" i="50"/>
  <c r="Q83" i="50" s="1"/>
  <c r="P82" i="50"/>
  <c r="Q82" i="50" s="1"/>
  <c r="P81" i="50"/>
  <c r="Q81" i="50" s="1"/>
  <c r="P80" i="50"/>
  <c r="Q80" i="50" s="1"/>
  <c r="P79" i="50"/>
  <c r="Q79" i="50" s="1"/>
  <c r="P78" i="50"/>
  <c r="Q78" i="50" s="1"/>
  <c r="P77" i="50"/>
  <c r="Q77" i="50" s="1"/>
  <c r="P76" i="50"/>
  <c r="Q76" i="50" s="1"/>
  <c r="P75" i="50"/>
  <c r="Q75" i="50" s="1"/>
  <c r="P74" i="50"/>
  <c r="Q74" i="50" s="1"/>
  <c r="P73" i="50"/>
  <c r="Q73" i="50" s="1"/>
  <c r="P72" i="50"/>
  <c r="Q72" i="50" s="1"/>
  <c r="P71" i="50"/>
  <c r="Q71" i="50" s="1"/>
  <c r="O70" i="50"/>
  <c r="M70" i="50"/>
  <c r="J70" i="50"/>
  <c r="I70" i="50"/>
  <c r="H70" i="50"/>
  <c r="G70" i="50"/>
  <c r="F70" i="50"/>
  <c r="E70" i="50"/>
  <c r="D70" i="50"/>
  <c r="P69" i="50"/>
  <c r="Q69" i="50" s="1"/>
  <c r="P68" i="50"/>
  <c r="Q68" i="50" s="1"/>
  <c r="P67" i="50"/>
  <c r="Q67" i="50" s="1"/>
  <c r="P66" i="50"/>
  <c r="Q66" i="50" s="1"/>
  <c r="P65" i="50"/>
  <c r="Q65" i="50" s="1"/>
  <c r="P64" i="50"/>
  <c r="Q64" i="50" s="1"/>
  <c r="P63" i="50"/>
  <c r="Q63" i="50" s="1"/>
  <c r="P62" i="50"/>
  <c r="Q62" i="50" s="1"/>
  <c r="P61" i="50"/>
  <c r="Q61" i="50" s="1"/>
  <c r="P60" i="50"/>
  <c r="Q60" i="50" s="1"/>
  <c r="P59" i="50"/>
  <c r="Q59" i="50" s="1"/>
  <c r="P58" i="50"/>
  <c r="Q58" i="50" s="1"/>
  <c r="P57" i="50"/>
  <c r="Q57" i="50" s="1"/>
  <c r="P56" i="50"/>
  <c r="Q56" i="50" s="1"/>
  <c r="P55" i="50"/>
  <c r="Q55" i="50" s="1"/>
  <c r="P54" i="50"/>
  <c r="Q54" i="50" s="1"/>
  <c r="P53" i="50"/>
  <c r="Q53" i="50" s="1"/>
  <c r="P52" i="50"/>
  <c r="Q52" i="50" s="1"/>
  <c r="P51" i="50"/>
  <c r="Q51" i="50" s="1"/>
  <c r="P50" i="50"/>
  <c r="Q50" i="50" s="1"/>
  <c r="P49" i="50"/>
  <c r="Q49" i="50" s="1"/>
  <c r="P48" i="50"/>
  <c r="Q48" i="50" s="1"/>
  <c r="P47" i="50"/>
  <c r="Q47" i="50" s="1"/>
  <c r="P46" i="50"/>
  <c r="Q46" i="50" s="1"/>
  <c r="P45" i="50"/>
  <c r="Q45" i="50" s="1"/>
  <c r="P44" i="50"/>
  <c r="Q44" i="50" s="1"/>
  <c r="P43" i="50"/>
  <c r="Q43" i="50" s="1"/>
  <c r="P42" i="50"/>
  <c r="Q42" i="50" s="1"/>
  <c r="P41" i="50"/>
  <c r="Q41" i="50" s="1"/>
  <c r="P40" i="50"/>
  <c r="Q40" i="50" s="1"/>
  <c r="P39" i="50"/>
  <c r="Q39" i="50" s="1"/>
  <c r="P38" i="50"/>
  <c r="Q38" i="50" s="1"/>
  <c r="P37" i="50"/>
  <c r="Q37" i="50" s="1"/>
  <c r="P36" i="50"/>
  <c r="Q36" i="50" s="1"/>
  <c r="P35" i="50"/>
  <c r="Q35" i="50" s="1"/>
  <c r="P34" i="50"/>
  <c r="Q34" i="50" s="1"/>
  <c r="P33" i="50"/>
  <c r="Q33" i="50" s="1"/>
  <c r="P32" i="50"/>
  <c r="Q32" i="50" s="1"/>
  <c r="P31" i="50"/>
  <c r="Q31" i="50" s="1"/>
  <c r="P30" i="50"/>
  <c r="Q30" i="50" s="1"/>
  <c r="P29" i="50"/>
  <c r="Q29" i="50" s="1"/>
  <c r="P28" i="50"/>
  <c r="Q28" i="50" s="1"/>
  <c r="O27" i="50"/>
  <c r="M27" i="50"/>
  <c r="J27" i="50"/>
  <c r="I27" i="50"/>
  <c r="H27" i="50"/>
  <c r="G27" i="50"/>
  <c r="F27" i="50"/>
  <c r="E27" i="50"/>
  <c r="D27" i="50"/>
  <c r="P26" i="50"/>
  <c r="Q26" i="50" s="1"/>
  <c r="P25" i="50"/>
  <c r="Q25" i="50" s="1"/>
  <c r="P24" i="50"/>
  <c r="Q24" i="50" s="1"/>
  <c r="P23" i="50"/>
  <c r="Q23" i="50" s="1"/>
  <c r="P22" i="50"/>
  <c r="Q22" i="50" s="1"/>
  <c r="P21" i="50"/>
  <c r="Q21" i="50" s="1"/>
  <c r="P20" i="50"/>
  <c r="Q20" i="50" s="1"/>
  <c r="P19" i="50"/>
  <c r="Q19" i="50" s="1"/>
  <c r="P18" i="50"/>
  <c r="Q18" i="50" s="1"/>
  <c r="P17" i="50"/>
  <c r="Q17" i="50" s="1"/>
  <c r="P16" i="50"/>
  <c r="Q16" i="50" s="1"/>
  <c r="P15" i="50"/>
  <c r="Q15" i="50" s="1"/>
  <c r="O14" i="50"/>
  <c r="M14" i="50"/>
  <c r="J14" i="50"/>
  <c r="I14" i="50"/>
  <c r="H14" i="50"/>
  <c r="G14" i="50"/>
  <c r="F14" i="50"/>
  <c r="E14" i="50"/>
  <c r="D14" i="50"/>
  <c r="P13" i="50"/>
  <c r="Q13" i="50" s="1"/>
  <c r="P12" i="50"/>
  <c r="Q12" i="50" s="1"/>
  <c r="P11" i="50"/>
  <c r="Q11" i="50" s="1"/>
  <c r="P10" i="50"/>
  <c r="Q10" i="50" s="1"/>
  <c r="P9" i="50"/>
  <c r="Q9" i="50" s="1"/>
  <c r="P8" i="50"/>
  <c r="Q8" i="50" s="1"/>
  <c r="P7" i="50"/>
  <c r="Q7" i="50" s="1"/>
  <c r="P6" i="50"/>
  <c r="Q6" i="50" s="1"/>
  <c r="O5" i="50"/>
  <c r="M5" i="50"/>
  <c r="J5" i="50"/>
  <c r="I5" i="50"/>
  <c r="H5" i="50"/>
  <c r="G5" i="50"/>
  <c r="F5" i="50"/>
  <c r="E5" i="50"/>
  <c r="D5" i="50"/>
  <c r="P134" i="53" l="1"/>
  <c r="Q134" i="53" s="1"/>
  <c r="P129" i="52"/>
  <c r="P132" i="51"/>
  <c r="P146" i="50"/>
  <c r="Q146" i="50" s="1"/>
  <c r="P135" i="50"/>
  <c r="Q135" i="50" s="1"/>
  <c r="P125" i="50"/>
  <c r="Q125" i="50" s="1"/>
  <c r="P70" i="50"/>
  <c r="Q70" i="50" s="1"/>
  <c r="P27" i="50"/>
  <c r="Q27" i="50" s="1"/>
  <c r="D154" i="50"/>
  <c r="J154" i="50"/>
  <c r="M154" i="50"/>
  <c r="I154" i="50"/>
  <c r="P5" i="50"/>
  <c r="Q5" i="50" s="1"/>
  <c r="F154" i="50"/>
  <c r="O154" i="50"/>
  <c r="G154" i="50"/>
  <c r="H154" i="50"/>
  <c r="P14" i="50"/>
  <c r="Q14" i="50" s="1"/>
  <c r="E154" i="50"/>
  <c r="P157" i="49"/>
  <c r="Q157" i="49" s="1"/>
  <c r="P156" i="49"/>
  <c r="Q156" i="49" s="1"/>
  <c r="P155" i="49"/>
  <c r="Q155" i="49" s="1"/>
  <c r="P154" i="49"/>
  <c r="Q154" i="49" s="1"/>
  <c r="P153" i="49"/>
  <c r="Q153" i="49" s="1"/>
  <c r="P152" i="49"/>
  <c r="Q152" i="49" s="1"/>
  <c r="P151" i="49"/>
  <c r="Q151" i="49" s="1"/>
  <c r="O150" i="49"/>
  <c r="N150" i="49"/>
  <c r="M150" i="49"/>
  <c r="K150" i="49"/>
  <c r="J150" i="49"/>
  <c r="I150" i="49"/>
  <c r="H150" i="49"/>
  <c r="G150" i="49"/>
  <c r="F150" i="49"/>
  <c r="E150" i="49"/>
  <c r="D150" i="49"/>
  <c r="P149" i="49"/>
  <c r="Q149" i="49" s="1"/>
  <c r="P148" i="49"/>
  <c r="Q148" i="49" s="1"/>
  <c r="P147" i="49"/>
  <c r="Q147" i="49" s="1"/>
  <c r="P146" i="49"/>
  <c r="Q146" i="49" s="1"/>
  <c r="P145" i="49"/>
  <c r="Q145" i="49" s="1"/>
  <c r="P144" i="49"/>
  <c r="Q144" i="49" s="1"/>
  <c r="P143" i="49"/>
  <c r="Q143" i="49"/>
  <c r="P142" i="49"/>
  <c r="Q142" i="49" s="1"/>
  <c r="P141" i="49"/>
  <c r="Q141" i="49" s="1"/>
  <c r="O140" i="49"/>
  <c r="N140" i="49"/>
  <c r="M140" i="49"/>
  <c r="K140" i="49"/>
  <c r="J140" i="49"/>
  <c r="I140" i="49"/>
  <c r="H140" i="49"/>
  <c r="G140" i="49"/>
  <c r="F140" i="49"/>
  <c r="E140" i="49"/>
  <c r="D140" i="49"/>
  <c r="P140" i="49" s="1"/>
  <c r="Q140" i="49" s="1"/>
  <c r="P139" i="49"/>
  <c r="Q139" i="49"/>
  <c r="P138" i="49"/>
  <c r="Q138" i="49" s="1"/>
  <c r="P137" i="49"/>
  <c r="Q137" i="49" s="1"/>
  <c r="P136" i="49"/>
  <c r="Q136" i="49"/>
  <c r="P135" i="49"/>
  <c r="Q135" i="49" s="1"/>
  <c r="P134" i="49"/>
  <c r="Q134" i="49" s="1"/>
  <c r="P133" i="49"/>
  <c r="Q133" i="49" s="1"/>
  <c r="P132" i="49"/>
  <c r="Q132" i="49" s="1"/>
  <c r="P131" i="49"/>
  <c r="Q131" i="49" s="1"/>
  <c r="P130" i="49"/>
  <c r="Q130" i="49"/>
  <c r="O129" i="49"/>
  <c r="N129" i="49"/>
  <c r="M129" i="49"/>
  <c r="K129" i="49"/>
  <c r="J129" i="49"/>
  <c r="I129" i="49"/>
  <c r="H129" i="49"/>
  <c r="P129" i="49" s="1"/>
  <c r="Q129" i="49" s="1"/>
  <c r="G129" i="49"/>
  <c r="F129" i="49"/>
  <c r="E129" i="49"/>
  <c r="D129" i="49"/>
  <c r="P128" i="49"/>
  <c r="Q128" i="49" s="1"/>
  <c r="P127" i="49"/>
  <c r="Q127" i="49"/>
  <c r="P126" i="49"/>
  <c r="Q126" i="49"/>
  <c r="P125" i="49"/>
  <c r="Q125" i="49" s="1"/>
  <c r="P124" i="49"/>
  <c r="Q124" i="49" s="1"/>
  <c r="P123" i="49"/>
  <c r="Q123" i="49" s="1"/>
  <c r="P122" i="49"/>
  <c r="Q122" i="49" s="1"/>
  <c r="P121" i="49"/>
  <c r="Q121" i="49" s="1"/>
  <c r="P120" i="49"/>
  <c r="Q120" i="49" s="1"/>
  <c r="P119" i="49"/>
  <c r="Q119" i="49"/>
  <c r="P118" i="49"/>
  <c r="Q118" i="49"/>
  <c r="P117" i="49"/>
  <c r="Q117" i="49" s="1"/>
  <c r="P116" i="49"/>
  <c r="Q116" i="49" s="1"/>
  <c r="P115" i="49"/>
  <c r="Q115" i="49" s="1"/>
  <c r="P114" i="49"/>
  <c r="Q114" i="49" s="1"/>
  <c r="P113" i="49"/>
  <c r="Q113" i="49" s="1"/>
  <c r="P112" i="49"/>
  <c r="Q112" i="49" s="1"/>
  <c r="P111" i="49"/>
  <c r="Q111" i="49"/>
  <c r="P110" i="49"/>
  <c r="Q110" i="49" s="1"/>
  <c r="P109" i="49"/>
  <c r="Q109" i="49"/>
  <c r="P108" i="49"/>
  <c r="Q108" i="49" s="1"/>
  <c r="P107" i="49"/>
  <c r="Q107" i="49" s="1"/>
  <c r="P106" i="49"/>
  <c r="Q106" i="49"/>
  <c r="P105" i="49"/>
  <c r="Q105" i="49" s="1"/>
  <c r="P104" i="49"/>
  <c r="Q104" i="49" s="1"/>
  <c r="P103" i="49"/>
  <c r="Q103" i="49" s="1"/>
  <c r="P102" i="49"/>
  <c r="Q102" i="49" s="1"/>
  <c r="P101" i="49"/>
  <c r="Q101" i="49" s="1"/>
  <c r="P100" i="49"/>
  <c r="Q100" i="49" s="1"/>
  <c r="P99" i="49"/>
  <c r="Q99" i="49"/>
  <c r="P98" i="49"/>
  <c r="Q98" i="49"/>
  <c r="P97" i="49"/>
  <c r="Q97" i="49"/>
  <c r="P96" i="49"/>
  <c r="Q96" i="49"/>
  <c r="P95" i="49"/>
  <c r="Q95" i="49" s="1"/>
  <c r="P94" i="49"/>
  <c r="Q94" i="49" s="1"/>
  <c r="P93" i="49"/>
  <c r="Q93" i="49" s="1"/>
  <c r="P92" i="49"/>
  <c r="Q92" i="49" s="1"/>
  <c r="P91" i="49"/>
  <c r="Q91" i="49"/>
  <c r="P90" i="49"/>
  <c r="Q90" i="49" s="1"/>
  <c r="P89" i="49"/>
  <c r="Q89" i="49"/>
  <c r="P88" i="49"/>
  <c r="Q88" i="49" s="1"/>
  <c r="P87" i="49"/>
  <c r="Q87" i="49" s="1"/>
  <c r="P86" i="49"/>
  <c r="Q86" i="49" s="1"/>
  <c r="P85" i="49"/>
  <c r="Q85" i="49" s="1"/>
  <c r="P84" i="49"/>
  <c r="Q84" i="49" s="1"/>
  <c r="P83" i="49"/>
  <c r="Q83" i="49"/>
  <c r="P82" i="49"/>
  <c r="Q82" i="49"/>
  <c r="P81" i="49"/>
  <c r="Q81" i="49" s="1"/>
  <c r="P80" i="49"/>
  <c r="Q80" i="49" s="1"/>
  <c r="P79" i="49"/>
  <c r="Q79" i="49" s="1"/>
  <c r="P78" i="49"/>
  <c r="Q78" i="49"/>
  <c r="P77" i="49"/>
  <c r="Q77" i="49"/>
  <c r="P76" i="49"/>
  <c r="Q76" i="49"/>
  <c r="P75" i="49"/>
  <c r="Q75" i="49"/>
  <c r="P74" i="49"/>
  <c r="Q74" i="49" s="1"/>
  <c r="O73" i="49"/>
  <c r="N73" i="49"/>
  <c r="M73" i="49"/>
  <c r="K73" i="49"/>
  <c r="J73" i="49"/>
  <c r="I73" i="49"/>
  <c r="I158" i="49" s="1"/>
  <c r="H73" i="49"/>
  <c r="G73" i="49"/>
  <c r="F73" i="49"/>
  <c r="E73" i="49"/>
  <c r="D73" i="49"/>
  <c r="P72" i="49"/>
  <c r="Q72" i="49" s="1"/>
  <c r="P71" i="49"/>
  <c r="Q71" i="49" s="1"/>
  <c r="P70" i="49"/>
  <c r="Q70" i="49"/>
  <c r="P69" i="49"/>
  <c r="Q69" i="49" s="1"/>
  <c r="P68" i="49"/>
  <c r="Q68" i="49" s="1"/>
  <c r="P67" i="49"/>
  <c r="Q67" i="49"/>
  <c r="P66" i="49"/>
  <c r="Q66" i="49" s="1"/>
  <c r="P65" i="49"/>
  <c r="Q65" i="49" s="1"/>
  <c r="P64" i="49"/>
  <c r="Q64" i="49" s="1"/>
  <c r="P63" i="49"/>
  <c r="Q63" i="49" s="1"/>
  <c r="P62" i="49"/>
  <c r="Q62" i="49" s="1"/>
  <c r="P61" i="49"/>
  <c r="Q61" i="49" s="1"/>
  <c r="P60" i="49"/>
  <c r="Q60" i="49" s="1"/>
  <c r="P59" i="49"/>
  <c r="Q59" i="49" s="1"/>
  <c r="P58" i="49"/>
  <c r="Q58" i="49" s="1"/>
  <c r="P57" i="49"/>
  <c r="Q57" i="49" s="1"/>
  <c r="P56" i="49"/>
  <c r="Q56" i="49" s="1"/>
  <c r="P55" i="49"/>
  <c r="Q55" i="49" s="1"/>
  <c r="P54" i="49"/>
  <c r="Q54" i="49" s="1"/>
  <c r="P53" i="49"/>
  <c r="Q53" i="49" s="1"/>
  <c r="P52" i="49"/>
  <c r="Q52" i="49" s="1"/>
  <c r="P51" i="49"/>
  <c r="Q51" i="49" s="1"/>
  <c r="P50" i="49"/>
  <c r="Q50" i="49" s="1"/>
  <c r="P49" i="49"/>
  <c r="Q49" i="49" s="1"/>
  <c r="P48" i="49"/>
  <c r="Q48" i="49" s="1"/>
  <c r="P47" i="49"/>
  <c r="Q47" i="49" s="1"/>
  <c r="P46" i="49"/>
  <c r="Q46" i="49" s="1"/>
  <c r="P45" i="49"/>
  <c r="Q45" i="49" s="1"/>
  <c r="P44" i="49"/>
  <c r="Q44" i="49" s="1"/>
  <c r="P43" i="49"/>
  <c r="Q43" i="49" s="1"/>
  <c r="P42" i="49"/>
  <c r="Q42" i="49" s="1"/>
  <c r="P41" i="49"/>
  <c r="Q41" i="49" s="1"/>
  <c r="P40" i="49"/>
  <c r="Q40" i="49"/>
  <c r="P39" i="49"/>
  <c r="Q39" i="49" s="1"/>
  <c r="P38" i="49"/>
  <c r="Q38" i="49" s="1"/>
  <c r="P37" i="49"/>
  <c r="Q37" i="49"/>
  <c r="P36" i="49"/>
  <c r="Q36" i="49" s="1"/>
  <c r="P35" i="49"/>
  <c r="Q35" i="49" s="1"/>
  <c r="P34" i="49"/>
  <c r="Q34" i="49" s="1"/>
  <c r="P33" i="49"/>
  <c r="Q33" i="49" s="1"/>
  <c r="P32" i="49"/>
  <c r="Q32" i="49" s="1"/>
  <c r="P31" i="49"/>
  <c r="Q31" i="49" s="1"/>
  <c r="P30" i="49"/>
  <c r="Q30" i="49" s="1"/>
  <c r="P29" i="49"/>
  <c r="Q29" i="49" s="1"/>
  <c r="O28" i="49"/>
  <c r="N28" i="49"/>
  <c r="M28" i="49"/>
  <c r="K28" i="49"/>
  <c r="J28" i="49"/>
  <c r="I28" i="49"/>
  <c r="H28" i="49"/>
  <c r="G28" i="49"/>
  <c r="F28" i="49"/>
  <c r="E28" i="49"/>
  <c r="D28" i="49"/>
  <c r="P27" i="49"/>
  <c r="Q27" i="49" s="1"/>
  <c r="P26" i="49"/>
  <c r="Q26" i="49"/>
  <c r="P25" i="49"/>
  <c r="Q25" i="49" s="1"/>
  <c r="P24" i="49"/>
  <c r="Q24" i="49" s="1"/>
  <c r="P23" i="49"/>
  <c r="Q23" i="49" s="1"/>
  <c r="P22" i="49"/>
  <c r="Q22" i="49" s="1"/>
  <c r="P21" i="49"/>
  <c r="Q21" i="49"/>
  <c r="P20" i="49"/>
  <c r="Q20" i="49" s="1"/>
  <c r="P19" i="49"/>
  <c r="Q19" i="49"/>
  <c r="P18" i="49"/>
  <c r="Q18" i="49"/>
  <c r="P17" i="49"/>
  <c r="Q17" i="49" s="1"/>
  <c r="P16" i="49"/>
  <c r="Q16" i="49"/>
  <c r="O15" i="49"/>
  <c r="N15" i="49"/>
  <c r="M15" i="49"/>
  <c r="K15" i="49"/>
  <c r="J15" i="49"/>
  <c r="I15" i="49"/>
  <c r="H15" i="49"/>
  <c r="G15" i="49"/>
  <c r="F15" i="49"/>
  <c r="E15" i="49"/>
  <c r="D15" i="49"/>
  <c r="P14" i="49"/>
  <c r="Q14" i="49" s="1"/>
  <c r="P13" i="49"/>
  <c r="Q13" i="49" s="1"/>
  <c r="P12" i="49"/>
  <c r="Q12" i="49" s="1"/>
  <c r="P11" i="49"/>
  <c r="Q11" i="49" s="1"/>
  <c r="P10" i="49"/>
  <c r="Q10" i="49" s="1"/>
  <c r="P9" i="49"/>
  <c r="Q9" i="49" s="1"/>
  <c r="P8" i="49"/>
  <c r="Q8" i="49" s="1"/>
  <c r="P7" i="49"/>
  <c r="Q7" i="49"/>
  <c r="P6" i="49"/>
  <c r="Q6" i="49" s="1"/>
  <c r="O5" i="49"/>
  <c r="O158" i="49" s="1"/>
  <c r="N5" i="49"/>
  <c r="M5" i="49"/>
  <c r="M158" i="49" s="1"/>
  <c r="K5" i="49"/>
  <c r="J5" i="49"/>
  <c r="I5" i="49"/>
  <c r="H5" i="49"/>
  <c r="G5" i="49"/>
  <c r="F5" i="49"/>
  <c r="E5" i="49"/>
  <c r="D5" i="49"/>
  <c r="N133" i="47"/>
  <c r="O133" i="47"/>
  <c r="N132" i="47"/>
  <c r="O132" i="47" s="1"/>
  <c r="N131" i="47"/>
  <c r="O131" i="47" s="1"/>
  <c r="N130" i="47"/>
  <c r="O130" i="47" s="1"/>
  <c r="N129" i="47"/>
  <c r="O129" i="47" s="1"/>
  <c r="M128" i="47"/>
  <c r="L128" i="47"/>
  <c r="K128" i="47"/>
  <c r="J128" i="47"/>
  <c r="I128" i="47"/>
  <c r="H128" i="47"/>
  <c r="G128" i="47"/>
  <c r="F128" i="47"/>
  <c r="F134" i="47" s="1"/>
  <c r="E128" i="47"/>
  <c r="N128" i="47" s="1"/>
  <c r="O128" i="47" s="1"/>
  <c r="D128" i="47"/>
  <c r="N127" i="47"/>
  <c r="O127" i="47"/>
  <c r="N126" i="47"/>
  <c r="O126" i="47"/>
  <c r="N125" i="47"/>
  <c r="O125" i="47" s="1"/>
  <c r="N124" i="47"/>
  <c r="O124" i="47" s="1"/>
  <c r="N123" i="47"/>
  <c r="O123" i="47" s="1"/>
  <c r="N122" i="47"/>
  <c r="O122" i="47"/>
  <c r="N121" i="47"/>
  <c r="O121" i="47" s="1"/>
  <c r="N120" i="47"/>
  <c r="O120" i="47"/>
  <c r="N119" i="47"/>
  <c r="O119" i="47"/>
  <c r="M118" i="47"/>
  <c r="L118" i="47"/>
  <c r="K118" i="47"/>
  <c r="J118" i="47"/>
  <c r="J134" i="47" s="1"/>
  <c r="I118" i="47"/>
  <c r="H118" i="47"/>
  <c r="G118" i="47"/>
  <c r="F118" i="47"/>
  <c r="E118" i="47"/>
  <c r="D118" i="47"/>
  <c r="N117" i="47"/>
  <c r="O117" i="47"/>
  <c r="N116" i="47"/>
  <c r="O116" i="47"/>
  <c r="N115" i="47"/>
  <c r="O115" i="47" s="1"/>
  <c r="N114" i="47"/>
  <c r="O114" i="47"/>
  <c r="N113" i="47"/>
  <c r="O113" i="47" s="1"/>
  <c r="N112" i="47"/>
  <c r="O112" i="47"/>
  <c r="N111" i="47"/>
  <c r="O111" i="47"/>
  <c r="N110" i="47"/>
  <c r="O110" i="47"/>
  <c r="M109" i="47"/>
  <c r="L109" i="47"/>
  <c r="K109" i="47"/>
  <c r="J109" i="47"/>
  <c r="I109" i="47"/>
  <c r="H109" i="47"/>
  <c r="G109" i="47"/>
  <c r="F109" i="47"/>
  <c r="E109" i="47"/>
  <c r="N109" i="47" s="1"/>
  <c r="O109" i="47" s="1"/>
  <c r="D109" i="47"/>
  <c r="N108" i="47"/>
  <c r="O108" i="47"/>
  <c r="N107" i="47"/>
  <c r="O107" i="47" s="1"/>
  <c r="N106" i="47"/>
  <c r="O106" i="47"/>
  <c r="N105" i="47"/>
  <c r="O105" i="47"/>
  <c r="N104" i="47"/>
  <c r="O104" i="47" s="1"/>
  <c r="N103" i="47"/>
  <c r="O103" i="47"/>
  <c r="N102" i="47"/>
  <c r="O102" i="47" s="1"/>
  <c r="N101" i="47"/>
  <c r="O101" i="47" s="1"/>
  <c r="N100" i="47"/>
  <c r="O100" i="47" s="1"/>
  <c r="N99" i="47"/>
  <c r="O99" i="47" s="1"/>
  <c r="N98" i="47"/>
  <c r="O98" i="47" s="1"/>
  <c r="N97" i="47"/>
  <c r="O97" i="47"/>
  <c r="N96" i="47"/>
  <c r="O96" i="47" s="1"/>
  <c r="N95" i="47"/>
  <c r="O95" i="47" s="1"/>
  <c r="N94" i="47"/>
  <c r="O94" i="47"/>
  <c r="N93" i="47"/>
  <c r="O93" i="47"/>
  <c r="N92" i="47"/>
  <c r="O92" i="47"/>
  <c r="N91" i="47"/>
  <c r="O91" i="47" s="1"/>
  <c r="N90" i="47"/>
  <c r="O90" i="47"/>
  <c r="N89" i="47"/>
  <c r="O89" i="47" s="1"/>
  <c r="N88" i="47"/>
  <c r="O88" i="47" s="1"/>
  <c r="N87" i="47"/>
  <c r="O87" i="47" s="1"/>
  <c r="N86" i="47"/>
  <c r="O86" i="47"/>
  <c r="N85" i="47"/>
  <c r="O85" i="47" s="1"/>
  <c r="N84" i="47"/>
  <c r="O84" i="47"/>
  <c r="N83" i="47"/>
  <c r="O83" i="47" s="1"/>
  <c r="N82" i="47"/>
  <c r="O82" i="47"/>
  <c r="N81" i="47"/>
  <c r="O81" i="47"/>
  <c r="N80" i="47"/>
  <c r="O80" i="47" s="1"/>
  <c r="N79" i="47"/>
  <c r="O79" i="47"/>
  <c r="N78" i="47"/>
  <c r="O78" i="47"/>
  <c r="N77" i="47"/>
  <c r="O77" i="47" s="1"/>
  <c r="N76" i="47"/>
  <c r="O76" i="47" s="1"/>
  <c r="N75" i="47"/>
  <c r="O75" i="47"/>
  <c r="N74" i="47"/>
  <c r="O74" i="47" s="1"/>
  <c r="N73" i="47"/>
  <c r="O73" i="47"/>
  <c r="N72" i="47"/>
  <c r="O72" i="47"/>
  <c r="N71" i="47"/>
  <c r="O71" i="47" s="1"/>
  <c r="M70" i="47"/>
  <c r="L70" i="47"/>
  <c r="K70" i="47"/>
  <c r="N70" i="47" s="1"/>
  <c r="O70" i="47" s="1"/>
  <c r="J70" i="47"/>
  <c r="I70" i="47"/>
  <c r="H70" i="47"/>
  <c r="G70" i="47"/>
  <c r="F70" i="47"/>
  <c r="E70" i="47"/>
  <c r="D70" i="47"/>
  <c r="N69" i="47"/>
  <c r="O69" i="47" s="1"/>
  <c r="N68" i="47"/>
  <c r="O68" i="47"/>
  <c r="N67" i="47"/>
  <c r="O67" i="47" s="1"/>
  <c r="N66" i="47"/>
  <c r="O66" i="47"/>
  <c r="N65" i="47"/>
  <c r="O65" i="47"/>
  <c r="N64" i="47"/>
  <c r="O64" i="47"/>
  <c r="N63" i="47"/>
  <c r="O63" i="47" s="1"/>
  <c r="N62" i="47"/>
  <c r="O62" i="47" s="1"/>
  <c r="N61" i="47"/>
  <c r="O61" i="47"/>
  <c r="N60" i="47"/>
  <c r="O60" i="47"/>
  <c r="N59" i="47"/>
  <c r="O59" i="47"/>
  <c r="N58" i="47"/>
  <c r="O58" i="47" s="1"/>
  <c r="N57" i="47"/>
  <c r="O57" i="47" s="1"/>
  <c r="N56" i="47"/>
  <c r="O56" i="47" s="1"/>
  <c r="N55" i="47"/>
  <c r="O55" i="47"/>
  <c r="N54" i="47"/>
  <c r="O54" i="47" s="1"/>
  <c r="N53" i="47"/>
  <c r="O53" i="47"/>
  <c r="N52" i="47"/>
  <c r="O52" i="47"/>
  <c r="N51" i="47"/>
  <c r="O51" i="47" s="1"/>
  <c r="N50" i="47"/>
  <c r="O50" i="47"/>
  <c r="N49" i="47"/>
  <c r="O49" i="47"/>
  <c r="N48" i="47"/>
  <c r="O48" i="47"/>
  <c r="N47" i="47"/>
  <c r="O47" i="47" s="1"/>
  <c r="N46" i="47"/>
  <c r="O46" i="47"/>
  <c r="N45" i="47"/>
  <c r="O45" i="47" s="1"/>
  <c r="N44" i="47"/>
  <c r="O44" i="47"/>
  <c r="N43" i="47"/>
  <c r="O43" i="47"/>
  <c r="N42" i="47"/>
  <c r="O42" i="47"/>
  <c r="N41" i="47"/>
  <c r="O41" i="47"/>
  <c r="N40" i="47"/>
  <c r="O40" i="47" s="1"/>
  <c r="N39" i="47"/>
  <c r="O39" i="47" s="1"/>
  <c r="N38" i="47"/>
  <c r="O38" i="47"/>
  <c r="N37" i="47"/>
  <c r="O37" i="47"/>
  <c r="N36" i="47"/>
  <c r="O36" i="47" s="1"/>
  <c r="N35" i="47"/>
  <c r="O35" i="47"/>
  <c r="N34" i="47"/>
  <c r="O34" i="47"/>
  <c r="N33" i="47"/>
  <c r="O33" i="47" s="1"/>
  <c r="N32" i="47"/>
  <c r="O32" i="47" s="1"/>
  <c r="N31" i="47"/>
  <c r="O31" i="47"/>
  <c r="N30" i="47"/>
  <c r="O30" i="47"/>
  <c r="N29" i="47"/>
  <c r="O29" i="47" s="1"/>
  <c r="N28" i="47"/>
  <c r="O28" i="47" s="1"/>
  <c r="N27" i="47"/>
  <c r="O27" i="47" s="1"/>
  <c r="M26" i="47"/>
  <c r="L26" i="47"/>
  <c r="K26" i="47"/>
  <c r="J26" i="47"/>
  <c r="I26" i="47"/>
  <c r="H26" i="47"/>
  <c r="G26" i="47"/>
  <c r="F26" i="47"/>
  <c r="E26" i="47"/>
  <c r="D26" i="47"/>
  <c r="N25" i="47"/>
  <c r="O25" i="47" s="1"/>
  <c r="N24" i="47"/>
  <c r="O24" i="47" s="1"/>
  <c r="N23" i="47"/>
  <c r="O23" i="47"/>
  <c r="N22" i="47"/>
  <c r="O22" i="47"/>
  <c r="N21" i="47"/>
  <c r="O21" i="47" s="1"/>
  <c r="N20" i="47"/>
  <c r="O20" i="47" s="1"/>
  <c r="N19" i="47"/>
  <c r="O19" i="47" s="1"/>
  <c r="N18" i="47"/>
  <c r="O18" i="47" s="1"/>
  <c r="N17" i="47"/>
  <c r="O17" i="47"/>
  <c r="N16" i="47"/>
  <c r="O16" i="47"/>
  <c r="N15" i="47"/>
  <c r="O15" i="47"/>
  <c r="N14" i="47"/>
  <c r="O14" i="47"/>
  <c r="M13" i="47"/>
  <c r="M134" i="47" s="1"/>
  <c r="L13" i="47"/>
  <c r="K13" i="47"/>
  <c r="K134" i="47" s="1"/>
  <c r="J13" i="47"/>
  <c r="I13" i="47"/>
  <c r="H13" i="47"/>
  <c r="G13" i="47"/>
  <c r="F13" i="47"/>
  <c r="E13" i="47"/>
  <c r="D13" i="47"/>
  <c r="N12" i="47"/>
  <c r="O12" i="47" s="1"/>
  <c r="N11" i="47"/>
  <c r="O11" i="47" s="1"/>
  <c r="N10" i="47"/>
  <c r="O10" i="47" s="1"/>
  <c r="N9" i="47"/>
  <c r="O9" i="47"/>
  <c r="N8" i="47"/>
  <c r="O8" i="47"/>
  <c r="N7" i="47"/>
  <c r="O7" i="47"/>
  <c r="N6" i="47"/>
  <c r="O6" i="47"/>
  <c r="M5" i="47"/>
  <c r="L5" i="47"/>
  <c r="K5" i="47"/>
  <c r="J5" i="47"/>
  <c r="I5" i="47"/>
  <c r="H5" i="47"/>
  <c r="G5" i="47"/>
  <c r="G134" i="47" s="1"/>
  <c r="F5" i="47"/>
  <c r="E5" i="47"/>
  <c r="D5" i="47"/>
  <c r="N149" i="46"/>
  <c r="O149" i="46" s="1"/>
  <c r="N148" i="46"/>
  <c r="O148" i="46" s="1"/>
  <c r="N147" i="46"/>
  <c r="O147" i="46"/>
  <c r="N146" i="46"/>
  <c r="O146" i="46"/>
  <c r="N145" i="46"/>
  <c r="O145" i="46"/>
  <c r="N144" i="46"/>
  <c r="O144" i="46" s="1"/>
  <c r="M143" i="46"/>
  <c r="L143" i="46"/>
  <c r="K143" i="46"/>
  <c r="J143" i="46"/>
  <c r="I143" i="46"/>
  <c r="H143" i="46"/>
  <c r="G143" i="46"/>
  <c r="F143" i="46"/>
  <c r="E143" i="46"/>
  <c r="D143" i="46"/>
  <c r="N143" i="46" s="1"/>
  <c r="O143" i="46" s="1"/>
  <c r="N142" i="46"/>
  <c r="O142" i="46"/>
  <c r="N141" i="46"/>
  <c r="O141" i="46"/>
  <c r="N140" i="46"/>
  <c r="O140" i="46" s="1"/>
  <c r="N139" i="46"/>
  <c r="O139" i="46"/>
  <c r="N138" i="46"/>
  <c r="O138" i="46"/>
  <c r="N137" i="46"/>
  <c r="O137" i="46" s="1"/>
  <c r="N136" i="46"/>
  <c r="O136" i="46" s="1"/>
  <c r="N135" i="46"/>
  <c r="O135" i="46" s="1"/>
  <c r="M134" i="46"/>
  <c r="L134" i="46"/>
  <c r="K134" i="46"/>
  <c r="J134" i="46"/>
  <c r="I134" i="46"/>
  <c r="H134" i="46"/>
  <c r="G134" i="46"/>
  <c r="F134" i="46"/>
  <c r="E134" i="46"/>
  <c r="D134" i="46"/>
  <c r="N134" i="46" s="1"/>
  <c r="O134" i="46" s="1"/>
  <c r="N133" i="46"/>
  <c r="O133" i="46"/>
  <c r="N132" i="46"/>
  <c r="O132" i="46" s="1"/>
  <c r="N131" i="46"/>
  <c r="O131" i="46" s="1"/>
  <c r="N130" i="46"/>
  <c r="O130" i="46"/>
  <c r="N129" i="46"/>
  <c r="O129" i="46"/>
  <c r="N128" i="46"/>
  <c r="O128" i="46"/>
  <c r="N127" i="46"/>
  <c r="O127" i="46" s="1"/>
  <c r="N126" i="46"/>
  <c r="O126" i="46" s="1"/>
  <c r="N125" i="46"/>
  <c r="O125" i="46" s="1"/>
  <c r="N124" i="46"/>
  <c r="O124" i="46"/>
  <c r="M123" i="46"/>
  <c r="L123" i="46"/>
  <c r="K123" i="46"/>
  <c r="K150" i="46" s="1"/>
  <c r="J123" i="46"/>
  <c r="J150" i="46" s="1"/>
  <c r="I123" i="46"/>
  <c r="H123" i="46"/>
  <c r="N123" i="46" s="1"/>
  <c r="O123" i="46" s="1"/>
  <c r="G123" i="46"/>
  <c r="F123" i="46"/>
  <c r="E123" i="46"/>
  <c r="D123" i="46"/>
  <c r="N122" i="46"/>
  <c r="O122" i="46" s="1"/>
  <c r="N121" i="46"/>
  <c r="O121" i="46" s="1"/>
  <c r="N120" i="46"/>
  <c r="O120" i="46"/>
  <c r="N119" i="46"/>
  <c r="O119" i="46" s="1"/>
  <c r="N118" i="46"/>
  <c r="O118" i="46" s="1"/>
  <c r="N117" i="46"/>
  <c r="O117" i="46"/>
  <c r="N116" i="46"/>
  <c r="O116" i="46" s="1"/>
  <c r="N115" i="46"/>
  <c r="O115" i="46"/>
  <c r="N114" i="46"/>
  <c r="O114" i="46" s="1"/>
  <c r="N113" i="46"/>
  <c r="O113" i="46"/>
  <c r="N112" i="46"/>
  <c r="O112" i="46" s="1"/>
  <c r="N111" i="46"/>
  <c r="O111" i="46" s="1"/>
  <c r="N110" i="46"/>
  <c r="O110" i="46" s="1"/>
  <c r="N109" i="46"/>
  <c r="O109" i="46"/>
  <c r="N108" i="46"/>
  <c r="O108" i="46" s="1"/>
  <c r="N107" i="46"/>
  <c r="O107" i="46"/>
  <c r="N106" i="46"/>
  <c r="O106" i="46" s="1"/>
  <c r="N105" i="46"/>
  <c r="O105" i="46"/>
  <c r="N104" i="46"/>
  <c r="O104" i="46"/>
  <c r="N103" i="46"/>
  <c r="O103" i="46" s="1"/>
  <c r="N102" i="46"/>
  <c r="O102" i="46"/>
  <c r="N101" i="46"/>
  <c r="O101" i="46"/>
  <c r="N100" i="46"/>
  <c r="O100" i="46" s="1"/>
  <c r="N99" i="46"/>
  <c r="O99" i="46" s="1"/>
  <c r="N98" i="46"/>
  <c r="O98" i="46"/>
  <c r="N97" i="46"/>
  <c r="O97" i="46" s="1"/>
  <c r="N96" i="46"/>
  <c r="O96" i="46"/>
  <c r="N95" i="46"/>
  <c r="O95" i="46"/>
  <c r="N94" i="46"/>
  <c r="O94" i="46" s="1"/>
  <c r="N93" i="46"/>
  <c r="O93" i="46" s="1"/>
  <c r="N92" i="46"/>
  <c r="O92" i="46" s="1"/>
  <c r="N91" i="46"/>
  <c r="O91" i="46"/>
  <c r="N90" i="46"/>
  <c r="O90" i="46"/>
  <c r="N89" i="46"/>
  <c r="O89" i="46"/>
  <c r="N88" i="46"/>
  <c r="O88" i="46" s="1"/>
  <c r="N87" i="46"/>
  <c r="O87" i="46"/>
  <c r="N86" i="46"/>
  <c r="O86" i="46" s="1"/>
  <c r="N85" i="46"/>
  <c r="O85" i="46"/>
  <c r="N84" i="46"/>
  <c r="O84" i="46"/>
  <c r="N83" i="46"/>
  <c r="O83" i="46"/>
  <c r="N82" i="46"/>
  <c r="O82" i="46" s="1"/>
  <c r="N81" i="46"/>
  <c r="O81" i="46" s="1"/>
  <c r="N80" i="46"/>
  <c r="O80" i="46"/>
  <c r="N79" i="46"/>
  <c r="O79" i="46"/>
  <c r="N78" i="46"/>
  <c r="O78" i="46"/>
  <c r="N77" i="46"/>
  <c r="O77" i="46" s="1"/>
  <c r="N76" i="46"/>
  <c r="O76" i="46" s="1"/>
  <c r="N75" i="46"/>
  <c r="O75" i="46" s="1"/>
  <c r="N74" i="46"/>
  <c r="O74" i="46"/>
  <c r="N73" i="46"/>
  <c r="O73" i="46"/>
  <c r="N72" i="46"/>
  <c r="O72" i="46" s="1"/>
  <c r="N71" i="46"/>
  <c r="O71" i="46"/>
  <c r="N70" i="46"/>
  <c r="O70" i="46" s="1"/>
  <c r="N69" i="46"/>
  <c r="O69" i="46"/>
  <c r="N68" i="46"/>
  <c r="O68" i="46"/>
  <c r="M67" i="46"/>
  <c r="L67" i="46"/>
  <c r="K67" i="46"/>
  <c r="J67" i="46"/>
  <c r="I67" i="46"/>
  <c r="H67" i="46"/>
  <c r="G67" i="46"/>
  <c r="F67" i="46"/>
  <c r="E67" i="46"/>
  <c r="D67" i="46"/>
  <c r="N67" i="46" s="1"/>
  <c r="O67" i="46" s="1"/>
  <c r="N66" i="46"/>
  <c r="O66" i="46"/>
  <c r="N65" i="46"/>
  <c r="O65" i="46"/>
  <c r="N64" i="46"/>
  <c r="O64" i="46" s="1"/>
  <c r="N63" i="46"/>
  <c r="O63" i="46"/>
  <c r="N62" i="46"/>
  <c r="O62" i="46" s="1"/>
  <c r="N61" i="46"/>
  <c r="O61" i="46" s="1"/>
  <c r="N60" i="46"/>
  <c r="O60" i="46" s="1"/>
  <c r="N59" i="46"/>
  <c r="O59" i="46"/>
  <c r="N58" i="46"/>
  <c r="O58" i="46" s="1"/>
  <c r="N57" i="46"/>
  <c r="O57" i="46"/>
  <c r="N56" i="46"/>
  <c r="O56" i="46" s="1"/>
  <c r="N55" i="46"/>
  <c r="O55" i="46"/>
  <c r="N54" i="46"/>
  <c r="O54" i="46"/>
  <c r="N53" i="46"/>
  <c r="O53" i="46" s="1"/>
  <c r="N52" i="46"/>
  <c r="O52" i="46"/>
  <c r="N51" i="46"/>
  <c r="O51" i="46"/>
  <c r="N50" i="46"/>
  <c r="O50" i="46" s="1"/>
  <c r="N49" i="46"/>
  <c r="O49" i="46" s="1"/>
  <c r="N48" i="46"/>
  <c r="O48" i="46"/>
  <c r="N47" i="46"/>
  <c r="O47" i="46" s="1"/>
  <c r="N46" i="46"/>
  <c r="O46" i="46"/>
  <c r="N45" i="46"/>
  <c r="O45" i="46" s="1"/>
  <c r="N44" i="46"/>
  <c r="O44" i="46" s="1"/>
  <c r="N43" i="46"/>
  <c r="O43" i="46"/>
  <c r="N42" i="46"/>
  <c r="O42" i="46" s="1"/>
  <c r="N41" i="46"/>
  <c r="O41" i="46"/>
  <c r="N40" i="46"/>
  <c r="O40" i="46"/>
  <c r="N39" i="46"/>
  <c r="O39" i="46"/>
  <c r="N38" i="46"/>
  <c r="O38" i="46" s="1"/>
  <c r="N37" i="46"/>
  <c r="O37" i="46"/>
  <c r="N36" i="46"/>
  <c r="O36" i="46" s="1"/>
  <c r="N35" i="46"/>
  <c r="O35" i="46"/>
  <c r="N34" i="46"/>
  <c r="O34" i="46"/>
  <c r="N33" i="46"/>
  <c r="O33" i="46" s="1"/>
  <c r="N32" i="46"/>
  <c r="O32" i="46" s="1"/>
  <c r="N31" i="46"/>
  <c r="O31" i="46" s="1"/>
  <c r="N30" i="46"/>
  <c r="O30" i="46"/>
  <c r="N29" i="46"/>
  <c r="O29" i="46"/>
  <c r="N28" i="46"/>
  <c r="O28" i="46"/>
  <c r="N27" i="46"/>
  <c r="O27" i="46" s="1"/>
  <c r="M26" i="46"/>
  <c r="L26" i="46"/>
  <c r="K26" i="46"/>
  <c r="J26" i="46"/>
  <c r="I26" i="46"/>
  <c r="H26" i="46"/>
  <c r="G26" i="46"/>
  <c r="F26" i="46"/>
  <c r="E26" i="46"/>
  <c r="D26" i="46"/>
  <c r="N25" i="46"/>
  <c r="O25" i="46" s="1"/>
  <c r="N24" i="46"/>
  <c r="O24" i="46" s="1"/>
  <c r="N23" i="46"/>
  <c r="O23" i="46" s="1"/>
  <c r="N22" i="46"/>
  <c r="O22" i="46" s="1"/>
  <c r="N21" i="46"/>
  <c r="O21" i="46" s="1"/>
  <c r="N20" i="46"/>
  <c r="O20" i="46"/>
  <c r="N19" i="46"/>
  <c r="O19" i="46" s="1"/>
  <c r="N18" i="46"/>
  <c r="O18" i="46" s="1"/>
  <c r="N17" i="46"/>
  <c r="O17" i="46"/>
  <c r="N16" i="46"/>
  <c r="O16" i="46"/>
  <c r="N15" i="46"/>
  <c r="O15" i="46"/>
  <c r="N14" i="46"/>
  <c r="O14" i="46" s="1"/>
  <c r="M13" i="46"/>
  <c r="L13" i="46"/>
  <c r="K13" i="46"/>
  <c r="J13" i="46"/>
  <c r="I13" i="46"/>
  <c r="H13" i="46"/>
  <c r="G13" i="46"/>
  <c r="F13" i="46"/>
  <c r="E13" i="46"/>
  <c r="D13" i="46"/>
  <c r="N12" i="46"/>
  <c r="O12" i="46"/>
  <c r="N11" i="46"/>
  <c r="O11" i="46"/>
  <c r="N10" i="46"/>
  <c r="O10" i="46" s="1"/>
  <c r="N9" i="46"/>
  <c r="O9" i="46"/>
  <c r="N8" i="46"/>
  <c r="O8" i="46"/>
  <c r="N7" i="46"/>
  <c r="O7" i="46"/>
  <c r="N6" i="46"/>
  <c r="O6" i="46" s="1"/>
  <c r="M5" i="46"/>
  <c r="M150" i="46" s="1"/>
  <c r="L5" i="46"/>
  <c r="K5" i="46"/>
  <c r="J5" i="46"/>
  <c r="I5" i="46"/>
  <c r="H5" i="46"/>
  <c r="G5" i="46"/>
  <c r="G150" i="46" s="1"/>
  <c r="F5" i="46"/>
  <c r="E5" i="46"/>
  <c r="D5" i="46"/>
  <c r="N155" i="45"/>
  <c r="O155" i="45" s="1"/>
  <c r="N154" i="45"/>
  <c r="O154" i="45" s="1"/>
  <c r="N153" i="45"/>
  <c r="O153" i="45" s="1"/>
  <c r="N152" i="45"/>
  <c r="O152" i="45"/>
  <c r="N151" i="45"/>
  <c r="O151" i="45" s="1"/>
  <c r="N150" i="45"/>
  <c r="O150" i="45"/>
  <c r="N149" i="45"/>
  <c r="O149" i="45"/>
  <c r="M148" i="45"/>
  <c r="L148" i="45"/>
  <c r="K148" i="45"/>
  <c r="J148" i="45"/>
  <c r="I148" i="45"/>
  <c r="H148" i="45"/>
  <c r="G148" i="45"/>
  <c r="F148" i="45"/>
  <c r="E148" i="45"/>
  <c r="D148" i="45"/>
  <c r="N148" i="45" s="1"/>
  <c r="O148" i="45" s="1"/>
  <c r="N147" i="45"/>
  <c r="O147" i="45"/>
  <c r="N146" i="45"/>
  <c r="O146" i="45" s="1"/>
  <c r="N145" i="45"/>
  <c r="O145" i="45" s="1"/>
  <c r="N144" i="45"/>
  <c r="O144" i="45" s="1"/>
  <c r="N143" i="45"/>
  <c r="O143" i="45" s="1"/>
  <c r="N142" i="45"/>
  <c r="O142" i="45" s="1"/>
  <c r="N141" i="45"/>
  <c r="O141" i="45" s="1"/>
  <c r="N140" i="45"/>
  <c r="O140" i="45" s="1"/>
  <c r="M139" i="45"/>
  <c r="L139" i="45"/>
  <c r="K139" i="45"/>
  <c r="J139" i="45"/>
  <c r="I139" i="45"/>
  <c r="H139" i="45"/>
  <c r="G139" i="45"/>
  <c r="F139" i="45"/>
  <c r="E139" i="45"/>
  <c r="D139" i="45"/>
  <c r="N139" i="45" s="1"/>
  <c r="O139" i="45" s="1"/>
  <c r="N138" i="45"/>
  <c r="O138" i="45" s="1"/>
  <c r="N137" i="45"/>
  <c r="O137" i="45" s="1"/>
  <c r="N136" i="45"/>
  <c r="O136" i="45" s="1"/>
  <c r="N135" i="45"/>
  <c r="O135" i="45" s="1"/>
  <c r="N134" i="45"/>
  <c r="O134" i="45" s="1"/>
  <c r="N133" i="45"/>
  <c r="O133" i="45" s="1"/>
  <c r="N132" i="45"/>
  <c r="O132" i="45" s="1"/>
  <c r="N131" i="45"/>
  <c r="O131" i="45" s="1"/>
  <c r="N130" i="45"/>
  <c r="O130" i="45"/>
  <c r="N129" i="45"/>
  <c r="O129" i="45" s="1"/>
  <c r="N128" i="45"/>
  <c r="O128" i="45"/>
  <c r="N127" i="45"/>
  <c r="O127" i="45"/>
  <c r="M126" i="45"/>
  <c r="M156" i="45" s="1"/>
  <c r="L126" i="45"/>
  <c r="K126" i="45"/>
  <c r="J126" i="45"/>
  <c r="I126" i="45"/>
  <c r="N126" i="45" s="1"/>
  <c r="O126" i="45" s="1"/>
  <c r="H126" i="45"/>
  <c r="G126" i="45"/>
  <c r="F126" i="45"/>
  <c r="E126" i="45"/>
  <c r="D126" i="45"/>
  <c r="N125" i="45"/>
  <c r="O125" i="45"/>
  <c r="N124" i="45"/>
  <c r="O124" i="45" s="1"/>
  <c r="N123" i="45"/>
  <c r="O123" i="45" s="1"/>
  <c r="N122" i="45"/>
  <c r="O122" i="45"/>
  <c r="N121" i="45"/>
  <c r="O121" i="45" s="1"/>
  <c r="N120" i="45"/>
  <c r="O120" i="45"/>
  <c r="N119" i="45"/>
  <c r="O119" i="45"/>
  <c r="N118" i="45"/>
  <c r="O118" i="45" s="1"/>
  <c r="N117" i="45"/>
  <c r="O117" i="45" s="1"/>
  <c r="N116" i="45"/>
  <c r="O116" i="45"/>
  <c r="N115" i="45"/>
  <c r="O115" i="45" s="1"/>
  <c r="N114" i="45"/>
  <c r="O114" i="45"/>
  <c r="N113" i="45"/>
  <c r="O113" i="45"/>
  <c r="N112" i="45"/>
  <c r="O112" i="45" s="1"/>
  <c r="N111" i="45"/>
  <c r="O111" i="45" s="1"/>
  <c r="N110" i="45"/>
  <c r="O110" i="45" s="1"/>
  <c r="N109" i="45"/>
  <c r="O109" i="45" s="1"/>
  <c r="N108" i="45"/>
  <c r="O108" i="45" s="1"/>
  <c r="N107" i="45"/>
  <c r="O107" i="45"/>
  <c r="N106" i="45"/>
  <c r="O106" i="45" s="1"/>
  <c r="N105" i="45"/>
  <c r="O105" i="45" s="1"/>
  <c r="N104" i="45"/>
  <c r="O104" i="45"/>
  <c r="N103" i="45"/>
  <c r="O103" i="45" s="1"/>
  <c r="N102" i="45"/>
  <c r="O102" i="45" s="1"/>
  <c r="N101" i="45"/>
  <c r="O101" i="45"/>
  <c r="N100" i="45"/>
  <c r="O100" i="45" s="1"/>
  <c r="N99" i="45"/>
  <c r="O99" i="45" s="1"/>
  <c r="N98" i="45"/>
  <c r="O98" i="45"/>
  <c r="N97" i="45"/>
  <c r="O97" i="45" s="1"/>
  <c r="N96" i="45"/>
  <c r="O96" i="45"/>
  <c r="N95" i="45"/>
  <c r="O95" i="45" s="1"/>
  <c r="N94" i="45"/>
  <c r="O94" i="45" s="1"/>
  <c r="N93" i="45"/>
  <c r="O93" i="45" s="1"/>
  <c r="N92" i="45"/>
  <c r="O92" i="45"/>
  <c r="N91" i="45"/>
  <c r="O91" i="45" s="1"/>
  <c r="N90" i="45"/>
  <c r="O90" i="45"/>
  <c r="N89" i="45"/>
  <c r="O89" i="45" s="1"/>
  <c r="N88" i="45"/>
  <c r="O88" i="45" s="1"/>
  <c r="N87" i="45"/>
  <c r="O87" i="45" s="1"/>
  <c r="N86" i="45"/>
  <c r="O86" i="45"/>
  <c r="N85" i="45"/>
  <c r="O85" i="45" s="1"/>
  <c r="N84" i="45"/>
  <c r="O84" i="45" s="1"/>
  <c r="N83" i="45"/>
  <c r="O83" i="45"/>
  <c r="N82" i="45"/>
  <c r="O82" i="45" s="1"/>
  <c r="N81" i="45"/>
  <c r="O81" i="45" s="1"/>
  <c r="N80" i="45"/>
  <c r="O80" i="45"/>
  <c r="N79" i="45"/>
  <c r="O79" i="45" s="1"/>
  <c r="N78" i="45"/>
  <c r="O78" i="45"/>
  <c r="N77" i="45"/>
  <c r="O77" i="45" s="1"/>
  <c r="N76" i="45"/>
  <c r="O76" i="45" s="1"/>
  <c r="N75" i="45"/>
  <c r="O75" i="45" s="1"/>
  <c r="N74" i="45"/>
  <c r="O74" i="45"/>
  <c r="N73" i="45"/>
  <c r="O73" i="45" s="1"/>
  <c r="N72" i="45"/>
  <c r="O72" i="45" s="1"/>
  <c r="N71" i="45"/>
  <c r="O71" i="45" s="1"/>
  <c r="M70" i="45"/>
  <c r="L70" i="45"/>
  <c r="K70" i="45"/>
  <c r="J70" i="45"/>
  <c r="I70" i="45"/>
  <c r="H70" i="45"/>
  <c r="G70" i="45"/>
  <c r="F70" i="45"/>
  <c r="E70" i="45"/>
  <c r="E156" i="45" s="1"/>
  <c r="D70" i="45"/>
  <c r="N69" i="45"/>
  <c r="O69" i="45"/>
  <c r="N68" i="45"/>
  <c r="O68" i="45" s="1"/>
  <c r="N67" i="45"/>
  <c r="O67" i="45" s="1"/>
  <c r="N66" i="45"/>
  <c r="O66" i="45" s="1"/>
  <c r="N65" i="45"/>
  <c r="O65" i="45" s="1"/>
  <c r="N64" i="45"/>
  <c r="O64" i="45"/>
  <c r="N63" i="45"/>
  <c r="O63" i="45" s="1"/>
  <c r="N62" i="45"/>
  <c r="O62" i="45" s="1"/>
  <c r="N61" i="45"/>
  <c r="O61" i="45" s="1"/>
  <c r="N60" i="45"/>
  <c r="O60" i="45"/>
  <c r="N59" i="45"/>
  <c r="O59" i="45" s="1"/>
  <c r="N58" i="45"/>
  <c r="O58" i="45"/>
  <c r="N57" i="45"/>
  <c r="O57" i="45" s="1"/>
  <c r="N56" i="45"/>
  <c r="O56" i="45" s="1"/>
  <c r="N55" i="45"/>
  <c r="O55" i="45" s="1"/>
  <c r="N54" i="45"/>
  <c r="O54" i="45" s="1"/>
  <c r="N53" i="45"/>
  <c r="O53" i="45" s="1"/>
  <c r="N52" i="45"/>
  <c r="O52" i="45"/>
  <c r="N51" i="45"/>
  <c r="O51" i="45"/>
  <c r="N50" i="45"/>
  <c r="O50" i="45" s="1"/>
  <c r="N49" i="45"/>
  <c r="O49" i="45" s="1"/>
  <c r="N48" i="45"/>
  <c r="O48" i="45"/>
  <c r="N47" i="45"/>
  <c r="O47" i="45" s="1"/>
  <c r="N46" i="45"/>
  <c r="O46" i="45"/>
  <c r="N45" i="45"/>
  <c r="O45" i="45"/>
  <c r="N44" i="45"/>
  <c r="O44" i="45" s="1"/>
  <c r="N43" i="45"/>
  <c r="O43" i="45" s="1"/>
  <c r="N42" i="45"/>
  <c r="O42" i="45"/>
  <c r="N41" i="45"/>
  <c r="O41" i="45" s="1"/>
  <c r="N40" i="45"/>
  <c r="O40" i="45"/>
  <c r="N39" i="45"/>
  <c r="O39" i="45"/>
  <c r="N38" i="45"/>
  <c r="O38" i="45" s="1"/>
  <c r="N37" i="45"/>
  <c r="O37" i="45" s="1"/>
  <c r="N36" i="45"/>
  <c r="O36" i="45" s="1"/>
  <c r="N35" i="45"/>
  <c r="O35" i="45" s="1"/>
  <c r="N34" i="45"/>
  <c r="O34" i="45" s="1"/>
  <c r="N33" i="45"/>
  <c r="O33" i="45"/>
  <c r="N32" i="45"/>
  <c r="O32" i="45" s="1"/>
  <c r="N31" i="45"/>
  <c r="O31" i="45" s="1"/>
  <c r="N30" i="45"/>
  <c r="O30" i="45"/>
  <c r="N29" i="45"/>
  <c r="O29" i="45" s="1"/>
  <c r="N28" i="45"/>
  <c r="O28" i="45" s="1"/>
  <c r="M27" i="45"/>
  <c r="L27" i="45"/>
  <c r="K27" i="45"/>
  <c r="J27" i="45"/>
  <c r="I27" i="45"/>
  <c r="H27" i="45"/>
  <c r="G27" i="45"/>
  <c r="F27" i="45"/>
  <c r="E27" i="45"/>
  <c r="D27" i="45"/>
  <c r="D156" i="45" s="1"/>
  <c r="N26" i="45"/>
  <c r="O26" i="45"/>
  <c r="N25" i="45"/>
  <c r="O25" i="45"/>
  <c r="N24" i="45"/>
  <c r="O24" i="45" s="1"/>
  <c r="N23" i="45"/>
  <c r="O23" i="45" s="1"/>
  <c r="N22" i="45"/>
  <c r="O22" i="45"/>
  <c r="N21" i="45"/>
  <c r="O21" i="45" s="1"/>
  <c r="N20" i="45"/>
  <c r="O20" i="45"/>
  <c r="N19" i="45"/>
  <c r="O19" i="45" s="1"/>
  <c r="N18" i="45"/>
  <c r="O18" i="45" s="1"/>
  <c r="N17" i="45"/>
  <c r="O17" i="45" s="1"/>
  <c r="N16" i="45"/>
  <c r="O16" i="45" s="1"/>
  <c r="N15" i="45"/>
  <c r="O15" i="45" s="1"/>
  <c r="N14" i="45"/>
  <c r="O14" i="45"/>
  <c r="M13" i="45"/>
  <c r="L13" i="45"/>
  <c r="K13" i="45"/>
  <c r="J13" i="45"/>
  <c r="I13" i="45"/>
  <c r="H13" i="45"/>
  <c r="G13" i="45"/>
  <c r="F13" i="45"/>
  <c r="E13" i="45"/>
  <c r="D13" i="45"/>
  <c r="N12" i="45"/>
  <c r="O12" i="45"/>
  <c r="N11" i="45"/>
  <c r="O11" i="45"/>
  <c r="N10" i="45"/>
  <c r="O10" i="45" s="1"/>
  <c r="N9" i="45"/>
  <c r="O9" i="45" s="1"/>
  <c r="N8" i="45"/>
  <c r="O8" i="45" s="1"/>
  <c r="N7" i="45"/>
  <c r="O7" i="45" s="1"/>
  <c r="N6" i="45"/>
  <c r="O6" i="45" s="1"/>
  <c r="M5" i="45"/>
  <c r="L5" i="45"/>
  <c r="K5" i="45"/>
  <c r="J5" i="45"/>
  <c r="I5" i="45"/>
  <c r="H5" i="45"/>
  <c r="H156" i="45" s="1"/>
  <c r="G5" i="45"/>
  <c r="N5" i="45" s="1"/>
  <c r="O5" i="45" s="1"/>
  <c r="F5" i="45"/>
  <c r="E5" i="45"/>
  <c r="D5" i="45"/>
  <c r="N156" i="44"/>
  <c r="O156" i="44" s="1"/>
  <c r="N155" i="44"/>
  <c r="O155" i="44" s="1"/>
  <c r="N154" i="44"/>
  <c r="O154" i="44" s="1"/>
  <c r="N153" i="44"/>
  <c r="O153" i="44" s="1"/>
  <c r="N152" i="44"/>
  <c r="O152" i="44"/>
  <c r="N151" i="44"/>
  <c r="O151" i="44" s="1"/>
  <c r="N150" i="44"/>
  <c r="O150" i="44"/>
  <c r="N149" i="44"/>
  <c r="O149" i="44"/>
  <c r="M148" i="44"/>
  <c r="L148" i="44"/>
  <c r="K148" i="44"/>
  <c r="J148" i="44"/>
  <c r="J157" i="44" s="1"/>
  <c r="I148" i="44"/>
  <c r="I157" i="44" s="1"/>
  <c r="H148" i="44"/>
  <c r="G148" i="44"/>
  <c r="F148" i="44"/>
  <c r="E148" i="44"/>
  <c r="D148" i="44"/>
  <c r="N147" i="44"/>
  <c r="O147" i="44"/>
  <c r="N146" i="44"/>
  <c r="O146" i="44" s="1"/>
  <c r="N145" i="44"/>
  <c r="O145" i="44" s="1"/>
  <c r="N144" i="44"/>
  <c r="O144" i="44"/>
  <c r="N143" i="44"/>
  <c r="O143" i="44" s="1"/>
  <c r="N142" i="44"/>
  <c r="O142" i="44"/>
  <c r="N141" i="44"/>
  <c r="O141" i="44"/>
  <c r="N140" i="44"/>
  <c r="O140" i="44" s="1"/>
  <c r="M139" i="44"/>
  <c r="L139" i="44"/>
  <c r="K139" i="44"/>
  <c r="J139" i="44"/>
  <c r="I139" i="44"/>
  <c r="H139" i="44"/>
  <c r="G139" i="44"/>
  <c r="F139" i="44"/>
  <c r="E139" i="44"/>
  <c r="D139" i="44"/>
  <c r="N138" i="44"/>
  <c r="O138" i="44" s="1"/>
  <c r="N137" i="44"/>
  <c r="O137" i="44" s="1"/>
  <c r="N136" i="44"/>
  <c r="O136" i="44"/>
  <c r="N135" i="44"/>
  <c r="O135" i="44" s="1"/>
  <c r="N134" i="44"/>
  <c r="O134" i="44"/>
  <c r="N133" i="44"/>
  <c r="O133" i="44"/>
  <c r="N132" i="44"/>
  <c r="O132" i="44" s="1"/>
  <c r="N131" i="44"/>
  <c r="O131" i="44" s="1"/>
  <c r="N130" i="44"/>
  <c r="O130" i="44"/>
  <c r="N129" i="44"/>
  <c r="O129" i="44" s="1"/>
  <c r="N128" i="44"/>
  <c r="O128" i="44"/>
  <c r="N127" i="44"/>
  <c r="O127" i="44"/>
  <c r="M126" i="44"/>
  <c r="L126" i="44"/>
  <c r="K126" i="44"/>
  <c r="J126" i="44"/>
  <c r="I126" i="44"/>
  <c r="H126" i="44"/>
  <c r="G126" i="44"/>
  <c r="F126" i="44"/>
  <c r="E126" i="44"/>
  <c r="D126" i="44"/>
  <c r="N126" i="44" s="1"/>
  <c r="O126" i="44" s="1"/>
  <c r="N125" i="44"/>
  <c r="O125" i="44"/>
  <c r="N124" i="44"/>
  <c r="O124" i="44" s="1"/>
  <c r="N123" i="44"/>
  <c r="O123" i="44" s="1"/>
  <c r="N122" i="44"/>
  <c r="O122" i="44" s="1"/>
  <c r="N121" i="44"/>
  <c r="O121" i="44" s="1"/>
  <c r="N120" i="44"/>
  <c r="O120" i="44" s="1"/>
  <c r="N119" i="44"/>
  <c r="O119" i="44" s="1"/>
  <c r="N118" i="44"/>
  <c r="O118" i="44" s="1"/>
  <c r="N117" i="44"/>
  <c r="O117" i="44" s="1"/>
  <c r="N116" i="44"/>
  <c r="O116" i="44"/>
  <c r="N115" i="44"/>
  <c r="O115" i="44" s="1"/>
  <c r="N114" i="44"/>
  <c r="O114" i="44"/>
  <c r="N113" i="44"/>
  <c r="O113" i="44"/>
  <c r="N112" i="44"/>
  <c r="O112" i="44" s="1"/>
  <c r="N111" i="44"/>
  <c r="O111" i="44" s="1"/>
  <c r="N110" i="44"/>
  <c r="O110" i="44"/>
  <c r="N109" i="44"/>
  <c r="O109" i="44" s="1"/>
  <c r="N108" i="44"/>
  <c r="O108" i="44" s="1"/>
  <c r="N107" i="44"/>
  <c r="O107" i="44"/>
  <c r="N106" i="44"/>
  <c r="O106" i="44" s="1"/>
  <c r="N105" i="44"/>
  <c r="O105" i="44" s="1"/>
  <c r="N104" i="44"/>
  <c r="O104" i="44"/>
  <c r="N103" i="44"/>
  <c r="O103" i="44" s="1"/>
  <c r="N102" i="44"/>
  <c r="O102" i="44"/>
  <c r="N101" i="44"/>
  <c r="O101" i="44" s="1"/>
  <c r="N100" i="44"/>
  <c r="O100" i="44" s="1"/>
  <c r="N99" i="44"/>
  <c r="O99" i="44" s="1"/>
  <c r="N98" i="44"/>
  <c r="O98" i="44"/>
  <c r="N97" i="44"/>
  <c r="O97" i="44" s="1"/>
  <c r="N96" i="44"/>
  <c r="O96" i="44"/>
  <c r="N95" i="44"/>
  <c r="O95" i="44" s="1"/>
  <c r="N94" i="44"/>
  <c r="O94" i="44" s="1"/>
  <c r="N93" i="44"/>
  <c r="O93" i="44" s="1"/>
  <c r="N92" i="44"/>
  <c r="O92" i="44"/>
  <c r="N91" i="44"/>
  <c r="O91" i="44" s="1"/>
  <c r="N90" i="44"/>
  <c r="O90" i="44" s="1"/>
  <c r="N89" i="44"/>
  <c r="O89" i="44"/>
  <c r="N88" i="44"/>
  <c r="O88" i="44" s="1"/>
  <c r="N87" i="44"/>
  <c r="O87" i="44" s="1"/>
  <c r="N86" i="44"/>
  <c r="O86" i="44"/>
  <c r="N85" i="44"/>
  <c r="O85" i="44" s="1"/>
  <c r="N84" i="44"/>
  <c r="O84" i="44" s="1"/>
  <c r="N83" i="44"/>
  <c r="O83" i="44"/>
  <c r="N82" i="44"/>
  <c r="O82" i="44" s="1"/>
  <c r="N81" i="44"/>
  <c r="O81" i="44" s="1"/>
  <c r="N80" i="44"/>
  <c r="O80" i="44"/>
  <c r="N79" i="44"/>
  <c r="O79" i="44" s="1"/>
  <c r="N78" i="44"/>
  <c r="O78" i="44"/>
  <c r="N77" i="44"/>
  <c r="O77" i="44"/>
  <c r="N76" i="44"/>
  <c r="O76" i="44" s="1"/>
  <c r="N75" i="44"/>
  <c r="O75" i="44" s="1"/>
  <c r="N74" i="44"/>
  <c r="O74" i="44"/>
  <c r="N73" i="44"/>
  <c r="O73" i="44" s="1"/>
  <c r="N72" i="44"/>
  <c r="O72" i="44"/>
  <c r="N71" i="44"/>
  <c r="O71" i="44" s="1"/>
  <c r="M70" i="44"/>
  <c r="L70" i="44"/>
  <c r="N70" i="44" s="1"/>
  <c r="O70" i="44" s="1"/>
  <c r="K70" i="44"/>
  <c r="J70" i="44"/>
  <c r="I70" i="44"/>
  <c r="H70" i="44"/>
  <c r="G70" i="44"/>
  <c r="F70" i="44"/>
  <c r="E70" i="44"/>
  <c r="D70" i="44"/>
  <c r="N69" i="44"/>
  <c r="O69" i="44" s="1"/>
  <c r="N68" i="44"/>
  <c r="O68" i="44" s="1"/>
  <c r="N67" i="44"/>
  <c r="O67" i="44" s="1"/>
  <c r="N66" i="44"/>
  <c r="O66" i="44" s="1"/>
  <c r="N65" i="44"/>
  <c r="O65" i="44" s="1"/>
  <c r="N64" i="44"/>
  <c r="O64" i="44"/>
  <c r="N63" i="44"/>
  <c r="O63" i="44"/>
  <c r="N62" i="44"/>
  <c r="O62" i="44" s="1"/>
  <c r="N61" i="44"/>
  <c r="O61" i="44" s="1"/>
  <c r="N60" i="44"/>
  <c r="O60" i="44" s="1"/>
  <c r="N59" i="44"/>
  <c r="O59" i="44" s="1"/>
  <c r="N58" i="44"/>
  <c r="O58" i="44" s="1"/>
  <c r="N57" i="44"/>
  <c r="O57" i="44" s="1"/>
  <c r="N56" i="44"/>
  <c r="O56" i="44" s="1"/>
  <c r="N55" i="44"/>
  <c r="O55" i="44" s="1"/>
  <c r="N54" i="44"/>
  <c r="O54" i="44"/>
  <c r="N53" i="44"/>
  <c r="O53" i="44" s="1"/>
  <c r="N52" i="44"/>
  <c r="O52" i="44" s="1"/>
  <c r="N51" i="44"/>
  <c r="O51" i="44"/>
  <c r="N50" i="44"/>
  <c r="O50" i="44" s="1"/>
  <c r="N49" i="44"/>
  <c r="O49" i="44"/>
  <c r="N48" i="44"/>
  <c r="O48" i="44"/>
  <c r="N47" i="44"/>
  <c r="O47" i="44" s="1"/>
  <c r="N46" i="44"/>
  <c r="O46" i="44"/>
  <c r="N45" i="44"/>
  <c r="O45" i="44"/>
  <c r="N44" i="44"/>
  <c r="O44" i="44" s="1"/>
  <c r="N43" i="44"/>
  <c r="O43" i="44" s="1"/>
  <c r="N42" i="44"/>
  <c r="O42" i="44" s="1"/>
  <c r="N41" i="44"/>
  <c r="O41" i="44" s="1"/>
  <c r="N40" i="44"/>
  <c r="O40" i="44" s="1"/>
  <c r="N39" i="44"/>
  <c r="O39" i="44"/>
  <c r="N38" i="44"/>
  <c r="O38" i="44" s="1"/>
  <c r="N37" i="44"/>
  <c r="O37" i="44" s="1"/>
  <c r="N36" i="44"/>
  <c r="O36" i="44"/>
  <c r="N35" i="44"/>
  <c r="O35" i="44" s="1"/>
  <c r="N34" i="44"/>
  <c r="O34" i="44" s="1"/>
  <c r="N33" i="44"/>
  <c r="O33" i="44" s="1"/>
  <c r="N32" i="44"/>
  <c r="O32" i="44" s="1"/>
  <c r="N31" i="44"/>
  <c r="O31" i="44" s="1"/>
  <c r="N30" i="44"/>
  <c r="O30" i="44"/>
  <c r="N29" i="44"/>
  <c r="O29" i="44" s="1"/>
  <c r="N28" i="44"/>
  <c r="O28" i="44" s="1"/>
  <c r="M27" i="44"/>
  <c r="L27" i="44"/>
  <c r="K27" i="44"/>
  <c r="J27" i="44"/>
  <c r="I27" i="44"/>
  <c r="H27" i="44"/>
  <c r="G27" i="44"/>
  <c r="F27" i="44"/>
  <c r="N27" i="44" s="1"/>
  <c r="O27" i="44" s="1"/>
  <c r="E27" i="44"/>
  <c r="D27" i="44"/>
  <c r="N26" i="44"/>
  <c r="O26" i="44"/>
  <c r="N25" i="44"/>
  <c r="O25" i="44"/>
  <c r="N24" i="44"/>
  <c r="O24" i="44" s="1"/>
  <c r="N23" i="44"/>
  <c r="O23" i="44" s="1"/>
  <c r="N22" i="44"/>
  <c r="O22" i="44" s="1"/>
  <c r="N21" i="44"/>
  <c r="O21" i="44" s="1"/>
  <c r="N20" i="44"/>
  <c r="O20" i="44" s="1"/>
  <c r="N19" i="44"/>
  <c r="O19" i="44"/>
  <c r="N18" i="44"/>
  <c r="O18" i="44" s="1"/>
  <c r="N17" i="44"/>
  <c r="O17" i="44"/>
  <c r="N16" i="44"/>
  <c r="O16" i="44"/>
  <c r="N15" i="44"/>
  <c r="O15" i="44" s="1"/>
  <c r="N14" i="44"/>
  <c r="O14" i="44" s="1"/>
  <c r="M13" i="44"/>
  <c r="L13" i="44"/>
  <c r="K13" i="44"/>
  <c r="J13" i="44"/>
  <c r="I13" i="44"/>
  <c r="H13" i="44"/>
  <c r="G13" i="44"/>
  <c r="F13" i="44"/>
  <c r="E13" i="44"/>
  <c r="D13" i="44"/>
  <c r="N12" i="44"/>
  <c r="O12" i="44" s="1"/>
  <c r="N11" i="44"/>
  <c r="O11" i="44"/>
  <c r="N10" i="44"/>
  <c r="O10" i="44" s="1"/>
  <c r="N9" i="44"/>
  <c r="O9" i="44"/>
  <c r="N8" i="44"/>
  <c r="O8" i="44"/>
  <c r="N7" i="44"/>
  <c r="O7" i="44" s="1"/>
  <c r="N6" i="44"/>
  <c r="O6" i="44" s="1"/>
  <c r="M5" i="44"/>
  <c r="L5" i="44"/>
  <c r="K5" i="44"/>
  <c r="J5" i="44"/>
  <c r="I5" i="44"/>
  <c r="H5" i="44"/>
  <c r="G5" i="44"/>
  <c r="F5" i="44"/>
  <c r="E5" i="44"/>
  <c r="D5" i="44"/>
  <c r="N150" i="42"/>
  <c r="O150" i="42"/>
  <c r="N152" i="43"/>
  <c r="O152" i="43" s="1"/>
  <c r="N151" i="43"/>
  <c r="O151" i="43" s="1"/>
  <c r="N150" i="43"/>
  <c r="O150" i="43" s="1"/>
  <c r="N149" i="43"/>
  <c r="O149" i="43"/>
  <c r="N148" i="43"/>
  <c r="O148" i="43" s="1"/>
  <c r="N147" i="43"/>
  <c r="O147" i="43" s="1"/>
  <c r="N146" i="43"/>
  <c r="O146" i="43" s="1"/>
  <c r="M145" i="43"/>
  <c r="L145" i="43"/>
  <c r="K145" i="43"/>
  <c r="J145" i="43"/>
  <c r="I145" i="43"/>
  <c r="H145" i="43"/>
  <c r="G145" i="43"/>
  <c r="F145" i="43"/>
  <c r="E145" i="43"/>
  <c r="D145" i="43"/>
  <c r="N144" i="43"/>
  <c r="O144" i="43" s="1"/>
  <c r="N143" i="43"/>
  <c r="O143" i="43" s="1"/>
  <c r="N142" i="43"/>
  <c r="O142" i="43" s="1"/>
  <c r="N141" i="43"/>
  <c r="O141" i="43"/>
  <c r="N140" i="43"/>
  <c r="O140" i="43" s="1"/>
  <c r="N139" i="43"/>
  <c r="O139" i="43" s="1"/>
  <c r="N138" i="43"/>
  <c r="O138" i="43" s="1"/>
  <c r="N137" i="43"/>
  <c r="O137" i="43" s="1"/>
  <c r="M136" i="43"/>
  <c r="L136" i="43"/>
  <c r="K136" i="43"/>
  <c r="J136" i="43"/>
  <c r="I136" i="43"/>
  <c r="H136" i="43"/>
  <c r="G136" i="43"/>
  <c r="F136" i="43"/>
  <c r="E136" i="43"/>
  <c r="D136" i="43"/>
  <c r="N135" i="43"/>
  <c r="O135" i="43" s="1"/>
  <c r="N134" i="43"/>
  <c r="O134" i="43"/>
  <c r="N133" i="43"/>
  <c r="O133" i="43"/>
  <c r="N132" i="43"/>
  <c r="O132" i="43" s="1"/>
  <c r="N131" i="43"/>
  <c r="O131" i="43" s="1"/>
  <c r="N130" i="43"/>
  <c r="O130" i="43" s="1"/>
  <c r="N129" i="43"/>
  <c r="O129" i="43" s="1"/>
  <c r="N128" i="43"/>
  <c r="O128" i="43" s="1"/>
  <c r="N127" i="43"/>
  <c r="O127" i="43"/>
  <c r="N126" i="43"/>
  <c r="O126" i="43" s="1"/>
  <c r="N125" i="43"/>
  <c r="O125" i="43" s="1"/>
  <c r="M124" i="43"/>
  <c r="L124" i="43"/>
  <c r="K124" i="43"/>
  <c r="J124" i="43"/>
  <c r="I124" i="43"/>
  <c r="H124" i="43"/>
  <c r="G124" i="43"/>
  <c r="F124" i="43"/>
  <c r="F153" i="43" s="1"/>
  <c r="E124" i="43"/>
  <c r="D124" i="43"/>
  <c r="N123" i="43"/>
  <c r="O123" i="43" s="1"/>
  <c r="N122" i="43"/>
  <c r="O122" i="43"/>
  <c r="N121" i="43"/>
  <c r="O121" i="43" s="1"/>
  <c r="N120" i="43"/>
  <c r="O120" i="43" s="1"/>
  <c r="N119" i="43"/>
  <c r="O119" i="43" s="1"/>
  <c r="N118" i="43"/>
  <c r="O118" i="43" s="1"/>
  <c r="N117" i="43"/>
  <c r="O117" i="43" s="1"/>
  <c r="N116" i="43"/>
  <c r="O116" i="43" s="1"/>
  <c r="N115" i="43"/>
  <c r="O115" i="43" s="1"/>
  <c r="N114" i="43"/>
  <c r="O114" i="43"/>
  <c r="N113" i="43"/>
  <c r="O113" i="43" s="1"/>
  <c r="N112" i="43"/>
  <c r="O112" i="43" s="1"/>
  <c r="N111" i="43"/>
  <c r="O111" i="43" s="1"/>
  <c r="N110" i="43"/>
  <c r="O110" i="43"/>
  <c r="N109" i="43"/>
  <c r="O109" i="43" s="1"/>
  <c r="N108" i="43"/>
  <c r="O108" i="43"/>
  <c r="N107" i="43"/>
  <c r="O107" i="43"/>
  <c r="N106" i="43"/>
  <c r="O106" i="43" s="1"/>
  <c r="N105" i="43"/>
  <c r="O105" i="43"/>
  <c r="N104" i="43"/>
  <c r="O104" i="43"/>
  <c r="N103" i="43"/>
  <c r="O103" i="43" s="1"/>
  <c r="N102" i="43"/>
  <c r="O102" i="43" s="1"/>
  <c r="N101" i="43"/>
  <c r="O101" i="43"/>
  <c r="N100" i="43"/>
  <c r="O100" i="43" s="1"/>
  <c r="N99" i="43"/>
  <c r="O99" i="43"/>
  <c r="N98" i="43"/>
  <c r="O98" i="43"/>
  <c r="N97" i="43"/>
  <c r="O97" i="43" s="1"/>
  <c r="N96" i="43"/>
  <c r="O96" i="43" s="1"/>
  <c r="N95" i="43"/>
  <c r="O95" i="43" s="1"/>
  <c r="N94" i="43"/>
  <c r="O94" i="43" s="1"/>
  <c r="N93" i="43"/>
  <c r="O93" i="43" s="1"/>
  <c r="N92" i="43"/>
  <c r="O92" i="43"/>
  <c r="N91" i="43"/>
  <c r="O91" i="43" s="1"/>
  <c r="N90" i="43"/>
  <c r="O90" i="43" s="1"/>
  <c r="N89" i="43"/>
  <c r="O89" i="43"/>
  <c r="N88" i="43"/>
  <c r="O88" i="43" s="1"/>
  <c r="N87" i="43"/>
  <c r="O87" i="43" s="1"/>
  <c r="N86" i="43"/>
  <c r="O86" i="43" s="1"/>
  <c r="N85" i="43"/>
  <c r="O85" i="43" s="1"/>
  <c r="N84" i="43"/>
  <c r="O84" i="43" s="1"/>
  <c r="N83" i="43"/>
  <c r="O83" i="43" s="1"/>
  <c r="N82" i="43"/>
  <c r="O82" i="43" s="1"/>
  <c r="N81" i="43"/>
  <c r="O81" i="43" s="1"/>
  <c r="N80" i="43"/>
  <c r="O80" i="43" s="1"/>
  <c r="N79" i="43"/>
  <c r="O79" i="43" s="1"/>
  <c r="N78" i="43"/>
  <c r="O78" i="43" s="1"/>
  <c r="N77" i="43"/>
  <c r="O77" i="43" s="1"/>
  <c r="N76" i="43"/>
  <c r="O76" i="43" s="1"/>
  <c r="N75" i="43"/>
  <c r="O75" i="43" s="1"/>
  <c r="N74" i="43"/>
  <c r="O74" i="43"/>
  <c r="N73" i="43"/>
  <c r="O73" i="43" s="1"/>
  <c r="N72" i="43"/>
  <c r="O72" i="43" s="1"/>
  <c r="N71" i="43"/>
  <c r="O71" i="43"/>
  <c r="N70" i="43"/>
  <c r="O70" i="43" s="1"/>
  <c r="M69" i="43"/>
  <c r="L69" i="43"/>
  <c r="K69" i="43"/>
  <c r="J69" i="43"/>
  <c r="J153" i="43" s="1"/>
  <c r="I69" i="43"/>
  <c r="H69" i="43"/>
  <c r="G69" i="43"/>
  <c r="F69" i="43"/>
  <c r="E69" i="43"/>
  <c r="D69" i="43"/>
  <c r="N68" i="43"/>
  <c r="O68" i="43" s="1"/>
  <c r="N67" i="43"/>
  <c r="O67" i="43" s="1"/>
  <c r="N66" i="43"/>
  <c r="O66" i="43"/>
  <c r="N65" i="43"/>
  <c r="O65" i="43" s="1"/>
  <c r="N64" i="43"/>
  <c r="O64" i="43" s="1"/>
  <c r="N63" i="43"/>
  <c r="O63" i="43"/>
  <c r="N62" i="43"/>
  <c r="O62" i="43" s="1"/>
  <c r="N61" i="43"/>
  <c r="O61" i="43"/>
  <c r="N60" i="43"/>
  <c r="O60" i="43"/>
  <c r="N59" i="43"/>
  <c r="O59" i="43" s="1"/>
  <c r="N58" i="43"/>
  <c r="O58" i="43" s="1"/>
  <c r="N57" i="43"/>
  <c r="O57" i="43"/>
  <c r="N56" i="43"/>
  <c r="O56" i="43" s="1"/>
  <c r="N55" i="43"/>
  <c r="O55" i="43" s="1"/>
  <c r="N54" i="43"/>
  <c r="O54" i="43" s="1"/>
  <c r="N53" i="43"/>
  <c r="O53" i="43" s="1"/>
  <c r="N52" i="43"/>
  <c r="O52" i="43"/>
  <c r="N51" i="43"/>
  <c r="O51" i="43" s="1"/>
  <c r="N50" i="43"/>
  <c r="O50" i="43" s="1"/>
  <c r="N49" i="43"/>
  <c r="O49" i="43" s="1"/>
  <c r="N48" i="43"/>
  <c r="O48" i="43"/>
  <c r="N47" i="43"/>
  <c r="O47" i="43" s="1"/>
  <c r="N46" i="43"/>
  <c r="O46" i="43"/>
  <c r="N45" i="43"/>
  <c r="O45" i="43"/>
  <c r="N44" i="43"/>
  <c r="O44" i="43" s="1"/>
  <c r="N43" i="43"/>
  <c r="O43" i="43"/>
  <c r="N42" i="43"/>
  <c r="O42" i="43"/>
  <c r="N41" i="43"/>
  <c r="O41" i="43" s="1"/>
  <c r="N40" i="43"/>
  <c r="O40" i="43" s="1"/>
  <c r="N39" i="43"/>
  <c r="O39" i="43"/>
  <c r="N38" i="43"/>
  <c r="O38" i="43" s="1"/>
  <c r="N37" i="43"/>
  <c r="O37" i="43" s="1"/>
  <c r="N36" i="43"/>
  <c r="O36" i="43"/>
  <c r="N35" i="43"/>
  <c r="O35" i="43" s="1"/>
  <c r="N34" i="43"/>
  <c r="O34" i="43" s="1"/>
  <c r="N33" i="43"/>
  <c r="O33" i="43"/>
  <c r="N32" i="43"/>
  <c r="O32" i="43" s="1"/>
  <c r="N31" i="43"/>
  <c r="O31" i="43" s="1"/>
  <c r="N30" i="43"/>
  <c r="O30" i="43"/>
  <c r="N29" i="43"/>
  <c r="O29" i="43" s="1"/>
  <c r="N28" i="43"/>
  <c r="O28" i="43" s="1"/>
  <c r="M27" i="43"/>
  <c r="L27" i="43"/>
  <c r="K27" i="43"/>
  <c r="J27" i="43"/>
  <c r="I27" i="43"/>
  <c r="H27" i="43"/>
  <c r="H153" i="43" s="1"/>
  <c r="G27" i="43"/>
  <c r="F27" i="43"/>
  <c r="E27" i="43"/>
  <c r="D27" i="43"/>
  <c r="N27" i="43" s="1"/>
  <c r="O27" i="43" s="1"/>
  <c r="N26" i="43"/>
  <c r="O26" i="43" s="1"/>
  <c r="N25" i="43"/>
  <c r="O25" i="43"/>
  <c r="N24" i="43"/>
  <c r="O24" i="43" s="1"/>
  <c r="N23" i="43"/>
  <c r="O23" i="43" s="1"/>
  <c r="N22" i="43"/>
  <c r="O22" i="43"/>
  <c r="N21" i="43"/>
  <c r="O21" i="43" s="1"/>
  <c r="N20" i="43"/>
  <c r="O20" i="43" s="1"/>
  <c r="N19" i="43"/>
  <c r="O19" i="43"/>
  <c r="N18" i="43"/>
  <c r="O18" i="43" s="1"/>
  <c r="N17" i="43"/>
  <c r="O17" i="43"/>
  <c r="N16" i="43"/>
  <c r="O16" i="43" s="1"/>
  <c r="N15" i="43"/>
  <c r="O15" i="43" s="1"/>
  <c r="N14" i="43"/>
  <c r="O14" i="43"/>
  <c r="M13" i="43"/>
  <c r="L13" i="43"/>
  <c r="N13" i="43" s="1"/>
  <c r="O13" i="43" s="1"/>
  <c r="K13" i="43"/>
  <c r="J13" i="43"/>
  <c r="I13" i="43"/>
  <c r="H13" i="43"/>
  <c r="G13" i="43"/>
  <c r="F13" i="43"/>
  <c r="E13" i="43"/>
  <c r="D13" i="43"/>
  <c r="N12" i="43"/>
  <c r="O12" i="43"/>
  <c r="N11" i="43"/>
  <c r="O11" i="43"/>
  <c r="N10" i="43"/>
  <c r="O10" i="43" s="1"/>
  <c r="N9" i="43"/>
  <c r="O9" i="43" s="1"/>
  <c r="N8" i="43"/>
  <c r="O8" i="43" s="1"/>
  <c r="N7" i="43"/>
  <c r="O7" i="43" s="1"/>
  <c r="N6" i="43"/>
  <c r="O6" i="43"/>
  <c r="M5" i="43"/>
  <c r="M153" i="43" s="1"/>
  <c r="L5" i="43"/>
  <c r="L153" i="43" s="1"/>
  <c r="K5" i="43"/>
  <c r="J5" i="43"/>
  <c r="I5" i="43"/>
  <c r="H5" i="43"/>
  <c r="G5" i="43"/>
  <c r="F5" i="43"/>
  <c r="E5" i="43"/>
  <c r="D5" i="43"/>
  <c r="N149" i="42"/>
  <c r="O149" i="42" s="1"/>
  <c r="N148" i="42"/>
  <c r="O148" i="42"/>
  <c r="N147" i="42"/>
  <c r="O147" i="42" s="1"/>
  <c r="N146" i="42"/>
  <c r="O146" i="42" s="1"/>
  <c r="N145" i="42"/>
  <c r="O145" i="42" s="1"/>
  <c r="N144" i="42"/>
  <c r="O144" i="42" s="1"/>
  <c r="M143" i="42"/>
  <c r="L143" i="42"/>
  <c r="K143" i="42"/>
  <c r="J143" i="42"/>
  <c r="I143" i="42"/>
  <c r="H143" i="42"/>
  <c r="G143" i="42"/>
  <c r="F143" i="42"/>
  <c r="E143" i="42"/>
  <c r="D143" i="42"/>
  <c r="N142" i="42"/>
  <c r="O142" i="42" s="1"/>
  <c r="N141" i="42"/>
  <c r="O141" i="42" s="1"/>
  <c r="N140" i="42"/>
  <c r="O140" i="42"/>
  <c r="N139" i="42"/>
  <c r="O139" i="42" s="1"/>
  <c r="N138" i="42"/>
  <c r="O138" i="42" s="1"/>
  <c r="N137" i="42"/>
  <c r="O137" i="42" s="1"/>
  <c r="N136" i="42"/>
  <c r="O136" i="42" s="1"/>
  <c r="N135" i="42"/>
  <c r="O135" i="42" s="1"/>
  <c r="N134" i="42"/>
  <c r="O134" i="42"/>
  <c r="N133" i="42"/>
  <c r="O133" i="42" s="1"/>
  <c r="N132" i="42"/>
  <c r="O132" i="42" s="1"/>
  <c r="N131" i="42"/>
  <c r="O131" i="42"/>
  <c r="N130" i="42"/>
  <c r="O130" i="42" s="1"/>
  <c r="N129" i="42"/>
  <c r="O129" i="42" s="1"/>
  <c r="N128" i="42"/>
  <c r="O128" i="42" s="1"/>
  <c r="N127" i="42"/>
  <c r="O127" i="42" s="1"/>
  <c r="N126" i="42"/>
  <c r="O126" i="42" s="1"/>
  <c r="M125" i="42"/>
  <c r="L125" i="42"/>
  <c r="K125" i="42"/>
  <c r="J125" i="42"/>
  <c r="I125" i="42"/>
  <c r="H125" i="42"/>
  <c r="G125" i="42"/>
  <c r="F125" i="42"/>
  <c r="E125" i="42"/>
  <c r="D125" i="42"/>
  <c r="N125" i="42" s="1"/>
  <c r="O125" i="42" s="1"/>
  <c r="N124" i="42"/>
  <c r="O124" i="42" s="1"/>
  <c r="N123" i="42"/>
  <c r="O123" i="42" s="1"/>
  <c r="N122" i="42"/>
  <c r="O122" i="42"/>
  <c r="N121" i="42"/>
  <c r="O121" i="42" s="1"/>
  <c r="N120" i="42"/>
  <c r="O120" i="42" s="1"/>
  <c r="N119" i="42"/>
  <c r="O119" i="42" s="1"/>
  <c r="N118" i="42"/>
  <c r="O118" i="42" s="1"/>
  <c r="N117" i="42"/>
  <c r="O117" i="42"/>
  <c r="M116" i="42"/>
  <c r="L116" i="42"/>
  <c r="K116" i="42"/>
  <c r="J116" i="42"/>
  <c r="I116" i="42"/>
  <c r="H116" i="42"/>
  <c r="G116" i="42"/>
  <c r="F116" i="42"/>
  <c r="E116" i="42"/>
  <c r="D116" i="42"/>
  <c r="N116" i="42" s="1"/>
  <c r="O116" i="42" s="1"/>
  <c r="N115" i="42"/>
  <c r="O115" i="42" s="1"/>
  <c r="N114" i="42"/>
  <c r="O114" i="42"/>
  <c r="N113" i="42"/>
  <c r="O113" i="42" s="1"/>
  <c r="N112" i="42"/>
  <c r="O112" i="42" s="1"/>
  <c r="N111" i="42"/>
  <c r="O111" i="42" s="1"/>
  <c r="N110" i="42"/>
  <c r="O110" i="42" s="1"/>
  <c r="N109" i="42"/>
  <c r="O109" i="42"/>
  <c r="N108" i="42"/>
  <c r="O108" i="42" s="1"/>
  <c r="N107" i="42"/>
  <c r="O107" i="42" s="1"/>
  <c r="N106" i="42"/>
  <c r="O106" i="42" s="1"/>
  <c r="N105" i="42"/>
  <c r="O105" i="42" s="1"/>
  <c r="N104" i="42"/>
  <c r="O104" i="42" s="1"/>
  <c r="N103" i="42"/>
  <c r="O103" i="42"/>
  <c r="N102" i="42"/>
  <c r="O102" i="42" s="1"/>
  <c r="N101" i="42"/>
  <c r="O101" i="42" s="1"/>
  <c r="N100" i="42"/>
  <c r="O100" i="42" s="1"/>
  <c r="N99" i="42"/>
  <c r="O99" i="42" s="1"/>
  <c r="N98" i="42"/>
  <c r="O98" i="42" s="1"/>
  <c r="N97" i="42"/>
  <c r="O97" i="42" s="1"/>
  <c r="N96" i="42"/>
  <c r="O96" i="42" s="1"/>
  <c r="N95" i="42"/>
  <c r="O95" i="42" s="1"/>
  <c r="N94" i="42"/>
  <c r="O94" i="42" s="1"/>
  <c r="N93" i="42"/>
  <c r="O93" i="42" s="1"/>
  <c r="N92" i="42"/>
  <c r="O92" i="42" s="1"/>
  <c r="N91" i="42"/>
  <c r="O91" i="42"/>
  <c r="N90" i="42"/>
  <c r="O90" i="42"/>
  <c r="N89" i="42"/>
  <c r="O89" i="42" s="1"/>
  <c r="N88" i="42"/>
  <c r="O88" i="42" s="1"/>
  <c r="N87" i="42"/>
  <c r="O87" i="42" s="1"/>
  <c r="N86" i="42"/>
  <c r="O86" i="42" s="1"/>
  <c r="N85" i="42"/>
  <c r="O85" i="42" s="1"/>
  <c r="N84" i="42"/>
  <c r="O84" i="42"/>
  <c r="N83" i="42"/>
  <c r="O83" i="42" s="1"/>
  <c r="N82" i="42"/>
  <c r="O82" i="42" s="1"/>
  <c r="N81" i="42"/>
  <c r="O81" i="42" s="1"/>
  <c r="N80" i="42"/>
  <c r="O80" i="42" s="1"/>
  <c r="N79" i="42"/>
  <c r="O79" i="42"/>
  <c r="N78" i="42"/>
  <c r="O78" i="42" s="1"/>
  <c r="N77" i="42"/>
  <c r="O77" i="42" s="1"/>
  <c r="N76" i="42"/>
  <c r="O76" i="42" s="1"/>
  <c r="N75" i="42"/>
  <c r="O75" i="42" s="1"/>
  <c r="N74" i="42"/>
  <c r="O74" i="42" s="1"/>
  <c r="N73" i="42"/>
  <c r="O73" i="42"/>
  <c r="N72" i="42"/>
  <c r="O72" i="42" s="1"/>
  <c r="N71" i="42"/>
  <c r="O71" i="42" s="1"/>
  <c r="N70" i="42"/>
  <c r="O70" i="42" s="1"/>
  <c r="N69" i="42"/>
  <c r="O69" i="42" s="1"/>
  <c r="N68" i="42"/>
  <c r="O68" i="42" s="1"/>
  <c r="N67" i="42"/>
  <c r="O67" i="42" s="1"/>
  <c r="N66" i="42"/>
  <c r="O66" i="42" s="1"/>
  <c r="N65" i="42"/>
  <c r="O65" i="42" s="1"/>
  <c r="N64" i="42"/>
  <c r="O64" i="42" s="1"/>
  <c r="N63" i="42"/>
  <c r="O63" i="42" s="1"/>
  <c r="N62" i="42"/>
  <c r="O62" i="42" s="1"/>
  <c r="N61" i="42"/>
  <c r="O61" i="42"/>
  <c r="M60" i="42"/>
  <c r="L60" i="42"/>
  <c r="K60" i="42"/>
  <c r="J60" i="42"/>
  <c r="I60" i="42"/>
  <c r="H60" i="42"/>
  <c r="N60" i="42" s="1"/>
  <c r="O60" i="42" s="1"/>
  <c r="G60" i="42"/>
  <c r="F60" i="42"/>
  <c r="E60" i="42"/>
  <c r="D60" i="42"/>
  <c r="N59" i="42"/>
  <c r="O59" i="42" s="1"/>
  <c r="N58" i="42"/>
  <c r="O58" i="42" s="1"/>
  <c r="N57" i="42"/>
  <c r="O57" i="42" s="1"/>
  <c r="N56" i="42"/>
  <c r="O56" i="42" s="1"/>
  <c r="N55" i="42"/>
  <c r="O55" i="42" s="1"/>
  <c r="N54" i="42"/>
  <c r="O54" i="42" s="1"/>
  <c r="N53" i="42"/>
  <c r="O53" i="42"/>
  <c r="N52" i="42"/>
  <c r="O52" i="42" s="1"/>
  <c r="N51" i="42"/>
  <c r="O51" i="42" s="1"/>
  <c r="N50" i="42"/>
  <c r="O50" i="42" s="1"/>
  <c r="N49" i="42"/>
  <c r="O49" i="42" s="1"/>
  <c r="N48" i="42"/>
  <c r="O48" i="42" s="1"/>
  <c r="N47" i="42"/>
  <c r="O47" i="42" s="1"/>
  <c r="N46" i="42"/>
  <c r="O46" i="42"/>
  <c r="N45" i="42"/>
  <c r="O45" i="42" s="1"/>
  <c r="N44" i="42"/>
  <c r="O44" i="42" s="1"/>
  <c r="N43" i="42"/>
  <c r="O43" i="42" s="1"/>
  <c r="N42" i="42"/>
  <c r="O42" i="42" s="1"/>
  <c r="N41" i="42"/>
  <c r="O41" i="42"/>
  <c r="N40" i="42"/>
  <c r="O40" i="42" s="1"/>
  <c r="N39" i="42"/>
  <c r="O39" i="42" s="1"/>
  <c r="N38" i="42"/>
  <c r="O38" i="42" s="1"/>
  <c r="N37" i="42"/>
  <c r="O37" i="42" s="1"/>
  <c r="N36" i="42"/>
  <c r="O36" i="42" s="1"/>
  <c r="N35" i="42"/>
  <c r="O35" i="42" s="1"/>
  <c r="N34" i="42"/>
  <c r="O34" i="42"/>
  <c r="N33" i="42"/>
  <c r="O33" i="42" s="1"/>
  <c r="N32" i="42"/>
  <c r="O32" i="42" s="1"/>
  <c r="N31" i="42"/>
  <c r="O31" i="42" s="1"/>
  <c r="N30" i="42"/>
  <c r="O30" i="42" s="1"/>
  <c r="N29" i="42"/>
  <c r="O29" i="42" s="1"/>
  <c r="N28" i="42"/>
  <c r="O28" i="42" s="1"/>
  <c r="N27" i="42"/>
  <c r="O27" i="42" s="1"/>
  <c r="N26" i="42"/>
  <c r="O26" i="42" s="1"/>
  <c r="N25" i="42"/>
  <c r="O25" i="42" s="1"/>
  <c r="N24" i="42"/>
  <c r="O24" i="42" s="1"/>
  <c r="N23" i="42"/>
  <c r="O23" i="42"/>
  <c r="N22" i="42"/>
  <c r="O22" i="42"/>
  <c r="N21" i="42"/>
  <c r="O21" i="42" s="1"/>
  <c r="N20" i="42"/>
  <c r="O20" i="42" s="1"/>
  <c r="N19" i="42"/>
  <c r="O19" i="42" s="1"/>
  <c r="M18" i="42"/>
  <c r="L18" i="42"/>
  <c r="K18" i="42"/>
  <c r="J18" i="42"/>
  <c r="I18" i="42"/>
  <c r="H18" i="42"/>
  <c r="G18" i="42"/>
  <c r="F18" i="42"/>
  <c r="F151" i="42" s="1"/>
  <c r="E18" i="42"/>
  <c r="D18" i="42"/>
  <c r="N17" i="42"/>
  <c r="O17" i="42" s="1"/>
  <c r="N16" i="42"/>
  <c r="O16" i="42" s="1"/>
  <c r="N15" i="42"/>
  <c r="O15" i="42" s="1"/>
  <c r="M14" i="42"/>
  <c r="L14" i="42"/>
  <c r="K14" i="42"/>
  <c r="J14" i="42"/>
  <c r="I14" i="42"/>
  <c r="H14" i="42"/>
  <c r="H151" i="42" s="1"/>
  <c r="G14" i="42"/>
  <c r="G151" i="42" s="1"/>
  <c r="F14" i="42"/>
  <c r="E14" i="42"/>
  <c r="D14" i="42"/>
  <c r="N13" i="42"/>
  <c r="O13" i="42"/>
  <c r="N12" i="42"/>
  <c r="O12" i="42"/>
  <c r="N11" i="42"/>
  <c r="O11" i="42" s="1"/>
  <c r="N10" i="42"/>
  <c r="O10" i="42" s="1"/>
  <c r="N9" i="42"/>
  <c r="O9" i="42" s="1"/>
  <c r="N8" i="42"/>
  <c r="O8" i="42" s="1"/>
  <c r="N7" i="42"/>
  <c r="O7" i="42" s="1"/>
  <c r="N6" i="42"/>
  <c r="O6" i="42"/>
  <c r="M5" i="42"/>
  <c r="L5" i="42"/>
  <c r="K5" i="42"/>
  <c r="J5" i="42"/>
  <c r="I5" i="42"/>
  <c r="N5" i="42" s="1"/>
  <c r="O5" i="42" s="1"/>
  <c r="H5" i="42"/>
  <c r="G5" i="42"/>
  <c r="F5" i="42"/>
  <c r="E5" i="42"/>
  <c r="D5" i="42"/>
  <c r="N148" i="41"/>
  <c r="O148" i="41"/>
  <c r="N147" i="41"/>
  <c r="O147" i="41" s="1"/>
  <c r="N146" i="41"/>
  <c r="O146" i="41" s="1"/>
  <c r="N145" i="41"/>
  <c r="O145" i="41" s="1"/>
  <c r="N144" i="41"/>
  <c r="O144" i="41" s="1"/>
  <c r="N143" i="41"/>
  <c r="O143" i="41" s="1"/>
  <c r="M142" i="41"/>
  <c r="L142" i="41"/>
  <c r="K142" i="41"/>
  <c r="J142" i="41"/>
  <c r="I142" i="41"/>
  <c r="H142" i="41"/>
  <c r="G142" i="41"/>
  <c r="N142" i="41" s="1"/>
  <c r="O142" i="41" s="1"/>
  <c r="F142" i="41"/>
  <c r="E142" i="41"/>
  <c r="D142" i="41"/>
  <c r="N141" i="41"/>
  <c r="O141" i="41"/>
  <c r="N140" i="41"/>
  <c r="O140" i="41"/>
  <c r="N139" i="41"/>
  <c r="O139" i="41" s="1"/>
  <c r="N138" i="41"/>
  <c r="O138" i="41" s="1"/>
  <c r="N137" i="41"/>
  <c r="O137" i="41" s="1"/>
  <c r="N136" i="41"/>
  <c r="O136" i="41" s="1"/>
  <c r="N135" i="41"/>
  <c r="O135" i="41" s="1"/>
  <c r="N134" i="41"/>
  <c r="O134" i="41" s="1"/>
  <c r="N133" i="41"/>
  <c r="O133" i="41" s="1"/>
  <c r="N132" i="41"/>
  <c r="O132" i="41" s="1"/>
  <c r="N131" i="41"/>
  <c r="O131" i="41" s="1"/>
  <c r="N130" i="41"/>
  <c r="O130" i="41" s="1"/>
  <c r="N129" i="41"/>
  <c r="O129" i="41" s="1"/>
  <c r="N128" i="41"/>
  <c r="O128" i="41" s="1"/>
  <c r="N127" i="41"/>
  <c r="O127" i="41" s="1"/>
  <c r="N126" i="41"/>
  <c r="O126" i="41" s="1"/>
  <c r="M125" i="41"/>
  <c r="L125" i="41"/>
  <c r="K125" i="41"/>
  <c r="J125" i="41"/>
  <c r="I125" i="41"/>
  <c r="H125" i="41"/>
  <c r="G125" i="41"/>
  <c r="F125" i="41"/>
  <c r="E125" i="41"/>
  <c r="D125" i="41"/>
  <c r="N124" i="41"/>
  <c r="O124" i="41" s="1"/>
  <c r="N123" i="41"/>
  <c r="O123" i="41" s="1"/>
  <c r="N122" i="41"/>
  <c r="O122" i="41" s="1"/>
  <c r="N121" i="41"/>
  <c r="O121" i="41"/>
  <c r="N120" i="41"/>
  <c r="O120" i="41"/>
  <c r="N119" i="41"/>
  <c r="O119" i="41" s="1"/>
  <c r="N118" i="41"/>
  <c r="O118" i="41" s="1"/>
  <c r="N117" i="41"/>
  <c r="O117" i="41" s="1"/>
  <c r="M116" i="41"/>
  <c r="L116" i="41"/>
  <c r="K116" i="41"/>
  <c r="J116" i="41"/>
  <c r="I116" i="41"/>
  <c r="H116" i="41"/>
  <c r="G116" i="41"/>
  <c r="F116" i="41"/>
  <c r="E116" i="41"/>
  <c r="D116" i="41"/>
  <c r="N115" i="41"/>
  <c r="O115" i="41" s="1"/>
  <c r="N114" i="41"/>
  <c r="O114" i="41" s="1"/>
  <c r="N113" i="41"/>
  <c r="O113" i="41"/>
  <c r="N112" i="41"/>
  <c r="O112" i="41" s="1"/>
  <c r="N111" i="41"/>
  <c r="O111" i="41" s="1"/>
  <c r="N110" i="41"/>
  <c r="O110" i="41" s="1"/>
  <c r="N109" i="41"/>
  <c r="O109" i="41" s="1"/>
  <c r="N108" i="41"/>
  <c r="O108" i="41" s="1"/>
  <c r="N107" i="41"/>
  <c r="O107" i="41"/>
  <c r="N106" i="41"/>
  <c r="O106" i="41" s="1"/>
  <c r="N105" i="41"/>
  <c r="O105" i="41" s="1"/>
  <c r="N104" i="41"/>
  <c r="O104" i="41" s="1"/>
  <c r="N103" i="41"/>
  <c r="O103" i="41" s="1"/>
  <c r="N102" i="41"/>
  <c r="O102" i="41" s="1"/>
  <c r="N101" i="41"/>
  <c r="O101" i="41"/>
  <c r="N100" i="41"/>
  <c r="O100" i="41"/>
  <c r="N99" i="41"/>
  <c r="O99" i="41" s="1"/>
  <c r="N98" i="41"/>
  <c r="O98" i="41" s="1"/>
  <c r="N97" i="41"/>
  <c r="O97" i="41" s="1"/>
  <c r="N96" i="41"/>
  <c r="O96" i="41" s="1"/>
  <c r="N95" i="41"/>
  <c r="O95" i="41" s="1"/>
  <c r="N94" i="41"/>
  <c r="O94" i="41"/>
  <c r="N93" i="41"/>
  <c r="O93" i="41" s="1"/>
  <c r="N92" i="41"/>
  <c r="O92" i="41" s="1"/>
  <c r="N91" i="41"/>
  <c r="O91" i="41" s="1"/>
  <c r="N90" i="41"/>
  <c r="O90" i="41" s="1"/>
  <c r="N89" i="41"/>
  <c r="O89" i="41"/>
  <c r="N88" i="41"/>
  <c r="O88" i="41" s="1"/>
  <c r="N87" i="41"/>
  <c r="O87" i="41" s="1"/>
  <c r="N86" i="41"/>
  <c r="O86" i="41" s="1"/>
  <c r="N85" i="41"/>
  <c r="O85" i="41"/>
  <c r="N84" i="41"/>
  <c r="O84" i="41" s="1"/>
  <c r="N83" i="41"/>
  <c r="O83" i="41"/>
  <c r="N82" i="41"/>
  <c r="O82" i="41" s="1"/>
  <c r="N81" i="41"/>
  <c r="O81" i="41" s="1"/>
  <c r="N80" i="41"/>
  <c r="O80" i="41" s="1"/>
  <c r="N79" i="41"/>
  <c r="O79" i="41" s="1"/>
  <c r="N78" i="41"/>
  <c r="O78" i="41" s="1"/>
  <c r="N77" i="41"/>
  <c r="O77" i="41" s="1"/>
  <c r="N76" i="41"/>
  <c r="O76" i="41"/>
  <c r="N75" i="41"/>
  <c r="O75" i="41" s="1"/>
  <c r="N74" i="41"/>
  <c r="O74" i="41" s="1"/>
  <c r="N73" i="41"/>
  <c r="O73" i="41"/>
  <c r="N72" i="41"/>
  <c r="O72" i="41" s="1"/>
  <c r="N71" i="41"/>
  <c r="O71" i="41"/>
  <c r="N70" i="41"/>
  <c r="O70" i="41"/>
  <c r="N69" i="41"/>
  <c r="O69" i="41" s="1"/>
  <c r="N68" i="41"/>
  <c r="O68" i="41" s="1"/>
  <c r="N67" i="41"/>
  <c r="O67" i="41"/>
  <c r="N66" i="41"/>
  <c r="O66" i="41" s="1"/>
  <c r="N65" i="41"/>
  <c r="O65" i="41"/>
  <c r="N64" i="41"/>
  <c r="O64" i="41" s="1"/>
  <c r="N63" i="41"/>
  <c r="O63" i="41" s="1"/>
  <c r="N62" i="41"/>
  <c r="O62" i="41" s="1"/>
  <c r="N61" i="41"/>
  <c r="O61" i="41" s="1"/>
  <c r="M60" i="41"/>
  <c r="M149" i="41" s="1"/>
  <c r="L60" i="41"/>
  <c r="K60" i="41"/>
  <c r="J60" i="41"/>
  <c r="I60" i="41"/>
  <c r="H60" i="41"/>
  <c r="G60" i="41"/>
  <c r="F60" i="41"/>
  <c r="E60" i="41"/>
  <c r="D60" i="41"/>
  <c r="N59" i="41"/>
  <c r="O59" i="41"/>
  <c r="N58" i="41"/>
  <c r="O58" i="41" s="1"/>
  <c r="N57" i="41"/>
  <c r="O57" i="41" s="1"/>
  <c r="N56" i="41"/>
  <c r="O56" i="41"/>
  <c r="N55" i="41"/>
  <c r="O55" i="41" s="1"/>
  <c r="N54" i="41"/>
  <c r="O54" i="41" s="1"/>
  <c r="N53" i="41"/>
  <c r="O53" i="41"/>
  <c r="N52" i="41"/>
  <c r="O52" i="41" s="1"/>
  <c r="N51" i="41"/>
  <c r="O51" i="41"/>
  <c r="N50" i="41"/>
  <c r="O50" i="41"/>
  <c r="N49" i="41"/>
  <c r="O49" i="41" s="1"/>
  <c r="N48" i="41"/>
  <c r="O48" i="41" s="1"/>
  <c r="N47" i="41"/>
  <c r="O47" i="41" s="1"/>
  <c r="N46" i="41"/>
  <c r="O46" i="41" s="1"/>
  <c r="N45" i="41"/>
  <c r="O45" i="41" s="1"/>
  <c r="N44" i="41"/>
  <c r="O44" i="41" s="1"/>
  <c r="N43" i="41"/>
  <c r="O43" i="41" s="1"/>
  <c r="N42" i="41"/>
  <c r="O42" i="41" s="1"/>
  <c r="N41" i="41"/>
  <c r="O41" i="41" s="1"/>
  <c r="N40" i="41"/>
  <c r="O40" i="41" s="1"/>
  <c r="N39" i="41"/>
  <c r="O39" i="41"/>
  <c r="N38" i="41"/>
  <c r="O38" i="41"/>
  <c r="N37" i="41"/>
  <c r="O37" i="41" s="1"/>
  <c r="N36" i="41"/>
  <c r="O36" i="41" s="1"/>
  <c r="N35" i="41"/>
  <c r="O35" i="41" s="1"/>
  <c r="N34" i="41"/>
  <c r="O34" i="41" s="1"/>
  <c r="N33" i="41"/>
  <c r="O33" i="41"/>
  <c r="N32" i="41"/>
  <c r="O32" i="41" s="1"/>
  <c r="N31" i="41"/>
  <c r="O31" i="41" s="1"/>
  <c r="N30" i="41"/>
  <c r="O30" i="41" s="1"/>
  <c r="N29" i="41"/>
  <c r="O29" i="41"/>
  <c r="N28" i="41"/>
  <c r="O28" i="41" s="1"/>
  <c r="N27" i="41"/>
  <c r="O27" i="41" s="1"/>
  <c r="N26" i="41"/>
  <c r="O26" i="41" s="1"/>
  <c r="N25" i="41"/>
  <c r="O25" i="41" s="1"/>
  <c r="N24" i="41"/>
  <c r="O24" i="41" s="1"/>
  <c r="N23" i="41"/>
  <c r="O23" i="41"/>
  <c r="N22" i="41"/>
  <c r="O22" i="41" s="1"/>
  <c r="N21" i="41"/>
  <c r="O21" i="41" s="1"/>
  <c r="N20" i="41"/>
  <c r="O20" i="41"/>
  <c r="N19" i="41"/>
  <c r="O19" i="41" s="1"/>
  <c r="M18" i="41"/>
  <c r="L18" i="41"/>
  <c r="K18" i="41"/>
  <c r="J18" i="41"/>
  <c r="I18" i="41"/>
  <c r="H18" i="41"/>
  <c r="H149" i="41" s="1"/>
  <c r="G18" i="41"/>
  <c r="F18" i="41"/>
  <c r="E18" i="41"/>
  <c r="E149" i="41" s="1"/>
  <c r="D18" i="41"/>
  <c r="N18" i="41" s="1"/>
  <c r="O18" i="41" s="1"/>
  <c r="N17" i="41"/>
  <c r="O17" i="41" s="1"/>
  <c r="N16" i="41"/>
  <c r="O16" i="41" s="1"/>
  <c r="N15" i="41"/>
  <c r="O15" i="41"/>
  <c r="N14" i="41"/>
  <c r="O14" i="41" s="1"/>
  <c r="M13" i="41"/>
  <c r="L13" i="41"/>
  <c r="K13" i="41"/>
  <c r="J13" i="41"/>
  <c r="I13" i="41"/>
  <c r="H13" i="41"/>
  <c r="G13" i="41"/>
  <c r="F13" i="41"/>
  <c r="E13" i="41"/>
  <c r="D13" i="41"/>
  <c r="N13" i="41" s="1"/>
  <c r="O13" i="41" s="1"/>
  <c r="N12" i="41"/>
  <c r="O12" i="41" s="1"/>
  <c r="N11" i="41"/>
  <c r="O11" i="41" s="1"/>
  <c r="N10" i="41"/>
  <c r="O10" i="41"/>
  <c r="N9" i="41"/>
  <c r="O9" i="41" s="1"/>
  <c r="N8" i="41"/>
  <c r="O8" i="41" s="1"/>
  <c r="N7" i="41"/>
  <c r="O7" i="41"/>
  <c r="N6" i="41"/>
  <c r="O6" i="41" s="1"/>
  <c r="M5" i="41"/>
  <c r="L5" i="41"/>
  <c r="K5" i="41"/>
  <c r="J5" i="41"/>
  <c r="I5" i="41"/>
  <c r="H5" i="41"/>
  <c r="G5" i="41"/>
  <c r="F5" i="41"/>
  <c r="E5" i="41"/>
  <c r="D5" i="41"/>
  <c r="N154" i="40"/>
  <c r="O154" i="40" s="1"/>
  <c r="N153" i="40"/>
  <c r="O153" i="40" s="1"/>
  <c r="N152" i="40"/>
  <c r="O152" i="40"/>
  <c r="N151" i="40"/>
  <c r="O151" i="40" s="1"/>
  <c r="N150" i="40"/>
  <c r="O150" i="40" s="1"/>
  <c r="N149" i="40"/>
  <c r="O149" i="40"/>
  <c r="N148" i="40"/>
  <c r="O148" i="40" s="1"/>
  <c r="M147" i="40"/>
  <c r="L147" i="40"/>
  <c r="K147" i="40"/>
  <c r="J147" i="40"/>
  <c r="I147" i="40"/>
  <c r="H147" i="40"/>
  <c r="G147" i="40"/>
  <c r="N147" i="40" s="1"/>
  <c r="O147" i="40" s="1"/>
  <c r="F147" i="40"/>
  <c r="E147" i="40"/>
  <c r="D147" i="40"/>
  <c r="N146" i="40"/>
  <c r="O146" i="40" s="1"/>
  <c r="N145" i="40"/>
  <c r="O145" i="40"/>
  <c r="N144" i="40"/>
  <c r="O144" i="40" s="1"/>
  <c r="N143" i="40"/>
  <c r="O143" i="40" s="1"/>
  <c r="N142" i="40"/>
  <c r="O142" i="40" s="1"/>
  <c r="N141" i="40"/>
  <c r="O141" i="40" s="1"/>
  <c r="N140" i="40"/>
  <c r="O140" i="40" s="1"/>
  <c r="N139" i="40"/>
  <c r="O139" i="40" s="1"/>
  <c r="M138" i="40"/>
  <c r="L138" i="40"/>
  <c r="K138" i="40"/>
  <c r="J138" i="40"/>
  <c r="I138" i="40"/>
  <c r="H138" i="40"/>
  <c r="G138" i="40"/>
  <c r="F138" i="40"/>
  <c r="E138" i="40"/>
  <c r="D138" i="40"/>
  <c r="N137" i="40"/>
  <c r="O137" i="40" s="1"/>
  <c r="N136" i="40"/>
  <c r="O136" i="40"/>
  <c r="N135" i="40"/>
  <c r="O135" i="40" s="1"/>
  <c r="N134" i="40"/>
  <c r="O134" i="40"/>
  <c r="N133" i="40"/>
  <c r="O133" i="40" s="1"/>
  <c r="N132" i="40"/>
  <c r="O132" i="40" s="1"/>
  <c r="N131" i="40"/>
  <c r="O131" i="40" s="1"/>
  <c r="N130" i="40"/>
  <c r="O130" i="40"/>
  <c r="N129" i="40"/>
  <c r="O129" i="40" s="1"/>
  <c r="N128" i="40"/>
  <c r="O128" i="40" s="1"/>
  <c r="N127" i="40"/>
  <c r="O127" i="40"/>
  <c r="M126" i="40"/>
  <c r="L126" i="40"/>
  <c r="K126" i="40"/>
  <c r="J126" i="40"/>
  <c r="I126" i="40"/>
  <c r="H126" i="40"/>
  <c r="G126" i="40"/>
  <c r="F126" i="40"/>
  <c r="E126" i="40"/>
  <c r="D126" i="40"/>
  <c r="N125" i="40"/>
  <c r="O125" i="40" s="1"/>
  <c r="N124" i="40"/>
  <c r="O124" i="40" s="1"/>
  <c r="N123" i="40"/>
  <c r="O123" i="40" s="1"/>
  <c r="N122" i="40"/>
  <c r="O122" i="40" s="1"/>
  <c r="N121" i="40"/>
  <c r="O121" i="40" s="1"/>
  <c r="N120" i="40"/>
  <c r="O120" i="40"/>
  <c r="N119" i="40"/>
  <c r="O119" i="40"/>
  <c r="N118" i="40"/>
  <c r="O118" i="40" s="1"/>
  <c r="N117" i="40"/>
  <c r="O117" i="40" s="1"/>
  <c r="N116" i="40"/>
  <c r="O116" i="40"/>
  <c r="N115" i="40"/>
  <c r="O115" i="40" s="1"/>
  <c r="N114" i="40"/>
  <c r="O114" i="40"/>
  <c r="N113" i="40"/>
  <c r="O113" i="40"/>
  <c r="N112" i="40"/>
  <c r="O112" i="40" s="1"/>
  <c r="N111" i="40"/>
  <c r="O111" i="40" s="1"/>
  <c r="N110" i="40"/>
  <c r="O110" i="40" s="1"/>
  <c r="N109" i="40"/>
  <c r="O109" i="40" s="1"/>
  <c r="N108" i="40"/>
  <c r="O108" i="40"/>
  <c r="N107" i="40"/>
  <c r="O107" i="40"/>
  <c r="N106" i="40"/>
  <c r="O106" i="40" s="1"/>
  <c r="N105" i="40"/>
  <c r="O105" i="40" s="1"/>
  <c r="N104" i="40"/>
  <c r="O104" i="40" s="1"/>
  <c r="N103" i="40"/>
  <c r="O103" i="40" s="1"/>
  <c r="N102" i="40"/>
  <c r="O102" i="40"/>
  <c r="N101" i="40"/>
  <c r="O101" i="40"/>
  <c r="N100" i="40"/>
  <c r="O100" i="40" s="1"/>
  <c r="N99" i="40"/>
  <c r="O99" i="40" s="1"/>
  <c r="N98" i="40"/>
  <c r="O98" i="40" s="1"/>
  <c r="N97" i="40"/>
  <c r="O97" i="40" s="1"/>
  <c r="N96" i="40"/>
  <c r="O96" i="40"/>
  <c r="N95" i="40"/>
  <c r="O95" i="40"/>
  <c r="N94" i="40"/>
  <c r="O94" i="40" s="1"/>
  <c r="N93" i="40"/>
  <c r="O93" i="40" s="1"/>
  <c r="N92" i="40"/>
  <c r="O92" i="40"/>
  <c r="N91" i="40"/>
  <c r="O91" i="40" s="1"/>
  <c r="N90" i="40"/>
  <c r="O90" i="40"/>
  <c r="N89" i="40"/>
  <c r="O89" i="40" s="1"/>
  <c r="N88" i="40"/>
  <c r="O88" i="40" s="1"/>
  <c r="N87" i="40"/>
  <c r="O87" i="40" s="1"/>
  <c r="N86" i="40"/>
  <c r="O86" i="40"/>
  <c r="N85" i="40"/>
  <c r="O85" i="40" s="1"/>
  <c r="N84" i="40"/>
  <c r="O84" i="40"/>
  <c r="N83" i="40"/>
  <c r="O83" i="40"/>
  <c r="N82" i="40"/>
  <c r="O82" i="40" s="1"/>
  <c r="N81" i="40"/>
  <c r="O81" i="40" s="1"/>
  <c r="N80" i="40"/>
  <c r="O80" i="40"/>
  <c r="N79" i="40"/>
  <c r="O79" i="40" s="1"/>
  <c r="N78" i="40"/>
  <c r="O78" i="40" s="1"/>
  <c r="N77" i="40"/>
  <c r="O77" i="40"/>
  <c r="N76" i="40"/>
  <c r="O76" i="40" s="1"/>
  <c r="N75" i="40"/>
  <c r="O75" i="40" s="1"/>
  <c r="N74" i="40"/>
  <c r="O74" i="40"/>
  <c r="N73" i="40"/>
  <c r="O73" i="40" s="1"/>
  <c r="N72" i="40"/>
  <c r="O72" i="40" s="1"/>
  <c r="M71" i="40"/>
  <c r="L71" i="40"/>
  <c r="K71" i="40"/>
  <c r="J71" i="40"/>
  <c r="I71" i="40"/>
  <c r="H71" i="40"/>
  <c r="G71" i="40"/>
  <c r="F71" i="40"/>
  <c r="E71" i="40"/>
  <c r="D71" i="40"/>
  <c r="D155" i="40" s="1"/>
  <c r="N70" i="40"/>
  <c r="O70" i="40" s="1"/>
  <c r="N69" i="40"/>
  <c r="O69" i="40"/>
  <c r="N68" i="40"/>
  <c r="O68" i="40" s="1"/>
  <c r="N67" i="40"/>
  <c r="O67" i="40" s="1"/>
  <c r="N66" i="40"/>
  <c r="O66" i="40" s="1"/>
  <c r="N65" i="40"/>
  <c r="O65" i="40" s="1"/>
  <c r="N64" i="40"/>
  <c r="O64" i="40" s="1"/>
  <c r="N63" i="40"/>
  <c r="O63" i="40" s="1"/>
  <c r="N62" i="40"/>
  <c r="O62" i="40" s="1"/>
  <c r="N61" i="40"/>
  <c r="O61" i="40" s="1"/>
  <c r="N60" i="40"/>
  <c r="O60" i="40" s="1"/>
  <c r="N59" i="40"/>
  <c r="O59" i="40" s="1"/>
  <c r="N58" i="40"/>
  <c r="O58" i="40"/>
  <c r="N57" i="40"/>
  <c r="O57" i="40" s="1"/>
  <c r="N56" i="40"/>
  <c r="O56" i="40" s="1"/>
  <c r="N55" i="40"/>
  <c r="O55" i="40" s="1"/>
  <c r="N54" i="40"/>
  <c r="O54" i="40"/>
  <c r="N53" i="40"/>
  <c r="O53" i="40" s="1"/>
  <c r="N52" i="40"/>
  <c r="O52" i="40"/>
  <c r="N51" i="40"/>
  <c r="O51" i="40" s="1"/>
  <c r="N50" i="40"/>
  <c r="O50" i="40" s="1"/>
  <c r="N49" i="40"/>
  <c r="O49" i="40" s="1"/>
  <c r="N48" i="40"/>
  <c r="O48" i="40" s="1"/>
  <c r="N47" i="40"/>
  <c r="O47" i="40" s="1"/>
  <c r="N46" i="40"/>
  <c r="O46" i="40"/>
  <c r="N45" i="40"/>
  <c r="O45" i="40"/>
  <c r="N44" i="40"/>
  <c r="O44" i="40" s="1"/>
  <c r="N43" i="40"/>
  <c r="O43" i="40" s="1"/>
  <c r="N42" i="40"/>
  <c r="O42" i="40"/>
  <c r="N41" i="40"/>
  <c r="O41" i="40" s="1"/>
  <c r="N40" i="40"/>
  <c r="O40" i="40"/>
  <c r="N39" i="40"/>
  <c r="O39" i="40"/>
  <c r="N38" i="40"/>
  <c r="O38" i="40" s="1"/>
  <c r="N37" i="40"/>
  <c r="O37" i="40" s="1"/>
  <c r="N36" i="40"/>
  <c r="O36" i="40"/>
  <c r="N35" i="40"/>
  <c r="O35" i="40" s="1"/>
  <c r="N34" i="40"/>
  <c r="O34" i="40"/>
  <c r="N33" i="40"/>
  <c r="O33" i="40"/>
  <c r="N32" i="40"/>
  <c r="O32" i="40" s="1"/>
  <c r="N31" i="40"/>
  <c r="O31" i="40" s="1"/>
  <c r="N30" i="40"/>
  <c r="O30" i="40" s="1"/>
  <c r="N29" i="40"/>
  <c r="O29" i="40" s="1"/>
  <c r="N28" i="40"/>
  <c r="O28" i="40"/>
  <c r="M27" i="40"/>
  <c r="L27" i="40"/>
  <c r="L155" i="40" s="1"/>
  <c r="K27" i="40"/>
  <c r="K155" i="40" s="1"/>
  <c r="J27" i="40"/>
  <c r="J155" i="40" s="1"/>
  <c r="I27" i="40"/>
  <c r="H27" i="40"/>
  <c r="G27" i="40"/>
  <c r="F27" i="40"/>
  <c r="E27" i="40"/>
  <c r="N27" i="40" s="1"/>
  <c r="O27" i="40" s="1"/>
  <c r="D27" i="40"/>
  <c r="N26" i="40"/>
  <c r="O26" i="40" s="1"/>
  <c r="N25" i="40"/>
  <c r="O25" i="40"/>
  <c r="N24" i="40"/>
  <c r="O24" i="40" s="1"/>
  <c r="N23" i="40"/>
  <c r="O23" i="40" s="1"/>
  <c r="N22" i="40"/>
  <c r="O22" i="40"/>
  <c r="N21" i="40"/>
  <c r="O21" i="40" s="1"/>
  <c r="N20" i="40"/>
  <c r="O20" i="40"/>
  <c r="N19" i="40"/>
  <c r="O19" i="40" s="1"/>
  <c r="N18" i="40"/>
  <c r="O18" i="40" s="1"/>
  <c r="N17" i="40"/>
  <c r="O17" i="40" s="1"/>
  <c r="N16" i="40"/>
  <c r="O16" i="40"/>
  <c r="N15" i="40"/>
  <c r="O15" i="40" s="1"/>
  <c r="N14" i="40"/>
  <c r="O14" i="40" s="1"/>
  <c r="M13" i="40"/>
  <c r="M155" i="40" s="1"/>
  <c r="L13" i="40"/>
  <c r="K13" i="40"/>
  <c r="J13" i="40"/>
  <c r="I13" i="40"/>
  <c r="H13" i="40"/>
  <c r="G13" i="40"/>
  <c r="F13" i="40"/>
  <c r="E13" i="40"/>
  <c r="D13" i="40"/>
  <c r="N12" i="40"/>
  <c r="O12" i="40"/>
  <c r="N11" i="40"/>
  <c r="O11" i="40" s="1"/>
  <c r="N10" i="40"/>
  <c r="O10" i="40" s="1"/>
  <c r="N9" i="40"/>
  <c r="O9" i="40" s="1"/>
  <c r="N8" i="40"/>
  <c r="O8" i="40"/>
  <c r="N7" i="40"/>
  <c r="O7" i="40" s="1"/>
  <c r="N6" i="40"/>
  <c r="O6" i="40"/>
  <c r="M5" i="40"/>
  <c r="L5" i="40"/>
  <c r="K5" i="40"/>
  <c r="J5" i="40"/>
  <c r="I5" i="40"/>
  <c r="H5" i="40"/>
  <c r="G5" i="40"/>
  <c r="F5" i="40"/>
  <c r="N5" i="40" s="1"/>
  <c r="O5" i="40" s="1"/>
  <c r="E5" i="40"/>
  <c r="D5" i="40"/>
  <c r="N149" i="39"/>
  <c r="O149" i="39" s="1"/>
  <c r="N148" i="39"/>
  <c r="O148" i="39" s="1"/>
  <c r="N147" i="39"/>
  <c r="O147" i="39" s="1"/>
  <c r="N146" i="39"/>
  <c r="O146" i="39" s="1"/>
  <c r="N145" i="39"/>
  <c r="O145" i="39"/>
  <c r="N144" i="39"/>
  <c r="O144" i="39" s="1"/>
  <c r="M143" i="39"/>
  <c r="L143" i="39"/>
  <c r="K143" i="39"/>
  <c r="J143" i="39"/>
  <c r="I143" i="39"/>
  <c r="H143" i="39"/>
  <c r="G143" i="39"/>
  <c r="F143" i="39"/>
  <c r="E143" i="39"/>
  <c r="D143" i="39"/>
  <c r="N142" i="39"/>
  <c r="O142" i="39"/>
  <c r="N141" i="39"/>
  <c r="O141" i="39" s="1"/>
  <c r="N140" i="39"/>
  <c r="O140" i="39" s="1"/>
  <c r="N139" i="39"/>
  <c r="O139" i="39" s="1"/>
  <c r="N138" i="39"/>
  <c r="O138" i="39"/>
  <c r="N137" i="39"/>
  <c r="O137" i="39" s="1"/>
  <c r="N136" i="39"/>
  <c r="O136" i="39"/>
  <c r="N135" i="39"/>
  <c r="O135" i="39"/>
  <c r="M134" i="39"/>
  <c r="L134" i="39"/>
  <c r="K134" i="39"/>
  <c r="J134" i="39"/>
  <c r="I134" i="39"/>
  <c r="H134" i="39"/>
  <c r="G134" i="39"/>
  <c r="F134" i="39"/>
  <c r="E134" i="39"/>
  <c r="D134" i="39"/>
  <c r="N133" i="39"/>
  <c r="O133" i="39" s="1"/>
  <c r="N132" i="39"/>
  <c r="O132" i="39" s="1"/>
  <c r="N131" i="39"/>
  <c r="O131" i="39" s="1"/>
  <c r="N130" i="39"/>
  <c r="O130" i="39" s="1"/>
  <c r="N129" i="39"/>
  <c r="O129" i="39" s="1"/>
  <c r="N128" i="39"/>
  <c r="O128" i="39"/>
  <c r="N127" i="39"/>
  <c r="O127" i="39"/>
  <c r="N126" i="39"/>
  <c r="O126" i="39" s="1"/>
  <c r="N125" i="39"/>
  <c r="O125" i="39" s="1"/>
  <c r="N124" i="39"/>
  <c r="O124" i="39" s="1"/>
  <c r="M123" i="39"/>
  <c r="L123" i="39"/>
  <c r="K123" i="39"/>
  <c r="J123" i="39"/>
  <c r="I123" i="39"/>
  <c r="I150" i="39" s="1"/>
  <c r="H123" i="39"/>
  <c r="G123" i="39"/>
  <c r="F123" i="39"/>
  <c r="E123" i="39"/>
  <c r="D123" i="39"/>
  <c r="N122" i="39"/>
  <c r="O122" i="39" s="1"/>
  <c r="N121" i="39"/>
  <c r="O121" i="39" s="1"/>
  <c r="N120" i="39"/>
  <c r="O120" i="39" s="1"/>
  <c r="N119" i="39"/>
  <c r="O119" i="39" s="1"/>
  <c r="N118" i="39"/>
  <c r="O118" i="39" s="1"/>
  <c r="N117" i="39"/>
  <c r="O117" i="39" s="1"/>
  <c r="N116" i="39"/>
  <c r="O116" i="39" s="1"/>
  <c r="N115" i="39"/>
  <c r="O115" i="39"/>
  <c r="N114" i="39"/>
  <c r="O114" i="39"/>
  <c r="N113" i="39"/>
  <c r="O113" i="39" s="1"/>
  <c r="N112" i="39"/>
  <c r="O112" i="39" s="1"/>
  <c r="N111" i="39"/>
  <c r="O111" i="39" s="1"/>
  <c r="N110" i="39"/>
  <c r="O110" i="39" s="1"/>
  <c r="N109" i="39"/>
  <c r="O109" i="39" s="1"/>
  <c r="N108" i="39"/>
  <c r="O108" i="39"/>
  <c r="N107" i="39"/>
  <c r="O107" i="39" s="1"/>
  <c r="N106" i="39"/>
  <c r="O106" i="39" s="1"/>
  <c r="N105" i="39"/>
  <c r="O105" i="39" s="1"/>
  <c r="N104" i="39"/>
  <c r="O104" i="39" s="1"/>
  <c r="N103" i="39"/>
  <c r="O103" i="39"/>
  <c r="N102" i="39"/>
  <c r="O102" i="39" s="1"/>
  <c r="N101" i="39"/>
  <c r="O101" i="39" s="1"/>
  <c r="N100" i="39"/>
  <c r="O100" i="39" s="1"/>
  <c r="N99" i="39"/>
  <c r="O99" i="39" s="1"/>
  <c r="N98" i="39"/>
  <c r="O98" i="39" s="1"/>
  <c r="N97" i="39"/>
  <c r="O97" i="39"/>
  <c r="N96" i="39"/>
  <c r="O96" i="39"/>
  <c r="N95" i="39"/>
  <c r="O95" i="39" s="1"/>
  <c r="N94" i="39"/>
  <c r="O94" i="39" s="1"/>
  <c r="N93" i="39"/>
  <c r="O93" i="39" s="1"/>
  <c r="N92" i="39"/>
  <c r="O92" i="39" s="1"/>
  <c r="N91" i="39"/>
  <c r="O91" i="39" s="1"/>
  <c r="N90" i="39"/>
  <c r="O90" i="39" s="1"/>
  <c r="N89" i="39"/>
  <c r="O89" i="39" s="1"/>
  <c r="N88" i="39"/>
  <c r="O88" i="39" s="1"/>
  <c r="N87" i="39"/>
  <c r="O87" i="39" s="1"/>
  <c r="N86" i="39"/>
  <c r="O86" i="39" s="1"/>
  <c r="N85" i="39"/>
  <c r="O85" i="39"/>
  <c r="N84" i="39"/>
  <c r="O84" i="39"/>
  <c r="N83" i="39"/>
  <c r="O83" i="39" s="1"/>
  <c r="N82" i="39"/>
  <c r="O82" i="39" s="1"/>
  <c r="N81" i="39"/>
  <c r="O81" i="39" s="1"/>
  <c r="N80" i="39"/>
  <c r="O80" i="39" s="1"/>
  <c r="N79" i="39"/>
  <c r="O79" i="39" s="1"/>
  <c r="N78" i="39"/>
  <c r="O78" i="39"/>
  <c r="N77" i="39"/>
  <c r="O77" i="39" s="1"/>
  <c r="N76" i="39"/>
  <c r="O76" i="39" s="1"/>
  <c r="N75" i="39"/>
  <c r="O75" i="39" s="1"/>
  <c r="N74" i="39"/>
  <c r="O74" i="39" s="1"/>
  <c r="N73" i="39"/>
  <c r="O73" i="39"/>
  <c r="N72" i="39"/>
  <c r="O72" i="39" s="1"/>
  <c r="N71" i="39"/>
  <c r="O71" i="39" s="1"/>
  <c r="N70" i="39"/>
  <c r="O70" i="39" s="1"/>
  <c r="N69" i="39"/>
  <c r="O69" i="39" s="1"/>
  <c r="N68" i="39"/>
  <c r="O68" i="39" s="1"/>
  <c r="N67" i="39"/>
  <c r="O67" i="39"/>
  <c r="M66" i="39"/>
  <c r="L66" i="39"/>
  <c r="K66" i="39"/>
  <c r="J66" i="39"/>
  <c r="I66" i="39"/>
  <c r="H66" i="39"/>
  <c r="G66" i="39"/>
  <c r="F66" i="39"/>
  <c r="E66" i="39"/>
  <c r="N66" i="39" s="1"/>
  <c r="O66" i="39" s="1"/>
  <c r="D66" i="39"/>
  <c r="N65" i="39"/>
  <c r="O65" i="39"/>
  <c r="N64" i="39"/>
  <c r="O64" i="39" s="1"/>
  <c r="N63" i="39"/>
  <c r="O63" i="39" s="1"/>
  <c r="N62" i="39"/>
  <c r="O62" i="39" s="1"/>
  <c r="N61" i="39"/>
  <c r="O61" i="39" s="1"/>
  <c r="N60" i="39"/>
  <c r="O60" i="39"/>
  <c r="N59" i="39"/>
  <c r="O59" i="39"/>
  <c r="N58" i="39"/>
  <c r="O58" i="39" s="1"/>
  <c r="N57" i="39"/>
  <c r="O57" i="39" s="1"/>
  <c r="N56" i="39"/>
  <c r="O56" i="39" s="1"/>
  <c r="N55" i="39"/>
  <c r="O55" i="39" s="1"/>
  <c r="N54" i="39"/>
  <c r="O54" i="39"/>
  <c r="N53" i="39"/>
  <c r="O53" i="39" s="1"/>
  <c r="N52" i="39"/>
  <c r="O52" i="39" s="1"/>
  <c r="N51" i="39"/>
  <c r="O51" i="39" s="1"/>
  <c r="N50" i="39"/>
  <c r="O50" i="39" s="1"/>
  <c r="N49" i="39"/>
  <c r="O49" i="39" s="1"/>
  <c r="N48" i="39"/>
  <c r="O48" i="39" s="1"/>
  <c r="N47" i="39"/>
  <c r="O47" i="39"/>
  <c r="N46" i="39"/>
  <c r="O46" i="39" s="1"/>
  <c r="N45" i="39"/>
  <c r="O45" i="39" s="1"/>
  <c r="N44" i="39"/>
  <c r="O44" i="39" s="1"/>
  <c r="N43" i="39"/>
  <c r="O43" i="39" s="1"/>
  <c r="N42" i="39"/>
  <c r="O42" i="39"/>
  <c r="N41" i="39"/>
  <c r="O41" i="39" s="1"/>
  <c r="N40" i="39"/>
  <c r="O40" i="39" s="1"/>
  <c r="N39" i="39"/>
  <c r="O39" i="39" s="1"/>
  <c r="N38" i="39"/>
  <c r="O38" i="39" s="1"/>
  <c r="N37" i="39"/>
  <c r="O37" i="39" s="1"/>
  <c r="N36" i="39"/>
  <c r="O36" i="39" s="1"/>
  <c r="N35" i="39"/>
  <c r="O35" i="39"/>
  <c r="N34" i="39"/>
  <c r="O34" i="39" s="1"/>
  <c r="N33" i="39"/>
  <c r="O33" i="39" s="1"/>
  <c r="N32" i="39"/>
  <c r="O32" i="39" s="1"/>
  <c r="N31" i="39"/>
  <c r="O31" i="39" s="1"/>
  <c r="N30" i="39"/>
  <c r="O30" i="39"/>
  <c r="N29" i="39"/>
  <c r="O29" i="39"/>
  <c r="N28" i="39"/>
  <c r="O28" i="39" s="1"/>
  <c r="N27" i="39"/>
  <c r="O27" i="39" s="1"/>
  <c r="M26" i="39"/>
  <c r="L26" i="39"/>
  <c r="K26" i="39"/>
  <c r="J26" i="39"/>
  <c r="I26" i="39"/>
  <c r="H26" i="39"/>
  <c r="G26" i="39"/>
  <c r="F26" i="39"/>
  <c r="E26" i="39"/>
  <c r="D26" i="39"/>
  <c r="N25" i="39"/>
  <c r="O25" i="39" s="1"/>
  <c r="N24" i="39"/>
  <c r="O24" i="39"/>
  <c r="N23" i="39"/>
  <c r="O23" i="39" s="1"/>
  <c r="N22" i="39"/>
  <c r="O22" i="39"/>
  <c r="N21" i="39"/>
  <c r="O21" i="39"/>
  <c r="N20" i="39"/>
  <c r="O20" i="39" s="1"/>
  <c r="N19" i="39"/>
  <c r="O19" i="39"/>
  <c r="N18" i="39"/>
  <c r="O18" i="39"/>
  <c r="N17" i="39"/>
  <c r="O17" i="39" s="1"/>
  <c r="N16" i="39"/>
  <c r="O16" i="39" s="1"/>
  <c r="N15" i="39"/>
  <c r="O15" i="39" s="1"/>
  <c r="N14" i="39"/>
  <c r="O14" i="39" s="1"/>
  <c r="M13" i="39"/>
  <c r="L13" i="39"/>
  <c r="K13" i="39"/>
  <c r="J13" i="39"/>
  <c r="I13" i="39"/>
  <c r="H13" i="39"/>
  <c r="G13" i="39"/>
  <c r="F13" i="39"/>
  <c r="E13" i="39"/>
  <c r="D13" i="39"/>
  <c r="N12" i="39"/>
  <c r="O12" i="39" s="1"/>
  <c r="N11" i="39"/>
  <c r="O11" i="39"/>
  <c r="N10" i="39"/>
  <c r="O10" i="39" s="1"/>
  <c r="N9" i="39"/>
  <c r="O9" i="39" s="1"/>
  <c r="N8" i="39"/>
  <c r="O8" i="39" s="1"/>
  <c r="N7" i="39"/>
  <c r="O7" i="39" s="1"/>
  <c r="N6" i="39"/>
  <c r="O6" i="39"/>
  <c r="M5" i="39"/>
  <c r="L5" i="39"/>
  <c r="K5" i="39"/>
  <c r="N5" i="39" s="1"/>
  <c r="O5" i="39" s="1"/>
  <c r="K150" i="39"/>
  <c r="J5" i="39"/>
  <c r="I5" i="39"/>
  <c r="H5" i="39"/>
  <c r="G5" i="39"/>
  <c r="F5" i="39"/>
  <c r="E5" i="39"/>
  <c r="D5" i="39"/>
  <c r="N139" i="38"/>
  <c r="O139" i="38" s="1"/>
  <c r="N138" i="38"/>
  <c r="O138" i="38" s="1"/>
  <c r="N137" i="38"/>
  <c r="O137" i="38" s="1"/>
  <c r="N136" i="38"/>
  <c r="O136" i="38" s="1"/>
  <c r="N135" i="38"/>
  <c r="O135" i="38"/>
  <c r="N134" i="38"/>
  <c r="O134" i="38" s="1"/>
  <c r="M133" i="38"/>
  <c r="L133" i="38"/>
  <c r="K133" i="38"/>
  <c r="J133" i="38"/>
  <c r="I133" i="38"/>
  <c r="N133" i="38" s="1"/>
  <c r="O133" i="38" s="1"/>
  <c r="H133" i="38"/>
  <c r="G133" i="38"/>
  <c r="F133" i="38"/>
  <c r="E133" i="38"/>
  <c r="D133" i="38"/>
  <c r="N132" i="38"/>
  <c r="O132" i="38"/>
  <c r="N131" i="38"/>
  <c r="O131" i="38" s="1"/>
  <c r="N130" i="38"/>
  <c r="O130" i="38" s="1"/>
  <c r="N129" i="38"/>
  <c r="O129" i="38"/>
  <c r="N128" i="38"/>
  <c r="O128" i="38" s="1"/>
  <c r="N127" i="38"/>
  <c r="O127" i="38" s="1"/>
  <c r="N126" i="38"/>
  <c r="O126" i="38"/>
  <c r="N125" i="38"/>
  <c r="O125" i="38" s="1"/>
  <c r="M124" i="38"/>
  <c r="L124" i="38"/>
  <c r="K124" i="38"/>
  <c r="J124" i="38"/>
  <c r="J140" i="38" s="1"/>
  <c r="I124" i="38"/>
  <c r="H124" i="38"/>
  <c r="G124" i="38"/>
  <c r="F124" i="38"/>
  <c r="E124" i="38"/>
  <c r="D124" i="38"/>
  <c r="N123" i="38"/>
  <c r="O123" i="38" s="1"/>
  <c r="N122" i="38"/>
  <c r="O122" i="38" s="1"/>
  <c r="N121" i="38"/>
  <c r="O121" i="38"/>
  <c r="N120" i="38"/>
  <c r="O120" i="38" s="1"/>
  <c r="N119" i="38"/>
  <c r="O119" i="38" s="1"/>
  <c r="N118" i="38"/>
  <c r="O118" i="38"/>
  <c r="N117" i="38"/>
  <c r="O117" i="38" s="1"/>
  <c r="N116" i="38"/>
  <c r="O116" i="38"/>
  <c r="N115" i="38"/>
  <c r="O115" i="38"/>
  <c r="N114" i="38"/>
  <c r="O114" i="38" s="1"/>
  <c r="N113" i="38"/>
  <c r="O113" i="38" s="1"/>
  <c r="N112" i="38"/>
  <c r="O112" i="38"/>
  <c r="M111" i="38"/>
  <c r="L111" i="38"/>
  <c r="K111" i="38"/>
  <c r="J111" i="38"/>
  <c r="I111" i="38"/>
  <c r="H111" i="38"/>
  <c r="H140" i="38" s="1"/>
  <c r="G111" i="38"/>
  <c r="F111" i="38"/>
  <c r="E111" i="38"/>
  <c r="D111" i="38"/>
  <c r="N110" i="38"/>
  <c r="O110" i="38"/>
  <c r="N109" i="38"/>
  <c r="O109" i="38" s="1"/>
  <c r="N108" i="38"/>
  <c r="O108" i="38"/>
  <c r="N107" i="38"/>
  <c r="O107" i="38" s="1"/>
  <c r="N106" i="38"/>
  <c r="O106" i="38" s="1"/>
  <c r="N105" i="38"/>
  <c r="O105" i="38"/>
  <c r="N104" i="38"/>
  <c r="O104" i="38" s="1"/>
  <c r="N103" i="38"/>
  <c r="O103" i="38" s="1"/>
  <c r="N102" i="38"/>
  <c r="O102" i="38"/>
  <c r="N101" i="38"/>
  <c r="O101" i="38"/>
  <c r="N100" i="38"/>
  <c r="O100" i="38" s="1"/>
  <c r="N99" i="38"/>
  <c r="O99" i="38"/>
  <c r="N98" i="38"/>
  <c r="O98" i="38" s="1"/>
  <c r="N97" i="38"/>
  <c r="O97" i="38" s="1"/>
  <c r="N96" i="38"/>
  <c r="O96" i="38" s="1"/>
  <c r="N95" i="38"/>
  <c r="O95" i="38"/>
  <c r="N94" i="38"/>
  <c r="O94" i="38" s="1"/>
  <c r="N93" i="38"/>
  <c r="O93" i="38"/>
  <c r="N92" i="38"/>
  <c r="O92" i="38"/>
  <c r="N91" i="38"/>
  <c r="O91" i="38" s="1"/>
  <c r="N90" i="38"/>
  <c r="O90" i="38" s="1"/>
  <c r="N89" i="38"/>
  <c r="O89" i="38"/>
  <c r="N88" i="38"/>
  <c r="O88" i="38" s="1"/>
  <c r="N87" i="38"/>
  <c r="O87" i="38" s="1"/>
  <c r="N86" i="38"/>
  <c r="O86" i="38"/>
  <c r="N85" i="38"/>
  <c r="O85" i="38" s="1"/>
  <c r="N84" i="38"/>
  <c r="O84" i="38" s="1"/>
  <c r="N83" i="38"/>
  <c r="O83" i="38"/>
  <c r="N82" i="38"/>
  <c r="O82" i="38" s="1"/>
  <c r="N81" i="38"/>
  <c r="O81" i="38" s="1"/>
  <c r="N80" i="38"/>
  <c r="O80" i="38"/>
  <c r="N79" i="38"/>
  <c r="O79" i="38" s="1"/>
  <c r="N78" i="38"/>
  <c r="O78" i="38"/>
  <c r="N77" i="38"/>
  <c r="O77" i="38"/>
  <c r="N76" i="38"/>
  <c r="O76" i="38" s="1"/>
  <c r="N75" i="38"/>
  <c r="O75" i="38" s="1"/>
  <c r="N74" i="38"/>
  <c r="O74" i="38"/>
  <c r="N73" i="38"/>
  <c r="O73" i="38" s="1"/>
  <c r="N72" i="38"/>
  <c r="O72" i="38"/>
  <c r="N71" i="38"/>
  <c r="O71" i="38"/>
  <c r="M70" i="38"/>
  <c r="L70" i="38"/>
  <c r="K70" i="38"/>
  <c r="J70" i="38"/>
  <c r="I70" i="38"/>
  <c r="H70" i="38"/>
  <c r="G70" i="38"/>
  <c r="F70" i="38"/>
  <c r="F140" i="38" s="1"/>
  <c r="E70" i="38"/>
  <c r="D70" i="38"/>
  <c r="N69" i="38"/>
  <c r="O69" i="38" s="1"/>
  <c r="N68" i="38"/>
  <c r="O68" i="38" s="1"/>
  <c r="N67" i="38"/>
  <c r="O67" i="38"/>
  <c r="N66" i="38"/>
  <c r="O66" i="38" s="1"/>
  <c r="N65" i="38"/>
  <c r="O65" i="38" s="1"/>
  <c r="N64" i="38"/>
  <c r="O64" i="38"/>
  <c r="N63" i="38"/>
  <c r="O63" i="38" s="1"/>
  <c r="N62" i="38"/>
  <c r="O62" i="38" s="1"/>
  <c r="N61" i="38"/>
  <c r="O61" i="38"/>
  <c r="N60" i="38"/>
  <c r="O60" i="38" s="1"/>
  <c r="N59" i="38"/>
  <c r="O59" i="38" s="1"/>
  <c r="N58" i="38"/>
  <c r="O58" i="38" s="1"/>
  <c r="N57" i="38"/>
  <c r="O57" i="38" s="1"/>
  <c r="N56" i="38"/>
  <c r="O56" i="38"/>
  <c r="N55" i="38"/>
  <c r="O55" i="38" s="1"/>
  <c r="N54" i="38"/>
  <c r="O54" i="38" s="1"/>
  <c r="N53" i="38"/>
  <c r="O53" i="38" s="1"/>
  <c r="N52" i="38"/>
  <c r="O52" i="38"/>
  <c r="N51" i="38"/>
  <c r="O51" i="38" s="1"/>
  <c r="N50" i="38"/>
  <c r="O50" i="38" s="1"/>
  <c r="N49" i="38"/>
  <c r="O49" i="38"/>
  <c r="N48" i="38"/>
  <c r="O48" i="38" s="1"/>
  <c r="N47" i="38"/>
  <c r="O47" i="38" s="1"/>
  <c r="N46" i="38"/>
  <c r="O46" i="38"/>
  <c r="N45" i="38"/>
  <c r="O45" i="38" s="1"/>
  <c r="N44" i="38"/>
  <c r="O44" i="38"/>
  <c r="N43" i="38"/>
  <c r="O43" i="38" s="1"/>
  <c r="N42" i="38"/>
  <c r="O42" i="38" s="1"/>
  <c r="N41" i="38"/>
  <c r="O41" i="38" s="1"/>
  <c r="N40" i="38"/>
  <c r="O40" i="38"/>
  <c r="N39" i="38"/>
  <c r="O39" i="38" s="1"/>
  <c r="N38" i="38"/>
  <c r="O38" i="38" s="1"/>
  <c r="N37" i="38"/>
  <c r="O37" i="38" s="1"/>
  <c r="N36" i="38"/>
  <c r="O36" i="38" s="1"/>
  <c r="N35" i="38"/>
  <c r="O35" i="38" s="1"/>
  <c r="N34" i="38"/>
  <c r="O34" i="38"/>
  <c r="N33" i="38"/>
  <c r="O33" i="38" s="1"/>
  <c r="N32" i="38"/>
  <c r="O32" i="38" s="1"/>
  <c r="N31" i="38"/>
  <c r="O31" i="38"/>
  <c r="N30" i="38"/>
  <c r="O30" i="38" s="1"/>
  <c r="N29" i="38"/>
  <c r="O29" i="38" s="1"/>
  <c r="N28" i="38"/>
  <c r="O28" i="38"/>
  <c r="N27" i="38"/>
  <c r="O27" i="38" s="1"/>
  <c r="N26" i="38"/>
  <c r="O26" i="38" s="1"/>
  <c r="M25" i="38"/>
  <c r="L25" i="38"/>
  <c r="K25" i="38"/>
  <c r="J25" i="38"/>
  <c r="I25" i="38"/>
  <c r="H25" i="38"/>
  <c r="G25" i="38"/>
  <c r="F25" i="38"/>
  <c r="E25" i="38"/>
  <c r="D25" i="38"/>
  <c r="N24" i="38"/>
  <c r="O24" i="38"/>
  <c r="N23" i="38"/>
  <c r="O23" i="38" s="1"/>
  <c r="N22" i="38"/>
  <c r="O22" i="38" s="1"/>
  <c r="N21" i="38"/>
  <c r="O21" i="38"/>
  <c r="N20" i="38"/>
  <c r="O20" i="38" s="1"/>
  <c r="N19" i="38"/>
  <c r="O19" i="38"/>
  <c r="N18" i="38"/>
  <c r="O18" i="38"/>
  <c r="N17" i="38"/>
  <c r="O17" i="38" s="1"/>
  <c r="N16" i="38"/>
  <c r="O16" i="38" s="1"/>
  <c r="N15" i="38"/>
  <c r="O15" i="38"/>
  <c r="N14" i="38"/>
  <c r="O14" i="38" s="1"/>
  <c r="N13" i="38"/>
  <c r="O13" i="38" s="1"/>
  <c r="M12" i="38"/>
  <c r="L12" i="38"/>
  <c r="K12" i="38"/>
  <c r="J12" i="38"/>
  <c r="I12" i="38"/>
  <c r="H12" i="38"/>
  <c r="G12" i="38"/>
  <c r="F12" i="38"/>
  <c r="E12" i="38"/>
  <c r="D12" i="38"/>
  <c r="N11" i="38"/>
  <c r="O11" i="38" s="1"/>
  <c r="N10" i="38"/>
  <c r="O10" i="38"/>
  <c r="N9" i="38"/>
  <c r="O9" i="38" s="1"/>
  <c r="N8" i="38"/>
  <c r="O8" i="38" s="1"/>
  <c r="N7" i="38"/>
  <c r="O7" i="38"/>
  <c r="N6" i="38"/>
  <c r="O6" i="38" s="1"/>
  <c r="M5" i="38"/>
  <c r="L5" i="38"/>
  <c r="K5" i="38"/>
  <c r="K140" i="38" s="1"/>
  <c r="J5" i="38"/>
  <c r="I5" i="38"/>
  <c r="H5" i="38"/>
  <c r="G5" i="38"/>
  <c r="F5" i="38"/>
  <c r="E5" i="38"/>
  <c r="D5" i="38"/>
  <c r="N138" i="37"/>
  <c r="O138" i="37"/>
  <c r="N137" i="37"/>
  <c r="O137" i="37" s="1"/>
  <c r="N136" i="37"/>
  <c r="O136" i="37" s="1"/>
  <c r="N135" i="37"/>
  <c r="O135" i="37"/>
  <c r="N134" i="37"/>
  <c r="O134" i="37"/>
  <c r="N133" i="37"/>
  <c r="O133" i="37" s="1"/>
  <c r="N132" i="37"/>
  <c r="O132" i="37" s="1"/>
  <c r="M131" i="37"/>
  <c r="L131" i="37"/>
  <c r="K131" i="37"/>
  <c r="J131" i="37"/>
  <c r="I131" i="37"/>
  <c r="H131" i="37"/>
  <c r="G131" i="37"/>
  <c r="F131" i="37"/>
  <c r="E131" i="37"/>
  <c r="D131" i="37"/>
  <c r="N130" i="37"/>
  <c r="O130" i="37"/>
  <c r="N129" i="37"/>
  <c r="O129" i="37"/>
  <c r="N128" i="37"/>
  <c r="O128" i="37" s="1"/>
  <c r="N127" i="37"/>
  <c r="O127" i="37"/>
  <c r="N126" i="37"/>
  <c r="O126" i="37" s="1"/>
  <c r="N125" i="37"/>
  <c r="O125" i="37" s="1"/>
  <c r="N124" i="37"/>
  <c r="O124" i="37"/>
  <c r="N123" i="37"/>
  <c r="O123" i="37" s="1"/>
  <c r="M122" i="37"/>
  <c r="L122" i="37"/>
  <c r="K122" i="37"/>
  <c r="J122" i="37"/>
  <c r="I122" i="37"/>
  <c r="H122" i="37"/>
  <c r="G122" i="37"/>
  <c r="F122" i="37"/>
  <c r="E122" i="37"/>
  <c r="D122" i="37"/>
  <c r="N121" i="37"/>
  <c r="O121" i="37" s="1"/>
  <c r="N120" i="37"/>
  <c r="O120" i="37"/>
  <c r="N119" i="37"/>
  <c r="O119" i="37" s="1"/>
  <c r="N118" i="37"/>
  <c r="O118" i="37" s="1"/>
  <c r="N117" i="37"/>
  <c r="O117" i="37"/>
  <c r="N116" i="37"/>
  <c r="O116" i="37" s="1"/>
  <c r="N115" i="37"/>
  <c r="O115" i="37" s="1"/>
  <c r="N114" i="37"/>
  <c r="O114" i="37"/>
  <c r="N113" i="37"/>
  <c r="O113" i="37" s="1"/>
  <c r="M112" i="37"/>
  <c r="L112" i="37"/>
  <c r="K112" i="37"/>
  <c r="J112" i="37"/>
  <c r="I112" i="37"/>
  <c r="H112" i="37"/>
  <c r="G112" i="37"/>
  <c r="F112" i="37"/>
  <c r="E112" i="37"/>
  <c r="D112" i="37"/>
  <c r="N111" i="37"/>
  <c r="O111" i="37" s="1"/>
  <c r="N110" i="37"/>
  <c r="O110" i="37"/>
  <c r="N109" i="37"/>
  <c r="O109" i="37"/>
  <c r="N108" i="37"/>
  <c r="O108" i="37" s="1"/>
  <c r="N107" i="37"/>
  <c r="O107" i="37" s="1"/>
  <c r="N106" i="37"/>
  <c r="O106" i="37"/>
  <c r="N105" i="37"/>
  <c r="O105" i="37" s="1"/>
  <c r="N104" i="37"/>
  <c r="O104" i="37"/>
  <c r="N103" i="37"/>
  <c r="O103" i="37" s="1"/>
  <c r="N102" i="37"/>
  <c r="O102" i="37"/>
  <c r="N101" i="37"/>
  <c r="O101" i="37" s="1"/>
  <c r="N100" i="37"/>
  <c r="O100" i="37" s="1"/>
  <c r="N99" i="37"/>
  <c r="O99" i="37" s="1"/>
  <c r="N98" i="37"/>
  <c r="O98" i="37"/>
  <c r="N97" i="37"/>
  <c r="O97" i="37" s="1"/>
  <c r="N96" i="37"/>
  <c r="O96" i="37" s="1"/>
  <c r="N95" i="37"/>
  <c r="O95" i="37" s="1"/>
  <c r="N94" i="37"/>
  <c r="O94" i="37"/>
  <c r="N93" i="37"/>
  <c r="O93" i="37" s="1"/>
  <c r="N92" i="37"/>
  <c r="O92" i="37"/>
  <c r="N91" i="37"/>
  <c r="O91" i="37" s="1"/>
  <c r="N90" i="37"/>
  <c r="O90" i="37"/>
  <c r="N89" i="37"/>
  <c r="O89" i="37" s="1"/>
  <c r="N88" i="37"/>
  <c r="O88" i="37" s="1"/>
  <c r="N87" i="37"/>
  <c r="O87" i="37" s="1"/>
  <c r="N86" i="37"/>
  <c r="O86" i="37"/>
  <c r="N85" i="37"/>
  <c r="O85" i="37" s="1"/>
  <c r="N84" i="37"/>
  <c r="O84" i="37" s="1"/>
  <c r="N83" i="37"/>
  <c r="O83" i="37" s="1"/>
  <c r="N82" i="37"/>
  <c r="O82" i="37" s="1"/>
  <c r="N81" i="37"/>
  <c r="O81" i="37" s="1"/>
  <c r="N80" i="37"/>
  <c r="O80" i="37"/>
  <c r="N79" i="37"/>
  <c r="O79" i="37" s="1"/>
  <c r="N78" i="37"/>
  <c r="O78" i="37"/>
  <c r="N77" i="37"/>
  <c r="O77" i="37" s="1"/>
  <c r="N76" i="37"/>
  <c r="O76" i="37" s="1"/>
  <c r="N75" i="37"/>
  <c r="O75" i="37" s="1"/>
  <c r="N74" i="37"/>
  <c r="O74" i="37"/>
  <c r="M73" i="37"/>
  <c r="L73" i="37"/>
  <c r="K73" i="37"/>
  <c r="J73" i="37"/>
  <c r="I73" i="37"/>
  <c r="H73" i="37"/>
  <c r="G73" i="37"/>
  <c r="F73" i="37"/>
  <c r="E73" i="37"/>
  <c r="D73" i="37"/>
  <c r="N73" i="37" s="1"/>
  <c r="O73" i="37" s="1"/>
  <c r="N72" i="37"/>
  <c r="O72" i="37" s="1"/>
  <c r="N71" i="37"/>
  <c r="O71" i="37"/>
  <c r="N70" i="37"/>
  <c r="O70" i="37" s="1"/>
  <c r="N69" i="37"/>
  <c r="O69" i="37" s="1"/>
  <c r="N68" i="37"/>
  <c r="O68" i="37" s="1"/>
  <c r="N67" i="37"/>
  <c r="O67" i="37" s="1"/>
  <c r="N66" i="37"/>
  <c r="O66" i="37"/>
  <c r="N65" i="37"/>
  <c r="O65" i="37" s="1"/>
  <c r="N64" i="37"/>
  <c r="O64" i="37" s="1"/>
  <c r="N63" i="37"/>
  <c r="O63" i="37"/>
  <c r="N62" i="37"/>
  <c r="O62" i="37" s="1"/>
  <c r="N61" i="37"/>
  <c r="O61" i="37"/>
  <c r="N60" i="37"/>
  <c r="O60" i="37" s="1"/>
  <c r="N59" i="37"/>
  <c r="O59" i="37"/>
  <c r="N58" i="37"/>
  <c r="O58" i="37" s="1"/>
  <c r="N57" i="37"/>
  <c r="O57" i="37" s="1"/>
  <c r="N56" i="37"/>
  <c r="O56" i="37" s="1"/>
  <c r="N55" i="37"/>
  <c r="O55" i="37" s="1"/>
  <c r="N54" i="37"/>
  <c r="O54" i="37"/>
  <c r="N53" i="37"/>
  <c r="O53" i="37" s="1"/>
  <c r="N52" i="37"/>
  <c r="O52" i="37" s="1"/>
  <c r="N51" i="37"/>
  <c r="O51" i="37"/>
  <c r="N50" i="37"/>
  <c r="O50" i="37" s="1"/>
  <c r="N49" i="37"/>
  <c r="O49" i="37"/>
  <c r="N48" i="37"/>
  <c r="O48" i="37" s="1"/>
  <c r="N47" i="37"/>
  <c r="O47" i="37"/>
  <c r="N46" i="37"/>
  <c r="O46" i="37" s="1"/>
  <c r="N45" i="37"/>
  <c r="O45" i="37" s="1"/>
  <c r="N44" i="37"/>
  <c r="O44" i="37" s="1"/>
  <c r="N43" i="37"/>
  <c r="O43" i="37" s="1"/>
  <c r="N42" i="37"/>
  <c r="O42" i="37"/>
  <c r="N41" i="37"/>
  <c r="O41" i="37" s="1"/>
  <c r="N40" i="37"/>
  <c r="O40" i="37" s="1"/>
  <c r="N39" i="37"/>
  <c r="O39" i="37"/>
  <c r="N38" i="37"/>
  <c r="O38" i="37" s="1"/>
  <c r="N37" i="37"/>
  <c r="O37" i="37"/>
  <c r="N36" i="37"/>
  <c r="O36" i="37" s="1"/>
  <c r="N35" i="37"/>
  <c r="O35" i="37"/>
  <c r="N34" i="37"/>
  <c r="O34" i="37" s="1"/>
  <c r="N33" i="37"/>
  <c r="O33" i="37" s="1"/>
  <c r="N32" i="37"/>
  <c r="O32" i="37" s="1"/>
  <c r="N31" i="37"/>
  <c r="O31" i="37" s="1"/>
  <c r="N30" i="37"/>
  <c r="O30" i="37"/>
  <c r="N29" i="37"/>
  <c r="O29" i="37" s="1"/>
  <c r="N28" i="37"/>
  <c r="O28" i="37" s="1"/>
  <c r="M27" i="37"/>
  <c r="M139" i="37" s="1"/>
  <c r="L27" i="37"/>
  <c r="K27" i="37"/>
  <c r="K139" i="37" s="1"/>
  <c r="J27" i="37"/>
  <c r="I27" i="37"/>
  <c r="H27" i="37"/>
  <c r="G27" i="37"/>
  <c r="F27" i="37"/>
  <c r="E27" i="37"/>
  <c r="D27" i="37"/>
  <c r="N26" i="37"/>
  <c r="O26" i="37" s="1"/>
  <c r="N25" i="37"/>
  <c r="O25" i="37"/>
  <c r="N24" i="37"/>
  <c r="O24" i="37" s="1"/>
  <c r="N23" i="37"/>
  <c r="O23" i="37"/>
  <c r="N22" i="37"/>
  <c r="O22" i="37" s="1"/>
  <c r="N21" i="37"/>
  <c r="O21" i="37"/>
  <c r="N20" i="37"/>
  <c r="O20" i="37" s="1"/>
  <c r="N19" i="37"/>
  <c r="O19" i="37"/>
  <c r="N18" i="37"/>
  <c r="O18" i="37" s="1"/>
  <c r="N17" i="37"/>
  <c r="O17" i="37"/>
  <c r="N16" i="37"/>
  <c r="O16" i="37" s="1"/>
  <c r="N15" i="37"/>
  <c r="O15" i="37"/>
  <c r="N14" i="37"/>
  <c r="O14" i="37" s="1"/>
  <c r="M13" i="37"/>
  <c r="L13" i="37"/>
  <c r="K13" i="37"/>
  <c r="J13" i="37"/>
  <c r="I13" i="37"/>
  <c r="H13" i="37"/>
  <c r="G13" i="37"/>
  <c r="F13" i="37"/>
  <c r="E13" i="37"/>
  <c r="D13" i="37"/>
  <c r="N12" i="37"/>
  <c r="O12" i="37" s="1"/>
  <c r="N11" i="37"/>
  <c r="O11" i="37"/>
  <c r="N10" i="37"/>
  <c r="O10" i="37" s="1"/>
  <c r="N9" i="37"/>
  <c r="O9" i="37" s="1"/>
  <c r="N8" i="37"/>
  <c r="O8" i="37"/>
  <c r="N7" i="37"/>
  <c r="O7" i="37"/>
  <c r="N6" i="37"/>
  <c r="O6" i="37" s="1"/>
  <c r="M5" i="37"/>
  <c r="L5" i="37"/>
  <c r="K5" i="37"/>
  <c r="J5" i="37"/>
  <c r="I5" i="37"/>
  <c r="H5" i="37"/>
  <c r="G5" i="37"/>
  <c r="F5" i="37"/>
  <c r="E5" i="37"/>
  <c r="E139" i="37" s="1"/>
  <c r="D5" i="37"/>
  <c r="N146" i="36"/>
  <c r="O146" i="36" s="1"/>
  <c r="N145" i="36"/>
  <c r="O145" i="36" s="1"/>
  <c r="N144" i="36"/>
  <c r="O144" i="36" s="1"/>
  <c r="N143" i="36"/>
  <c r="O143" i="36" s="1"/>
  <c r="N142" i="36"/>
  <c r="O142" i="36"/>
  <c r="N141" i="36"/>
  <c r="O141" i="36"/>
  <c r="N140" i="36"/>
  <c r="O140" i="36" s="1"/>
  <c r="M139" i="36"/>
  <c r="L139" i="36"/>
  <c r="K139" i="36"/>
  <c r="J139" i="36"/>
  <c r="I139" i="36"/>
  <c r="H139" i="36"/>
  <c r="G139" i="36"/>
  <c r="F139" i="36"/>
  <c r="E139" i="36"/>
  <c r="D139" i="36"/>
  <c r="N138" i="36"/>
  <c r="O138" i="36" s="1"/>
  <c r="N137" i="36"/>
  <c r="O137" i="36" s="1"/>
  <c r="N136" i="36"/>
  <c r="O136" i="36" s="1"/>
  <c r="N135" i="36"/>
  <c r="O135" i="36" s="1"/>
  <c r="N134" i="36"/>
  <c r="O134" i="36" s="1"/>
  <c r="N133" i="36"/>
  <c r="O133" i="36" s="1"/>
  <c r="N132" i="36"/>
  <c r="O132" i="36" s="1"/>
  <c r="N131" i="36"/>
  <c r="O131" i="36" s="1"/>
  <c r="N130" i="36"/>
  <c r="O130" i="36" s="1"/>
  <c r="N129" i="36"/>
  <c r="O129" i="36" s="1"/>
  <c r="N128" i="36"/>
  <c r="O128" i="36" s="1"/>
  <c r="N127" i="36"/>
  <c r="O127" i="36"/>
  <c r="N126" i="36"/>
  <c r="O126" i="36" s="1"/>
  <c r="N125" i="36"/>
  <c r="O125" i="36" s="1"/>
  <c r="N124" i="36"/>
  <c r="O124" i="36" s="1"/>
  <c r="M123" i="36"/>
  <c r="L123" i="36"/>
  <c r="K123" i="36"/>
  <c r="J123" i="36"/>
  <c r="I123" i="36"/>
  <c r="H123" i="36"/>
  <c r="G123" i="36"/>
  <c r="F123" i="36"/>
  <c r="E123" i="36"/>
  <c r="D123" i="36"/>
  <c r="N122" i="36"/>
  <c r="O122" i="36" s="1"/>
  <c r="N121" i="36"/>
  <c r="O121" i="36" s="1"/>
  <c r="N120" i="36"/>
  <c r="O120" i="36" s="1"/>
  <c r="N119" i="36"/>
  <c r="O119" i="36" s="1"/>
  <c r="N118" i="36"/>
  <c r="O118" i="36" s="1"/>
  <c r="N117" i="36"/>
  <c r="O117" i="36" s="1"/>
  <c r="M116" i="36"/>
  <c r="L116" i="36"/>
  <c r="K116" i="36"/>
  <c r="J116" i="36"/>
  <c r="I116" i="36"/>
  <c r="H116" i="36"/>
  <c r="G116" i="36"/>
  <c r="F116" i="36"/>
  <c r="E116" i="36"/>
  <c r="D116" i="36"/>
  <c r="N115" i="36"/>
  <c r="O115" i="36" s="1"/>
  <c r="N114" i="36"/>
  <c r="O114" i="36"/>
  <c r="N113" i="36"/>
  <c r="O113" i="36" s="1"/>
  <c r="N112" i="36"/>
  <c r="O112" i="36" s="1"/>
  <c r="N111" i="36"/>
  <c r="O111" i="36" s="1"/>
  <c r="N110" i="36"/>
  <c r="O110" i="36" s="1"/>
  <c r="N109" i="36"/>
  <c r="O109" i="36" s="1"/>
  <c r="N108" i="36"/>
  <c r="O108" i="36" s="1"/>
  <c r="N107" i="36"/>
  <c r="O107" i="36" s="1"/>
  <c r="N106" i="36"/>
  <c r="O106" i="36" s="1"/>
  <c r="N105" i="36"/>
  <c r="O105" i="36" s="1"/>
  <c r="N104" i="36"/>
  <c r="O104" i="36" s="1"/>
  <c r="N103" i="36"/>
  <c r="O103" i="36" s="1"/>
  <c r="N102" i="36"/>
  <c r="O102" i="36" s="1"/>
  <c r="N101" i="36"/>
  <c r="O101" i="36" s="1"/>
  <c r="N100" i="36"/>
  <c r="O100" i="36" s="1"/>
  <c r="N99" i="36"/>
  <c r="O99" i="36" s="1"/>
  <c r="N98" i="36"/>
  <c r="O98" i="36" s="1"/>
  <c r="N97" i="36"/>
  <c r="O97" i="36" s="1"/>
  <c r="N96" i="36"/>
  <c r="O96" i="36" s="1"/>
  <c r="N95" i="36"/>
  <c r="O95" i="36" s="1"/>
  <c r="N94" i="36"/>
  <c r="O94" i="36" s="1"/>
  <c r="N93" i="36"/>
  <c r="O93" i="36" s="1"/>
  <c r="N92" i="36"/>
  <c r="O92" i="36" s="1"/>
  <c r="N91" i="36"/>
  <c r="O91" i="36" s="1"/>
  <c r="N90" i="36"/>
  <c r="O90" i="36"/>
  <c r="N89" i="36"/>
  <c r="O89" i="36" s="1"/>
  <c r="N88" i="36"/>
  <c r="O88" i="36" s="1"/>
  <c r="N87" i="36"/>
  <c r="O87" i="36" s="1"/>
  <c r="N86" i="36"/>
  <c r="O86" i="36" s="1"/>
  <c r="N85" i="36"/>
  <c r="O85" i="36" s="1"/>
  <c r="N84" i="36"/>
  <c r="O84" i="36" s="1"/>
  <c r="N83" i="36"/>
  <c r="O83" i="36" s="1"/>
  <c r="N82" i="36"/>
  <c r="O82" i="36" s="1"/>
  <c r="N81" i="36"/>
  <c r="O81" i="36" s="1"/>
  <c r="N80" i="36"/>
  <c r="O80" i="36" s="1"/>
  <c r="N79" i="36"/>
  <c r="O79" i="36" s="1"/>
  <c r="N78" i="36"/>
  <c r="O78" i="36" s="1"/>
  <c r="N77" i="36"/>
  <c r="O77" i="36"/>
  <c r="N76" i="36"/>
  <c r="O76" i="36" s="1"/>
  <c r="N75" i="36"/>
  <c r="O75" i="36" s="1"/>
  <c r="N74" i="36"/>
  <c r="O74" i="36" s="1"/>
  <c r="N73" i="36"/>
  <c r="O73" i="36" s="1"/>
  <c r="N72" i="36"/>
  <c r="O72" i="36"/>
  <c r="N71" i="36"/>
  <c r="O71" i="36" s="1"/>
  <c r="N70" i="36"/>
  <c r="O70" i="36" s="1"/>
  <c r="N69" i="36"/>
  <c r="O69" i="36" s="1"/>
  <c r="N68" i="36"/>
  <c r="O68" i="36" s="1"/>
  <c r="N67" i="36"/>
  <c r="O67" i="36" s="1"/>
  <c r="N66" i="36"/>
  <c r="O66" i="36"/>
  <c r="N65" i="36"/>
  <c r="O65" i="36" s="1"/>
  <c r="N64" i="36"/>
  <c r="O64" i="36" s="1"/>
  <c r="N63" i="36"/>
  <c r="O63" i="36" s="1"/>
  <c r="N62" i="36"/>
  <c r="O62" i="36"/>
  <c r="M61" i="36"/>
  <c r="L61" i="36"/>
  <c r="K61" i="36"/>
  <c r="J61" i="36"/>
  <c r="I61" i="36"/>
  <c r="H61" i="36"/>
  <c r="G61" i="36"/>
  <c r="F61" i="36"/>
  <c r="E61" i="36"/>
  <c r="D61" i="36"/>
  <c r="N60" i="36"/>
  <c r="O60" i="36" s="1"/>
  <c r="N59" i="36"/>
  <c r="O59" i="36"/>
  <c r="N58" i="36"/>
  <c r="O58" i="36"/>
  <c r="N57" i="36"/>
  <c r="O57" i="36" s="1"/>
  <c r="N56" i="36"/>
  <c r="O56" i="36" s="1"/>
  <c r="N55" i="36"/>
  <c r="O55" i="36"/>
  <c r="N54" i="36"/>
  <c r="O54" i="36" s="1"/>
  <c r="N53" i="36"/>
  <c r="O53" i="36" s="1"/>
  <c r="N52" i="36"/>
  <c r="O52" i="36"/>
  <c r="N51" i="36"/>
  <c r="O51" i="36" s="1"/>
  <c r="N50" i="36"/>
  <c r="O50" i="36" s="1"/>
  <c r="N49" i="36"/>
  <c r="O49" i="36" s="1"/>
  <c r="N48" i="36"/>
  <c r="O48" i="36" s="1"/>
  <c r="N47" i="36"/>
  <c r="O47" i="36" s="1"/>
  <c r="N46" i="36"/>
  <c r="O46" i="36"/>
  <c r="N45" i="36"/>
  <c r="O45" i="36" s="1"/>
  <c r="N44" i="36"/>
  <c r="O44" i="36" s="1"/>
  <c r="N43" i="36"/>
  <c r="O43" i="36"/>
  <c r="N42" i="36"/>
  <c r="O42" i="36" s="1"/>
  <c r="N41" i="36"/>
  <c r="O41" i="36"/>
  <c r="N40" i="36"/>
  <c r="O40" i="36" s="1"/>
  <c r="N39" i="36"/>
  <c r="O39" i="36" s="1"/>
  <c r="N38" i="36"/>
  <c r="O38" i="36" s="1"/>
  <c r="N37" i="36"/>
  <c r="O37" i="36"/>
  <c r="N36" i="36"/>
  <c r="O36" i="36" s="1"/>
  <c r="N35" i="36"/>
  <c r="O35" i="36"/>
  <c r="N34" i="36"/>
  <c r="O34" i="36"/>
  <c r="N33" i="36"/>
  <c r="O33" i="36" s="1"/>
  <c r="N32" i="36"/>
  <c r="O32" i="36" s="1"/>
  <c r="N31" i="36"/>
  <c r="O31" i="36" s="1"/>
  <c r="N30" i="36"/>
  <c r="O30" i="36" s="1"/>
  <c r="N29" i="36"/>
  <c r="O29" i="36" s="1"/>
  <c r="N28" i="36"/>
  <c r="O28" i="36" s="1"/>
  <c r="N27" i="36"/>
  <c r="O27" i="36" s="1"/>
  <c r="N26" i="36"/>
  <c r="O26" i="36" s="1"/>
  <c r="N25" i="36"/>
  <c r="O25" i="36" s="1"/>
  <c r="N24" i="36"/>
  <c r="O24" i="36" s="1"/>
  <c r="N23" i="36"/>
  <c r="O23" i="36"/>
  <c r="N22" i="36"/>
  <c r="O22" i="36" s="1"/>
  <c r="N21" i="36"/>
  <c r="O21" i="36" s="1"/>
  <c r="N20" i="36"/>
  <c r="O20" i="36" s="1"/>
  <c r="N19" i="36"/>
  <c r="O19" i="36" s="1"/>
  <c r="M18" i="36"/>
  <c r="L18" i="36"/>
  <c r="K18" i="36"/>
  <c r="J18" i="36"/>
  <c r="I18" i="36"/>
  <c r="H18" i="36"/>
  <c r="G18" i="36"/>
  <c r="F18" i="36"/>
  <c r="E18" i="36"/>
  <c r="D18" i="36"/>
  <c r="N17" i="36"/>
  <c r="O17" i="36" s="1"/>
  <c r="N16" i="36"/>
  <c r="O16" i="36"/>
  <c r="N15" i="36"/>
  <c r="O15" i="36" s="1"/>
  <c r="N14" i="36"/>
  <c r="O14" i="36" s="1"/>
  <c r="M13" i="36"/>
  <c r="L13" i="36"/>
  <c r="K13" i="36"/>
  <c r="J13" i="36"/>
  <c r="I13" i="36"/>
  <c r="H13" i="36"/>
  <c r="H147" i="36" s="1"/>
  <c r="G13" i="36"/>
  <c r="G147" i="36" s="1"/>
  <c r="F13" i="36"/>
  <c r="E13" i="36"/>
  <c r="D13" i="36"/>
  <c r="N12" i="36"/>
  <c r="O12" i="36"/>
  <c r="N11" i="36"/>
  <c r="O11" i="36" s="1"/>
  <c r="N10" i="36"/>
  <c r="O10" i="36" s="1"/>
  <c r="N9" i="36"/>
  <c r="O9" i="36"/>
  <c r="N8" i="36"/>
  <c r="O8" i="36" s="1"/>
  <c r="N7" i="36"/>
  <c r="O7" i="36" s="1"/>
  <c r="N6" i="36"/>
  <c r="O6" i="36"/>
  <c r="M5" i="36"/>
  <c r="L5" i="36"/>
  <c r="K5" i="36"/>
  <c r="J5" i="36"/>
  <c r="J147" i="36"/>
  <c r="I5" i="36"/>
  <c r="H5" i="36"/>
  <c r="G5" i="36"/>
  <c r="F5" i="36"/>
  <c r="E5" i="36"/>
  <c r="D5" i="36"/>
  <c r="N136" i="35"/>
  <c r="O136" i="35"/>
  <c r="N135" i="35"/>
  <c r="O135" i="35" s="1"/>
  <c r="N134" i="35"/>
  <c r="O134" i="35"/>
  <c r="N133" i="35"/>
  <c r="O133" i="35" s="1"/>
  <c r="N132" i="35"/>
  <c r="O132" i="35"/>
  <c r="N131" i="35"/>
  <c r="O131" i="35" s="1"/>
  <c r="M130" i="35"/>
  <c r="L130" i="35"/>
  <c r="K130" i="35"/>
  <c r="J130" i="35"/>
  <c r="I130" i="35"/>
  <c r="H130" i="35"/>
  <c r="G130" i="35"/>
  <c r="F130" i="35"/>
  <c r="E130" i="35"/>
  <c r="D130" i="35"/>
  <c r="N129" i="35"/>
  <c r="O129" i="35" s="1"/>
  <c r="N128" i="35"/>
  <c r="O128" i="35" s="1"/>
  <c r="N127" i="35"/>
  <c r="O127" i="35" s="1"/>
  <c r="N126" i="35"/>
  <c r="O126" i="35" s="1"/>
  <c r="N125" i="35"/>
  <c r="O125" i="35" s="1"/>
  <c r="N124" i="35"/>
  <c r="O124" i="35" s="1"/>
  <c r="N123" i="35"/>
  <c r="O123" i="35"/>
  <c r="N122" i="35"/>
  <c r="O122" i="35" s="1"/>
  <c r="M121" i="35"/>
  <c r="L121" i="35"/>
  <c r="K121" i="35"/>
  <c r="J121" i="35"/>
  <c r="J137" i="35" s="1"/>
  <c r="I121" i="35"/>
  <c r="H121" i="35"/>
  <c r="G121" i="35"/>
  <c r="F121" i="35"/>
  <c r="E121" i="35"/>
  <c r="D121" i="35"/>
  <c r="N120" i="35"/>
  <c r="O120" i="35"/>
  <c r="N119" i="35"/>
  <c r="O119" i="35" s="1"/>
  <c r="N118" i="35"/>
  <c r="O118" i="35"/>
  <c r="N117" i="35"/>
  <c r="O117" i="35" s="1"/>
  <c r="N116" i="35"/>
  <c r="O116" i="35"/>
  <c r="N115" i="35"/>
  <c r="O115" i="35" s="1"/>
  <c r="N114" i="35"/>
  <c r="O114" i="35"/>
  <c r="N113" i="35"/>
  <c r="O113" i="35" s="1"/>
  <c r="M112" i="35"/>
  <c r="L112" i="35"/>
  <c r="K112" i="35"/>
  <c r="J112" i="35"/>
  <c r="I112" i="35"/>
  <c r="H112" i="35"/>
  <c r="G112" i="35"/>
  <c r="F112" i="35"/>
  <c r="E112" i="35"/>
  <c r="D112" i="35"/>
  <c r="N112" i="35" s="1"/>
  <c r="O112" i="35" s="1"/>
  <c r="N111" i="35"/>
  <c r="O111" i="35" s="1"/>
  <c r="N110" i="35"/>
  <c r="O110" i="35" s="1"/>
  <c r="N109" i="35"/>
  <c r="O109" i="35" s="1"/>
  <c r="N108" i="35"/>
  <c r="O108" i="35" s="1"/>
  <c r="N107" i="35"/>
  <c r="O107" i="35" s="1"/>
  <c r="N106" i="35"/>
  <c r="O106" i="35" s="1"/>
  <c r="N105" i="35"/>
  <c r="O105" i="35" s="1"/>
  <c r="N104" i="35"/>
  <c r="O104" i="35" s="1"/>
  <c r="N103" i="35"/>
  <c r="O103" i="35"/>
  <c r="N102" i="35"/>
  <c r="O102" i="35" s="1"/>
  <c r="N101" i="35"/>
  <c r="O101" i="35"/>
  <c r="N100" i="35"/>
  <c r="O100" i="35" s="1"/>
  <c r="N99" i="35"/>
  <c r="O99" i="35"/>
  <c r="N98" i="35"/>
  <c r="O98" i="35" s="1"/>
  <c r="N97" i="35"/>
  <c r="O97" i="35"/>
  <c r="N96" i="35"/>
  <c r="O96" i="35" s="1"/>
  <c r="N95" i="35"/>
  <c r="O95" i="35" s="1"/>
  <c r="N94" i="35"/>
  <c r="O94" i="35" s="1"/>
  <c r="N93" i="35"/>
  <c r="O93" i="35" s="1"/>
  <c r="N92" i="35"/>
  <c r="O92" i="35" s="1"/>
  <c r="N91" i="35"/>
  <c r="O91" i="35" s="1"/>
  <c r="N90" i="35"/>
  <c r="O90" i="35" s="1"/>
  <c r="N89" i="35"/>
  <c r="O89" i="35"/>
  <c r="N88" i="35"/>
  <c r="O88" i="35" s="1"/>
  <c r="N87" i="35"/>
  <c r="O87" i="35" s="1"/>
  <c r="N86" i="35"/>
  <c r="O86" i="35" s="1"/>
  <c r="N85" i="35"/>
  <c r="O85" i="35"/>
  <c r="N84" i="35"/>
  <c r="O84" i="35" s="1"/>
  <c r="N83" i="35"/>
  <c r="O83" i="35"/>
  <c r="N82" i="35"/>
  <c r="O82" i="35" s="1"/>
  <c r="N81" i="35"/>
  <c r="O81" i="35" s="1"/>
  <c r="N80" i="35"/>
  <c r="O80" i="35" s="1"/>
  <c r="N79" i="35"/>
  <c r="O79" i="35"/>
  <c r="N78" i="35"/>
  <c r="O78" i="35" s="1"/>
  <c r="N77" i="35"/>
  <c r="O77" i="35" s="1"/>
  <c r="N76" i="35"/>
  <c r="O76" i="35" s="1"/>
  <c r="N75" i="35"/>
  <c r="O75" i="35" s="1"/>
  <c r="N74" i="35"/>
  <c r="O74" i="35" s="1"/>
  <c r="M73" i="35"/>
  <c r="L73" i="35"/>
  <c r="K73" i="35"/>
  <c r="J73" i="35"/>
  <c r="I73" i="35"/>
  <c r="H73" i="35"/>
  <c r="G73" i="35"/>
  <c r="F73" i="35"/>
  <c r="E73" i="35"/>
  <c r="D73" i="35"/>
  <c r="N72" i="35"/>
  <c r="O72" i="35"/>
  <c r="N71" i="35"/>
  <c r="O71" i="35" s="1"/>
  <c r="N70" i="35"/>
  <c r="O70" i="35"/>
  <c r="N69" i="35"/>
  <c r="O69" i="35" s="1"/>
  <c r="N68" i="35"/>
  <c r="O68" i="35" s="1"/>
  <c r="N67" i="35"/>
  <c r="O67" i="35" s="1"/>
  <c r="N66" i="35"/>
  <c r="O66" i="35"/>
  <c r="N65" i="35"/>
  <c r="O65" i="35" s="1"/>
  <c r="N64" i="35"/>
  <c r="O64" i="35" s="1"/>
  <c r="N63" i="35"/>
  <c r="O63" i="35" s="1"/>
  <c r="N62" i="35"/>
  <c r="O62" i="35" s="1"/>
  <c r="N61" i="35"/>
  <c r="O61" i="35" s="1"/>
  <c r="N60" i="35"/>
  <c r="O60" i="35"/>
  <c r="N59" i="35"/>
  <c r="O59" i="35" s="1"/>
  <c r="N58" i="35"/>
  <c r="O58" i="35" s="1"/>
  <c r="N57" i="35"/>
  <c r="O57" i="35" s="1"/>
  <c r="N56" i="35"/>
  <c r="O56" i="35" s="1"/>
  <c r="N55" i="35"/>
  <c r="O55" i="35" s="1"/>
  <c r="N54" i="35"/>
  <c r="O54" i="35" s="1"/>
  <c r="N53" i="35"/>
  <c r="O53" i="35" s="1"/>
  <c r="N52" i="35"/>
  <c r="O52" i="35"/>
  <c r="N51" i="35"/>
  <c r="O51" i="35" s="1"/>
  <c r="N50" i="35"/>
  <c r="O50" i="35" s="1"/>
  <c r="N49" i="35"/>
  <c r="O49" i="35" s="1"/>
  <c r="N48" i="35"/>
  <c r="O48" i="35" s="1"/>
  <c r="N47" i="35"/>
  <c r="O47" i="35" s="1"/>
  <c r="N46" i="35"/>
  <c r="O46" i="35" s="1"/>
  <c r="N45" i="35"/>
  <c r="O45" i="35" s="1"/>
  <c r="N44" i="35"/>
  <c r="O44" i="35" s="1"/>
  <c r="N43" i="35"/>
  <c r="O43" i="35" s="1"/>
  <c r="N42" i="35"/>
  <c r="O42" i="35"/>
  <c r="N41" i="35"/>
  <c r="O41" i="35" s="1"/>
  <c r="N40" i="35"/>
  <c r="O40" i="35"/>
  <c r="N39" i="35"/>
  <c r="O39" i="35" s="1"/>
  <c r="N38" i="35"/>
  <c r="O38" i="35" s="1"/>
  <c r="N37" i="35"/>
  <c r="O37" i="35" s="1"/>
  <c r="N36" i="35"/>
  <c r="O36" i="35"/>
  <c r="N35" i="35"/>
  <c r="O35" i="35" s="1"/>
  <c r="N34" i="35"/>
  <c r="O34" i="35" s="1"/>
  <c r="N33" i="35"/>
  <c r="O33" i="35" s="1"/>
  <c r="N32" i="35"/>
  <c r="O32" i="35" s="1"/>
  <c r="N31" i="35"/>
  <c r="O31" i="35" s="1"/>
  <c r="N30" i="35"/>
  <c r="O30" i="35"/>
  <c r="N29" i="35"/>
  <c r="O29" i="35" s="1"/>
  <c r="N28" i="35"/>
  <c r="O28" i="35" s="1"/>
  <c r="M27" i="35"/>
  <c r="L27" i="35"/>
  <c r="K27" i="35"/>
  <c r="J27" i="35"/>
  <c r="I27" i="35"/>
  <c r="H27" i="35"/>
  <c r="G27" i="35"/>
  <c r="F27" i="35"/>
  <c r="E27" i="35"/>
  <c r="D27" i="35"/>
  <c r="N26" i="35"/>
  <c r="O26" i="35" s="1"/>
  <c r="N25" i="35"/>
  <c r="O25" i="35" s="1"/>
  <c r="N24" i="35"/>
  <c r="O24" i="35" s="1"/>
  <c r="N23" i="35"/>
  <c r="O23" i="35"/>
  <c r="N22" i="35"/>
  <c r="O22" i="35" s="1"/>
  <c r="N21" i="35"/>
  <c r="O21" i="35"/>
  <c r="N20" i="35"/>
  <c r="O20" i="35" s="1"/>
  <c r="N19" i="35"/>
  <c r="O19" i="35" s="1"/>
  <c r="N18" i="35"/>
  <c r="O18" i="35" s="1"/>
  <c r="N17" i="35"/>
  <c r="O17" i="35"/>
  <c r="N16" i="35"/>
  <c r="O16" i="35" s="1"/>
  <c r="N15" i="35"/>
  <c r="O15" i="35" s="1"/>
  <c r="N14" i="35"/>
  <c r="O14" i="35" s="1"/>
  <c r="M13" i="35"/>
  <c r="L13" i="35"/>
  <c r="K13" i="35"/>
  <c r="J13" i="35"/>
  <c r="I13" i="35"/>
  <c r="H13" i="35"/>
  <c r="G13" i="35"/>
  <c r="F13" i="35"/>
  <c r="E13" i="35"/>
  <c r="D13" i="35"/>
  <c r="N12" i="35"/>
  <c r="O12" i="35"/>
  <c r="N11" i="35"/>
  <c r="O11" i="35" s="1"/>
  <c r="N10" i="35"/>
  <c r="O10" i="35"/>
  <c r="N9" i="35"/>
  <c r="O9" i="35" s="1"/>
  <c r="N8" i="35"/>
  <c r="O8" i="35" s="1"/>
  <c r="N7" i="35"/>
  <c r="O7" i="35"/>
  <c r="N6" i="35"/>
  <c r="O6" i="35"/>
  <c r="M5" i="35"/>
  <c r="L5" i="35"/>
  <c r="K5" i="35"/>
  <c r="J5" i="35"/>
  <c r="I5" i="35"/>
  <c r="H5" i="35"/>
  <c r="G5" i="35"/>
  <c r="F5" i="35"/>
  <c r="F137" i="35"/>
  <c r="E5" i="35"/>
  <c r="E137" i="35" s="1"/>
  <c r="D5" i="35"/>
  <c r="N136" i="34"/>
  <c r="O136" i="34"/>
  <c r="N135" i="34"/>
  <c r="O135" i="34" s="1"/>
  <c r="N134" i="34"/>
  <c r="O134" i="34" s="1"/>
  <c r="N133" i="34"/>
  <c r="O133" i="34"/>
  <c r="N132" i="34"/>
  <c r="O132" i="34" s="1"/>
  <c r="M131" i="34"/>
  <c r="L131" i="34"/>
  <c r="K131" i="34"/>
  <c r="J131" i="34"/>
  <c r="I131" i="34"/>
  <c r="H131" i="34"/>
  <c r="G131" i="34"/>
  <c r="F131" i="34"/>
  <c r="E131" i="34"/>
  <c r="D131" i="34"/>
  <c r="N130" i="34"/>
  <c r="O130" i="34" s="1"/>
  <c r="N129" i="34"/>
  <c r="O129" i="34" s="1"/>
  <c r="N128" i="34"/>
  <c r="O128" i="34" s="1"/>
  <c r="N127" i="34"/>
  <c r="O127" i="34" s="1"/>
  <c r="N126" i="34"/>
  <c r="O126" i="34"/>
  <c r="N125" i="34"/>
  <c r="O125" i="34" s="1"/>
  <c r="N124" i="34"/>
  <c r="O124" i="34" s="1"/>
  <c r="N123" i="34"/>
  <c r="O123" i="34" s="1"/>
  <c r="M122" i="34"/>
  <c r="L122" i="34"/>
  <c r="K122" i="34"/>
  <c r="J122" i="34"/>
  <c r="I122" i="34"/>
  <c r="H122" i="34"/>
  <c r="G122" i="34"/>
  <c r="F122" i="34"/>
  <c r="E122" i="34"/>
  <c r="D122" i="34"/>
  <c r="N122" i="34" s="1"/>
  <c r="O122" i="34" s="1"/>
  <c r="N121" i="34"/>
  <c r="O121" i="34" s="1"/>
  <c r="N120" i="34"/>
  <c r="O120" i="34" s="1"/>
  <c r="N119" i="34"/>
  <c r="O119" i="34" s="1"/>
  <c r="N118" i="34"/>
  <c r="O118" i="34" s="1"/>
  <c r="N117" i="34"/>
  <c r="O117" i="34" s="1"/>
  <c r="N116" i="34"/>
  <c r="O116" i="34" s="1"/>
  <c r="N115" i="34"/>
  <c r="O115" i="34" s="1"/>
  <c r="N114" i="34"/>
  <c r="O114" i="34" s="1"/>
  <c r="N113" i="34"/>
  <c r="O113" i="34"/>
  <c r="M112" i="34"/>
  <c r="L112" i="34"/>
  <c r="K112" i="34"/>
  <c r="J112" i="34"/>
  <c r="I112" i="34"/>
  <c r="H112" i="34"/>
  <c r="G112" i="34"/>
  <c r="F112" i="34"/>
  <c r="E112" i="34"/>
  <c r="N112" i="34" s="1"/>
  <c r="O112" i="34" s="1"/>
  <c r="D112" i="34"/>
  <c r="N111" i="34"/>
  <c r="O111" i="34" s="1"/>
  <c r="N110" i="34"/>
  <c r="O110" i="34" s="1"/>
  <c r="N109" i="34"/>
  <c r="O109" i="34" s="1"/>
  <c r="N108" i="34"/>
  <c r="O108" i="34" s="1"/>
  <c r="N107" i="34"/>
  <c r="O107" i="34" s="1"/>
  <c r="N106" i="34"/>
  <c r="O106" i="34" s="1"/>
  <c r="N105" i="34"/>
  <c r="O105" i="34"/>
  <c r="N104" i="34"/>
  <c r="O104" i="34" s="1"/>
  <c r="N103" i="34"/>
  <c r="O103" i="34"/>
  <c r="N102" i="34"/>
  <c r="O102" i="34" s="1"/>
  <c r="N101" i="34"/>
  <c r="O101" i="34" s="1"/>
  <c r="N100" i="34"/>
  <c r="O100" i="34" s="1"/>
  <c r="N99" i="34"/>
  <c r="O99" i="34"/>
  <c r="N98" i="34"/>
  <c r="O98" i="34" s="1"/>
  <c r="N97" i="34"/>
  <c r="O97" i="34"/>
  <c r="N96" i="34"/>
  <c r="O96" i="34" s="1"/>
  <c r="N95" i="34"/>
  <c r="O95" i="34" s="1"/>
  <c r="N94" i="34"/>
  <c r="O94" i="34" s="1"/>
  <c r="N93" i="34"/>
  <c r="O93" i="34"/>
  <c r="N92" i="34"/>
  <c r="O92" i="34" s="1"/>
  <c r="N91" i="34"/>
  <c r="O91" i="34"/>
  <c r="N90" i="34"/>
  <c r="O90" i="34" s="1"/>
  <c r="N89" i="34"/>
  <c r="O89" i="34" s="1"/>
  <c r="N88" i="34"/>
  <c r="O88" i="34" s="1"/>
  <c r="N87" i="34"/>
  <c r="O87" i="34"/>
  <c r="N86" i="34"/>
  <c r="O86" i="34" s="1"/>
  <c r="N85" i="34"/>
  <c r="O85" i="34" s="1"/>
  <c r="N84" i="34"/>
  <c r="O84" i="34" s="1"/>
  <c r="N83" i="34"/>
  <c r="O83" i="34" s="1"/>
  <c r="N82" i="34"/>
  <c r="O82" i="34" s="1"/>
  <c r="N81" i="34"/>
  <c r="O81" i="34" s="1"/>
  <c r="N80" i="34"/>
  <c r="O80" i="34" s="1"/>
  <c r="N79" i="34"/>
  <c r="O79" i="34" s="1"/>
  <c r="N78" i="34"/>
  <c r="O78" i="34" s="1"/>
  <c r="N77" i="34"/>
  <c r="O77" i="34" s="1"/>
  <c r="N76" i="34"/>
  <c r="O76" i="34" s="1"/>
  <c r="N75" i="34"/>
  <c r="O75" i="34"/>
  <c r="N74" i="34"/>
  <c r="O74" i="34" s="1"/>
  <c r="M73" i="34"/>
  <c r="L73" i="34"/>
  <c r="K73" i="34"/>
  <c r="J73" i="34"/>
  <c r="I73" i="34"/>
  <c r="H73" i="34"/>
  <c r="G73" i="34"/>
  <c r="F73" i="34"/>
  <c r="F137" i="34" s="1"/>
  <c r="E73" i="34"/>
  <c r="D73" i="34"/>
  <c r="N73" i="34" s="1"/>
  <c r="O73" i="34" s="1"/>
  <c r="N72" i="34"/>
  <c r="O72" i="34"/>
  <c r="N71" i="34"/>
  <c r="O71" i="34" s="1"/>
  <c r="N70" i="34"/>
  <c r="O70" i="34" s="1"/>
  <c r="N69" i="34"/>
  <c r="O69" i="34" s="1"/>
  <c r="N68" i="34"/>
  <c r="O68" i="34"/>
  <c r="N67" i="34"/>
  <c r="O67" i="34" s="1"/>
  <c r="N66" i="34"/>
  <c r="O66" i="34"/>
  <c r="N65" i="34"/>
  <c r="O65" i="34" s="1"/>
  <c r="N64" i="34"/>
  <c r="O64" i="34" s="1"/>
  <c r="N63" i="34"/>
  <c r="O63" i="34" s="1"/>
  <c r="N62" i="34"/>
  <c r="O62" i="34"/>
  <c r="N61" i="34"/>
  <c r="O61" i="34" s="1"/>
  <c r="N60" i="34"/>
  <c r="O60" i="34" s="1"/>
  <c r="N59" i="34"/>
  <c r="O59" i="34" s="1"/>
  <c r="N58" i="34"/>
  <c r="O58" i="34" s="1"/>
  <c r="N57" i="34"/>
  <c r="O57" i="34" s="1"/>
  <c r="N56" i="34"/>
  <c r="O56" i="34" s="1"/>
  <c r="N55" i="34"/>
  <c r="O55" i="34" s="1"/>
  <c r="N54" i="34"/>
  <c r="O54" i="34" s="1"/>
  <c r="N53" i="34"/>
  <c r="O53" i="34" s="1"/>
  <c r="N52" i="34"/>
  <c r="O52" i="34" s="1"/>
  <c r="N51" i="34"/>
  <c r="O51" i="34" s="1"/>
  <c r="N50" i="34"/>
  <c r="O50" i="34"/>
  <c r="N49" i="34"/>
  <c r="O49" i="34" s="1"/>
  <c r="N48" i="34"/>
  <c r="O48" i="34"/>
  <c r="N47" i="34"/>
  <c r="O47" i="34" s="1"/>
  <c r="N46" i="34"/>
  <c r="O46" i="34" s="1"/>
  <c r="N45" i="34"/>
  <c r="O45" i="34" s="1"/>
  <c r="N44" i="34"/>
  <c r="O44" i="34" s="1"/>
  <c r="N43" i="34"/>
  <c r="O43" i="34" s="1"/>
  <c r="N42" i="34"/>
  <c r="O42" i="34"/>
  <c r="N41" i="34"/>
  <c r="O41" i="34" s="1"/>
  <c r="N40" i="34"/>
  <c r="O40" i="34" s="1"/>
  <c r="N39" i="34"/>
  <c r="O39" i="34" s="1"/>
  <c r="N38" i="34"/>
  <c r="O38" i="34"/>
  <c r="N37" i="34"/>
  <c r="O37" i="34" s="1"/>
  <c r="N36" i="34"/>
  <c r="O36" i="34"/>
  <c r="N35" i="34"/>
  <c r="O35" i="34" s="1"/>
  <c r="N34" i="34"/>
  <c r="O34" i="34" s="1"/>
  <c r="N33" i="34"/>
  <c r="O33" i="34" s="1"/>
  <c r="N32" i="34"/>
  <c r="O32" i="34"/>
  <c r="N31" i="34"/>
  <c r="O31" i="34" s="1"/>
  <c r="N30" i="34"/>
  <c r="O30" i="34" s="1"/>
  <c r="N29" i="34"/>
  <c r="O29" i="34" s="1"/>
  <c r="N28" i="34"/>
  <c r="O28" i="34" s="1"/>
  <c r="N27" i="34"/>
  <c r="O27" i="34" s="1"/>
  <c r="M26" i="34"/>
  <c r="L26" i="34"/>
  <c r="K26" i="34"/>
  <c r="J26" i="34"/>
  <c r="I26" i="34"/>
  <c r="H26" i="34"/>
  <c r="G26" i="34"/>
  <c r="F26" i="34"/>
  <c r="E26" i="34"/>
  <c r="D26" i="34"/>
  <c r="N25" i="34"/>
  <c r="O25" i="34"/>
  <c r="N24" i="34"/>
  <c r="O24" i="34" s="1"/>
  <c r="N23" i="34"/>
  <c r="O23" i="34"/>
  <c r="N22" i="34"/>
  <c r="O22" i="34" s="1"/>
  <c r="N21" i="34"/>
  <c r="O21" i="34" s="1"/>
  <c r="N20" i="34"/>
  <c r="O20" i="34" s="1"/>
  <c r="N19" i="34"/>
  <c r="O19" i="34"/>
  <c r="N18" i="34"/>
  <c r="O18" i="34" s="1"/>
  <c r="N17" i="34"/>
  <c r="O17" i="34"/>
  <c r="N16" i="34"/>
  <c r="O16" i="34" s="1"/>
  <c r="N15" i="34"/>
  <c r="O15" i="34" s="1"/>
  <c r="N14" i="34"/>
  <c r="O14" i="34" s="1"/>
  <c r="M13" i="34"/>
  <c r="L13" i="34"/>
  <c r="K13" i="34"/>
  <c r="J13" i="34"/>
  <c r="I13" i="34"/>
  <c r="H13" i="34"/>
  <c r="G13" i="34"/>
  <c r="F13" i="34"/>
  <c r="E13" i="34"/>
  <c r="D13" i="34"/>
  <c r="N12" i="34"/>
  <c r="O12" i="34" s="1"/>
  <c r="N11" i="34"/>
  <c r="O11" i="34" s="1"/>
  <c r="N10" i="34"/>
  <c r="O10" i="34"/>
  <c r="N9" i="34"/>
  <c r="O9" i="34" s="1"/>
  <c r="N8" i="34"/>
  <c r="O8" i="34" s="1"/>
  <c r="N7" i="34"/>
  <c r="O7" i="34" s="1"/>
  <c r="N6" i="34"/>
  <c r="O6" i="34"/>
  <c r="M5" i="34"/>
  <c r="L5" i="34"/>
  <c r="K5" i="34"/>
  <c r="J5" i="34"/>
  <c r="I5" i="34"/>
  <c r="H5" i="34"/>
  <c r="G5" i="34"/>
  <c r="F5" i="34"/>
  <c r="E5" i="34"/>
  <c r="D5" i="34"/>
  <c r="E68" i="33"/>
  <c r="F68" i="33"/>
  <c r="G68" i="33"/>
  <c r="H68" i="33"/>
  <c r="I68" i="33"/>
  <c r="J68" i="33"/>
  <c r="K68" i="33"/>
  <c r="L68" i="33"/>
  <c r="M68" i="33"/>
  <c r="D68" i="33"/>
  <c r="E24" i="33"/>
  <c r="F24" i="33"/>
  <c r="G24" i="33"/>
  <c r="H24" i="33"/>
  <c r="I24" i="33"/>
  <c r="J24" i="33"/>
  <c r="K24" i="33"/>
  <c r="L24" i="33"/>
  <c r="M24" i="33"/>
  <c r="D24" i="33"/>
  <c r="E13" i="33"/>
  <c r="F13" i="33"/>
  <c r="G13" i="33"/>
  <c r="H13" i="33"/>
  <c r="I13" i="33"/>
  <c r="J13" i="33"/>
  <c r="K13" i="33"/>
  <c r="L13" i="33"/>
  <c r="M13" i="33"/>
  <c r="D13" i="33"/>
  <c r="D151" i="33" s="1"/>
  <c r="E5" i="33"/>
  <c r="F5" i="33"/>
  <c r="G5" i="33"/>
  <c r="H5" i="33"/>
  <c r="I5" i="33"/>
  <c r="J5" i="33"/>
  <c r="K5" i="33"/>
  <c r="L5" i="33"/>
  <c r="M5" i="33"/>
  <c r="D5" i="33"/>
  <c r="E144" i="33"/>
  <c r="F144" i="33"/>
  <c r="G144" i="33"/>
  <c r="H144" i="33"/>
  <c r="I144" i="33"/>
  <c r="J144" i="33"/>
  <c r="K144" i="33"/>
  <c r="L144" i="33"/>
  <c r="M144" i="33"/>
  <c r="D144" i="33"/>
  <c r="N149" i="33"/>
  <c r="O149" i="33" s="1"/>
  <c r="N150" i="33"/>
  <c r="O150" i="33" s="1"/>
  <c r="N146" i="33"/>
  <c r="O146" i="33" s="1"/>
  <c r="N147" i="33"/>
  <c r="O147" i="33"/>
  <c r="N148" i="33"/>
  <c r="O148" i="33" s="1"/>
  <c r="N145" i="33"/>
  <c r="O145" i="33"/>
  <c r="N135" i="33"/>
  <c r="O135" i="33" s="1"/>
  <c r="N136" i="33"/>
  <c r="N137" i="33"/>
  <c r="O137" i="33"/>
  <c r="N138" i="33"/>
  <c r="O138" i="33"/>
  <c r="N139" i="33"/>
  <c r="O139" i="33" s="1"/>
  <c r="N140" i="33"/>
  <c r="O140" i="33" s="1"/>
  <c r="N141" i="33"/>
  <c r="O141" i="33" s="1"/>
  <c r="N142" i="33"/>
  <c r="O142" i="33" s="1"/>
  <c r="N143" i="33"/>
  <c r="O143" i="33" s="1"/>
  <c r="N134" i="33"/>
  <c r="O134" i="33"/>
  <c r="E133" i="33"/>
  <c r="E151" i="33" s="1"/>
  <c r="F133" i="33"/>
  <c r="G133" i="33"/>
  <c r="H133" i="33"/>
  <c r="I133" i="33"/>
  <c r="J133" i="33"/>
  <c r="K133" i="33"/>
  <c r="L133" i="33"/>
  <c r="M133" i="33"/>
  <c r="D133" i="33"/>
  <c r="E124" i="33"/>
  <c r="F124" i="33"/>
  <c r="G124" i="33"/>
  <c r="H124" i="33"/>
  <c r="I124" i="33"/>
  <c r="J124" i="33"/>
  <c r="K124" i="33"/>
  <c r="L124" i="33"/>
  <c r="M124" i="33"/>
  <c r="D124" i="33"/>
  <c r="N124" i="33" s="1"/>
  <c r="O124" i="33" s="1"/>
  <c r="N126" i="33"/>
  <c r="O126" i="33" s="1"/>
  <c r="N127" i="33"/>
  <c r="O127" i="33"/>
  <c r="N128" i="33"/>
  <c r="O128" i="33"/>
  <c r="N129" i="33"/>
  <c r="O129" i="33" s="1"/>
  <c r="N130" i="33"/>
  <c r="O130" i="33" s="1"/>
  <c r="N131" i="33"/>
  <c r="O131" i="33"/>
  <c r="N132" i="33"/>
  <c r="O132" i="33" s="1"/>
  <c r="N125" i="33"/>
  <c r="O125" i="33" s="1"/>
  <c r="N115" i="33"/>
  <c r="O115" i="33"/>
  <c r="N116" i="33"/>
  <c r="O116" i="33" s="1"/>
  <c r="N117" i="33"/>
  <c r="O117" i="33" s="1"/>
  <c r="N118" i="33"/>
  <c r="O118" i="33" s="1"/>
  <c r="N119" i="33"/>
  <c r="O119" i="33"/>
  <c r="N120" i="33"/>
  <c r="O120" i="33"/>
  <c r="N114" i="33"/>
  <c r="O114" i="33" s="1"/>
  <c r="N113" i="33"/>
  <c r="O113" i="33" s="1"/>
  <c r="N112" i="33"/>
  <c r="O112" i="33" s="1"/>
  <c r="N111" i="33"/>
  <c r="O111" i="33" s="1"/>
  <c r="N110" i="33"/>
  <c r="O110" i="33" s="1"/>
  <c r="N109" i="33"/>
  <c r="O109" i="33"/>
  <c r="N108" i="33"/>
  <c r="O108" i="33" s="1"/>
  <c r="N107" i="33"/>
  <c r="O107" i="33"/>
  <c r="N106" i="33"/>
  <c r="O106" i="33" s="1"/>
  <c r="N105" i="33"/>
  <c r="O105" i="33" s="1"/>
  <c r="N104" i="33"/>
  <c r="O104" i="33"/>
  <c r="N103" i="33"/>
  <c r="O103" i="33"/>
  <c r="N102" i="33"/>
  <c r="O102" i="33"/>
  <c r="N101" i="33"/>
  <c r="O101" i="33" s="1"/>
  <c r="N100" i="33"/>
  <c r="O100" i="33" s="1"/>
  <c r="N99" i="33"/>
  <c r="O99" i="33" s="1"/>
  <c r="N122" i="33"/>
  <c r="O122" i="33"/>
  <c r="N121" i="33"/>
  <c r="O121" i="33"/>
  <c r="N70" i="33"/>
  <c r="O70" i="33" s="1"/>
  <c r="N71" i="33"/>
  <c r="O71" i="33"/>
  <c r="N72" i="33"/>
  <c r="O72" i="33" s="1"/>
  <c r="N73" i="33"/>
  <c r="O73" i="33" s="1"/>
  <c r="N74" i="33"/>
  <c r="O74" i="33" s="1"/>
  <c r="N75" i="33"/>
  <c r="O75" i="33" s="1"/>
  <c r="N76" i="33"/>
  <c r="O76" i="33" s="1"/>
  <c r="N77" i="33"/>
  <c r="O77" i="33"/>
  <c r="N78" i="33"/>
  <c r="O78" i="33"/>
  <c r="N79" i="33"/>
  <c r="O79" i="33" s="1"/>
  <c r="N80" i="33"/>
  <c r="N81" i="33"/>
  <c r="O81" i="33" s="1"/>
  <c r="N82" i="33"/>
  <c r="O82" i="33" s="1"/>
  <c r="N83" i="33"/>
  <c r="O83" i="33" s="1"/>
  <c r="N84" i="33"/>
  <c r="O84" i="33" s="1"/>
  <c r="N85" i="33"/>
  <c r="N86" i="33"/>
  <c r="N87" i="33"/>
  <c r="O87" i="33"/>
  <c r="N88" i="33"/>
  <c r="O88" i="33"/>
  <c r="N89" i="33"/>
  <c r="O89" i="33" s="1"/>
  <c r="N90" i="33"/>
  <c r="O90" i="33" s="1"/>
  <c r="N91" i="33"/>
  <c r="O91" i="33" s="1"/>
  <c r="N92" i="33"/>
  <c r="O92" i="33" s="1"/>
  <c r="N93" i="33"/>
  <c r="O93" i="33" s="1"/>
  <c r="N94" i="33"/>
  <c r="O94" i="33" s="1"/>
  <c r="N95" i="33"/>
  <c r="O95" i="33" s="1"/>
  <c r="N96" i="33"/>
  <c r="O96" i="33" s="1"/>
  <c r="N97" i="33"/>
  <c r="O97" i="33" s="1"/>
  <c r="N98" i="33"/>
  <c r="O98" i="33" s="1"/>
  <c r="N123" i="33"/>
  <c r="O123" i="33" s="1"/>
  <c r="N69" i="33"/>
  <c r="O69" i="33" s="1"/>
  <c r="O80" i="33"/>
  <c r="O85" i="33"/>
  <c r="O86" i="33"/>
  <c r="O136" i="33"/>
  <c r="N15" i="33"/>
  <c r="O15" i="33" s="1"/>
  <c r="N16" i="33"/>
  <c r="O16" i="33" s="1"/>
  <c r="N17" i="33"/>
  <c r="O17" i="33" s="1"/>
  <c r="N18" i="33"/>
  <c r="O18" i="33" s="1"/>
  <c r="N19" i="33"/>
  <c r="O19" i="33" s="1"/>
  <c r="N20" i="33"/>
  <c r="O20" i="33" s="1"/>
  <c r="N21" i="33"/>
  <c r="O21" i="33" s="1"/>
  <c r="N22" i="33"/>
  <c r="O22" i="33" s="1"/>
  <c r="N23" i="33"/>
  <c r="O23" i="33" s="1"/>
  <c r="N7" i="33"/>
  <c r="O7" i="33"/>
  <c r="N8" i="33"/>
  <c r="O8" i="33" s="1"/>
  <c r="N9" i="33"/>
  <c r="O9" i="33" s="1"/>
  <c r="N10" i="33"/>
  <c r="O10" i="33" s="1"/>
  <c r="N11" i="33"/>
  <c r="O11" i="33" s="1"/>
  <c r="N12" i="33"/>
  <c r="O12" i="33" s="1"/>
  <c r="H151" i="33"/>
  <c r="N6" i="33"/>
  <c r="O6" i="33"/>
  <c r="N64" i="33"/>
  <c r="O64" i="33"/>
  <c r="N65" i="33"/>
  <c r="O65" i="33" s="1"/>
  <c r="N66" i="33"/>
  <c r="O66" i="33" s="1"/>
  <c r="N67" i="33"/>
  <c r="O67" i="33" s="1"/>
  <c r="N62" i="33"/>
  <c r="O62" i="33" s="1"/>
  <c r="N63" i="33"/>
  <c r="O63" i="33" s="1"/>
  <c r="N53" i="33"/>
  <c r="O53" i="33"/>
  <c r="N54" i="33"/>
  <c r="O54" i="33" s="1"/>
  <c r="N55" i="33"/>
  <c r="O55" i="33"/>
  <c r="N56" i="33"/>
  <c r="O56" i="33" s="1"/>
  <c r="N57" i="33"/>
  <c r="O57" i="33"/>
  <c r="N58" i="33"/>
  <c r="O58" i="33"/>
  <c r="N59" i="33"/>
  <c r="O59" i="33"/>
  <c r="N60" i="33"/>
  <c r="O60" i="33" s="1"/>
  <c r="N37" i="33"/>
  <c r="O37" i="33"/>
  <c r="N38" i="33"/>
  <c r="O38" i="33" s="1"/>
  <c r="N39" i="33"/>
  <c r="O39" i="33"/>
  <c r="N40" i="33"/>
  <c r="O40" i="33" s="1"/>
  <c r="N41" i="33"/>
  <c r="O41" i="33" s="1"/>
  <c r="N42" i="33"/>
  <c r="O42" i="33" s="1"/>
  <c r="N43" i="33"/>
  <c r="O43" i="33"/>
  <c r="N44" i="33"/>
  <c r="O44" i="33"/>
  <c r="N45" i="33"/>
  <c r="O45" i="33"/>
  <c r="N46" i="33"/>
  <c r="O46" i="33"/>
  <c r="N47" i="33"/>
  <c r="O47" i="33"/>
  <c r="N48" i="33"/>
  <c r="O48" i="33" s="1"/>
  <c r="N49" i="33"/>
  <c r="O49" i="33" s="1"/>
  <c r="N50" i="33"/>
  <c r="O50" i="33"/>
  <c r="N51" i="33"/>
  <c r="O51" i="33" s="1"/>
  <c r="N52" i="33"/>
  <c r="O52" i="33" s="1"/>
  <c r="N27" i="33"/>
  <c r="O27" i="33" s="1"/>
  <c r="N28" i="33"/>
  <c r="O28" i="33" s="1"/>
  <c r="N29" i="33"/>
  <c r="O29" i="33" s="1"/>
  <c r="N30" i="33"/>
  <c r="O30" i="33" s="1"/>
  <c r="N31" i="33"/>
  <c r="O31" i="33"/>
  <c r="N32" i="33"/>
  <c r="O32" i="33" s="1"/>
  <c r="N33" i="33"/>
  <c r="O33" i="33"/>
  <c r="N34" i="33"/>
  <c r="O34" i="33" s="1"/>
  <c r="N35" i="33"/>
  <c r="O35" i="33" s="1"/>
  <c r="N36" i="33"/>
  <c r="O36" i="33" s="1"/>
  <c r="N26" i="33"/>
  <c r="O26" i="33"/>
  <c r="N61" i="33"/>
  <c r="O61" i="33" s="1"/>
  <c r="N25" i="33"/>
  <c r="O25" i="33" s="1"/>
  <c r="N14" i="33"/>
  <c r="O14" i="33" s="1"/>
  <c r="M140" i="38"/>
  <c r="N124" i="38"/>
  <c r="O124" i="38"/>
  <c r="L150" i="39"/>
  <c r="F150" i="39"/>
  <c r="D150" i="39"/>
  <c r="I155" i="40"/>
  <c r="L149" i="41"/>
  <c r="J149" i="41"/>
  <c r="F149" i="41"/>
  <c r="G149" i="41"/>
  <c r="N60" i="41"/>
  <c r="O60" i="41" s="1"/>
  <c r="N5" i="41"/>
  <c r="O5" i="41"/>
  <c r="D149" i="41"/>
  <c r="N18" i="42"/>
  <c r="O18" i="42"/>
  <c r="E151" i="42"/>
  <c r="N136" i="43"/>
  <c r="O136" i="43" s="1"/>
  <c r="N124" i="43"/>
  <c r="O124" i="43" s="1"/>
  <c r="G153" i="43"/>
  <c r="E153" i="43"/>
  <c r="H157" i="44"/>
  <c r="E157" i="44"/>
  <c r="N13" i="44"/>
  <c r="O13" i="44"/>
  <c r="F150" i="46"/>
  <c r="I150" i="46"/>
  <c r="E150" i="46"/>
  <c r="N13" i="46"/>
  <c r="O13" i="46" s="1"/>
  <c r="N5" i="46"/>
  <c r="O5" i="46" s="1"/>
  <c r="E134" i="47"/>
  <c r="N5" i="47"/>
  <c r="O5" i="47" s="1"/>
  <c r="N158" i="49"/>
  <c r="F158" i="49"/>
  <c r="D158" i="49" l="1"/>
  <c r="G158" i="49"/>
  <c r="P73" i="49"/>
  <c r="Q73" i="49" s="1"/>
  <c r="P5" i="49"/>
  <c r="Q5" i="49" s="1"/>
  <c r="Q129" i="52"/>
  <c r="Q132" i="51"/>
  <c r="K157" i="44"/>
  <c r="J151" i="33"/>
  <c r="N123" i="39"/>
  <c r="O123" i="39" s="1"/>
  <c r="N69" i="43"/>
  <c r="O69" i="43" s="1"/>
  <c r="N118" i="47"/>
  <c r="O118" i="47" s="1"/>
  <c r="L137" i="35"/>
  <c r="D151" i="42"/>
  <c r="D139" i="37"/>
  <c r="N5" i="37"/>
  <c r="O5" i="37" s="1"/>
  <c r="H150" i="39"/>
  <c r="M137" i="34"/>
  <c r="D150" i="46"/>
  <c r="K147" i="36"/>
  <c r="L151" i="42"/>
  <c r="I137" i="35"/>
  <c r="L147" i="36"/>
  <c r="M151" i="42"/>
  <c r="H150" i="46"/>
  <c r="E158" i="49"/>
  <c r="N134" i="39"/>
  <c r="O134" i="39" s="1"/>
  <c r="N145" i="43"/>
  <c r="O145" i="43" s="1"/>
  <c r="N26" i="46"/>
  <c r="O26" i="46" s="1"/>
  <c r="N5" i="38"/>
  <c r="O5" i="38" s="1"/>
  <c r="E147" i="36"/>
  <c r="F139" i="37"/>
  <c r="H139" i="37"/>
  <c r="N126" i="40"/>
  <c r="O126" i="40" s="1"/>
  <c r="N116" i="41"/>
  <c r="O116" i="41" s="1"/>
  <c r="N125" i="41"/>
  <c r="O125" i="41" s="1"/>
  <c r="J158" i="49"/>
  <c r="H158" i="49"/>
  <c r="J151" i="42"/>
  <c r="I151" i="42"/>
  <c r="P150" i="49"/>
  <c r="Q150" i="49" s="1"/>
  <c r="D153" i="43"/>
  <c r="N153" i="43" s="1"/>
  <c r="O153" i="43" s="1"/>
  <c r="N112" i="37"/>
  <c r="O112" i="37" s="1"/>
  <c r="J150" i="39"/>
  <c r="E155" i="40"/>
  <c r="N13" i="40"/>
  <c r="O13" i="40" s="1"/>
  <c r="N5" i="44"/>
  <c r="O5" i="44" s="1"/>
  <c r="F157" i="44"/>
  <c r="N70" i="45"/>
  <c r="O70" i="45" s="1"/>
  <c r="N12" i="38"/>
  <c r="O12" i="38" s="1"/>
  <c r="N143" i="39"/>
  <c r="O143" i="39" s="1"/>
  <c r="N5" i="43"/>
  <c r="O5" i="43" s="1"/>
  <c r="G157" i="44"/>
  <c r="L134" i="47"/>
  <c r="N27" i="37"/>
  <c r="O27" i="37" s="1"/>
  <c r="N13" i="34"/>
  <c r="O13" i="34" s="1"/>
  <c r="J139" i="37"/>
  <c r="N73" i="35"/>
  <c r="O73" i="35" s="1"/>
  <c r="D140" i="38"/>
  <c r="M150" i="39"/>
  <c r="G150" i="39"/>
  <c r="N150" i="39" s="1"/>
  <c r="O150" i="39" s="1"/>
  <c r="N143" i="42"/>
  <c r="O143" i="42" s="1"/>
  <c r="N5" i="35"/>
  <c r="O5" i="35" s="1"/>
  <c r="N13" i="37"/>
  <c r="O13" i="37" s="1"/>
  <c r="E140" i="38"/>
  <c r="N148" i="44"/>
  <c r="O148" i="44" s="1"/>
  <c r="N139" i="44"/>
  <c r="O139" i="44" s="1"/>
  <c r="G156" i="45"/>
  <c r="G137" i="34"/>
  <c r="I139" i="37"/>
  <c r="N138" i="40"/>
  <c r="O138" i="40" s="1"/>
  <c r="I153" i="43"/>
  <c r="L150" i="46"/>
  <c r="N131" i="37"/>
  <c r="O131" i="37" s="1"/>
  <c r="N5" i="34"/>
  <c r="O5" i="34" s="1"/>
  <c r="I151" i="33"/>
  <c r="H137" i="34"/>
  <c r="G140" i="38"/>
  <c r="K149" i="41"/>
  <c r="M157" i="44"/>
  <c r="L157" i="44"/>
  <c r="F156" i="45"/>
  <c r="H134" i="47"/>
  <c r="P28" i="49"/>
  <c r="Q28" i="49" s="1"/>
  <c r="I147" i="36"/>
  <c r="N147" i="36" s="1"/>
  <c r="O147" i="36" s="1"/>
  <c r="I156" i="45"/>
  <c r="N131" i="34"/>
  <c r="O131" i="34" s="1"/>
  <c r="K151" i="42"/>
  <c r="J156" i="45"/>
  <c r="K156" i="45"/>
  <c r="N14" i="42"/>
  <c r="O14" i="42" s="1"/>
  <c r="I137" i="34"/>
  <c r="D137" i="35"/>
  <c r="N137" i="35" s="1"/>
  <c r="O137" i="35" s="1"/>
  <c r="N121" i="35"/>
  <c r="O121" i="35" s="1"/>
  <c r="F147" i="36"/>
  <c r="N111" i="38"/>
  <c r="O111" i="38" s="1"/>
  <c r="I149" i="41"/>
  <c r="N149" i="41" s="1"/>
  <c r="O149" i="41" s="1"/>
  <c r="K153" i="43"/>
  <c r="I134" i="47"/>
  <c r="K137" i="34"/>
  <c r="J137" i="34"/>
  <c r="G137" i="35"/>
  <c r="M147" i="36"/>
  <c r="G139" i="37"/>
  <c r="N13" i="33"/>
  <c r="O13" i="33" s="1"/>
  <c r="F155" i="40"/>
  <c r="G151" i="33"/>
  <c r="K137" i="35"/>
  <c r="D134" i="47"/>
  <c r="K158" i="49"/>
  <c r="M137" i="35"/>
  <c r="E150" i="39"/>
  <c r="N27" i="45"/>
  <c r="O27" i="45" s="1"/>
  <c r="D147" i="36"/>
  <c r="N123" i="36"/>
  <c r="O123" i="36" s="1"/>
  <c r="I140" i="38"/>
  <c r="D137" i="34"/>
  <c r="P154" i="50"/>
  <c r="Q154" i="50" s="1"/>
  <c r="N13" i="45"/>
  <c r="O13" i="45" s="1"/>
  <c r="D157" i="44"/>
  <c r="N157" i="44" s="1"/>
  <c r="O157" i="44" s="1"/>
  <c r="F151" i="33"/>
  <c r="N151" i="33" s="1"/>
  <c r="O151" i="33" s="1"/>
  <c r="N24" i="33"/>
  <c r="O24" i="33" s="1"/>
  <c r="N68" i="33"/>
  <c r="O68" i="33" s="1"/>
  <c r="N130" i="35"/>
  <c r="O130" i="35" s="1"/>
  <c r="N26" i="47"/>
  <c r="O26" i="47" s="1"/>
  <c r="L156" i="45"/>
  <c r="N139" i="36"/>
  <c r="O139" i="36" s="1"/>
  <c r="E137" i="34"/>
  <c r="L139" i="37"/>
  <c r="M151" i="33"/>
  <c r="L137" i="34"/>
  <c r="N13" i="36"/>
  <c r="O13" i="36" s="1"/>
  <c r="P15" i="49"/>
  <c r="Q15" i="49" s="1"/>
  <c r="N144" i="33"/>
  <c r="O144" i="33" s="1"/>
  <c r="N133" i="33"/>
  <c r="O133" i="33" s="1"/>
  <c r="N13" i="35"/>
  <c r="O13" i="35" s="1"/>
  <c r="N61" i="36"/>
  <c r="O61" i="36" s="1"/>
  <c r="N116" i="36"/>
  <c r="O116" i="36" s="1"/>
  <c r="L151" i="33"/>
  <c r="N122" i="37"/>
  <c r="O122" i="37" s="1"/>
  <c r="G155" i="40"/>
  <c r="N155" i="40" s="1"/>
  <c r="O155" i="40" s="1"/>
  <c r="N5" i="33"/>
  <c r="O5" i="33" s="1"/>
  <c r="K151" i="33"/>
  <c r="N27" i="35"/>
  <c r="O27" i="35" s="1"/>
  <c r="N5" i="36"/>
  <c r="O5" i="36" s="1"/>
  <c r="N18" i="36"/>
  <c r="O18" i="36" s="1"/>
  <c r="N13" i="47"/>
  <c r="O13" i="47" s="1"/>
  <c r="N26" i="34"/>
  <c r="O26" i="34" s="1"/>
  <c r="H137" i="35"/>
  <c r="N13" i="39"/>
  <c r="O13" i="39" s="1"/>
  <c r="N71" i="40"/>
  <c r="O71" i="40" s="1"/>
  <c r="N70" i="38"/>
  <c r="O70" i="38" s="1"/>
  <c r="N25" i="38"/>
  <c r="O25" i="38" s="1"/>
  <c r="N26" i="39"/>
  <c r="O26" i="39" s="1"/>
  <c r="L140" i="38"/>
  <c r="H155" i="40"/>
  <c r="P158" i="49" l="1"/>
  <c r="Q158" i="49" s="1"/>
  <c r="N150" i="46"/>
  <c r="O150" i="46" s="1"/>
  <c r="N139" i="37"/>
  <c r="O139" i="37" s="1"/>
  <c r="N151" i="42"/>
  <c r="O151" i="42" s="1"/>
  <c r="N140" i="38"/>
  <c r="O140" i="38" s="1"/>
  <c r="N137" i="34"/>
  <c r="O137" i="34" s="1"/>
  <c r="N156" i="45"/>
  <c r="O156" i="45" s="1"/>
  <c r="N134" i="47"/>
  <c r="O134" i="47" s="1"/>
</calcChain>
</file>

<file path=xl/sharedStrings.xml><?xml version="1.0" encoding="utf-8"?>
<sst xmlns="http://schemas.openxmlformats.org/spreadsheetml/2006/main" count="3243" uniqueCount="342">
  <si>
    <t>Building Permits</t>
  </si>
  <si>
    <t>Other Charges for Services</t>
  </si>
  <si>
    <t>Taxes</t>
  </si>
  <si>
    <t>Ad Valorem Taxes</t>
  </si>
  <si>
    <t>Federal Payments in Lieu of Taxes</t>
  </si>
  <si>
    <t>Miscellaneous Revenues</t>
  </si>
  <si>
    <t>General</t>
  </si>
  <si>
    <t>Permanent</t>
  </si>
  <si>
    <t>Enterprise</t>
  </si>
  <si>
    <t>Pension</t>
  </si>
  <si>
    <t>Trust</t>
  </si>
  <si>
    <t>Component Units</t>
  </si>
  <si>
    <t>Local Option Taxes</t>
  </si>
  <si>
    <t>County Ninth-Cent Voted Fuel Tax</t>
  </si>
  <si>
    <t>First Local Option Fuel Tax (1 to 6 Cents)</t>
  </si>
  <si>
    <t>Discretionary Sales Surtaxes</t>
  </si>
  <si>
    <t>Communications Services Taxes</t>
  </si>
  <si>
    <t>Local Business Tax</t>
  </si>
  <si>
    <t>Permits, Fees, and Special Assessments</t>
  </si>
  <si>
    <t>Franchise Fee - Water</t>
  </si>
  <si>
    <t>Franchise Fee - Sewer</t>
  </si>
  <si>
    <t>Impact Fees - Residential - Public Safety</t>
  </si>
  <si>
    <t>Impact Fees - Residential - Physical Environment</t>
  </si>
  <si>
    <t>Impact Fees - Residential - Transportation</t>
  </si>
  <si>
    <t>Impact Fees - Residential - Culture / Recreation</t>
  </si>
  <si>
    <t>Special Assessments - Capital Improvement</t>
  </si>
  <si>
    <t>Special Assessments - Charges for Public Services</t>
  </si>
  <si>
    <t>Other Permits, Fees, and Special Assessments</t>
  </si>
  <si>
    <t>Federal Grant - General Government</t>
  </si>
  <si>
    <t>Federal Grant - Public Safety</t>
  </si>
  <si>
    <t>Intergovernmental Revenue</t>
  </si>
  <si>
    <t>Federal Grant - Economic Environment</t>
  </si>
  <si>
    <t>Federal Grant - Other Federal Grants</t>
  </si>
  <si>
    <t>State Grant - Public Safety</t>
  </si>
  <si>
    <t>Federal Grant - Physical Environment - Water Supply System</t>
  </si>
  <si>
    <t>Federal Grant - Physical Environment - Other Physical Environment</t>
  </si>
  <si>
    <t>Federal Grant - Transportation - Other Transportation</t>
  </si>
  <si>
    <t>Federal Grant - Human Services - Health or Hospitals</t>
  </si>
  <si>
    <t>Federal Grant - Human Services - Child Support Reimbursement</t>
  </si>
  <si>
    <t>Federal Grant - Human Services - Other Human Services</t>
  </si>
  <si>
    <t>State Grant - Physical Environment - Other Physical Environment</t>
  </si>
  <si>
    <t>State Grant - Transportation - Other Transportation</t>
  </si>
  <si>
    <t>State Grant - Economic Environment</t>
  </si>
  <si>
    <t>State Grant - Human Services - Health or Hospitals</t>
  </si>
  <si>
    <t>State Grant - Human Services - Other Human Services</t>
  </si>
  <si>
    <t>State Grant - Culture / Recreation</t>
  </si>
  <si>
    <t>State Grant - Court-Related Grants - Other Court-Related</t>
  </si>
  <si>
    <t>State Grant - Other</t>
  </si>
  <si>
    <t>State Shared Revenues - General Gov't - Revenue Sharing Proceeds</t>
  </si>
  <si>
    <t>State Shared Revenues - General Gov't - Insurance License Tax</t>
  </si>
  <si>
    <t>State Shared Revenues - General Gov't - Mobile Home License Tax</t>
  </si>
  <si>
    <t>State Shared Revenues - General Gov't - Alcoholic Beverage License Tax</t>
  </si>
  <si>
    <t>State Shared Revenues - General Gov't - Sales and Uses Taxes to Counties</t>
  </si>
  <si>
    <t>State Shared Revenues - General Gov't - Cardroom Tax</t>
  </si>
  <si>
    <t>State Shared Revenues - General Gov't - Local Gov't Half-Cent Sales Tax</t>
  </si>
  <si>
    <t>State Shared Revenues - Public Safety - Firefighter Supplemental Compensation</t>
  </si>
  <si>
    <t>State Shared Revenues - Public Safety - Enhanced 911 Fee</t>
  </si>
  <si>
    <t>State Shared Revenues - Public Safety - Other Public Safety</t>
  </si>
  <si>
    <t>State Shared Revenues - Physical Environment - Other Physical Environment</t>
  </si>
  <si>
    <t>State Shared Revenues - Transportation - Other Transportation</t>
  </si>
  <si>
    <t>State Shared Revenues - Economic Environment</t>
  </si>
  <si>
    <t>State Shared Revenues - Human Services - Other Human Services</t>
  </si>
  <si>
    <t>State Shared Revenues - Culture / Recreation</t>
  </si>
  <si>
    <t>State Shared Revenues - Clerk Allotment from Justice Administrative Commission</t>
  </si>
  <si>
    <t>Grants from Other Local Units - General Government</t>
  </si>
  <si>
    <t>Grants from Other Local Units - Public Safety</t>
  </si>
  <si>
    <t>Grants from Other Local Units - Physical Environment</t>
  </si>
  <si>
    <t>Grants from Other Local Units - Economic Environment</t>
  </si>
  <si>
    <t>Grants from Other Local Units - Culture / Recreation</t>
  </si>
  <si>
    <t>Grants from Other Local Units - Other</t>
  </si>
  <si>
    <t>Payments from Other Local Units in Lieu of Taxes</t>
  </si>
  <si>
    <t>Governmental Funds</t>
  </si>
  <si>
    <t>Proprietary Funds</t>
  </si>
  <si>
    <t>Account Total</t>
  </si>
  <si>
    <t>Fiduciary Funds</t>
  </si>
  <si>
    <t>Charges for Services</t>
  </si>
  <si>
    <t>Judgments, Fines, and Forfeits</t>
  </si>
  <si>
    <t>Other Sources</t>
  </si>
  <si>
    <t>General Gov't (Not Court-Related) - Recording Fees</t>
  </si>
  <si>
    <t>General Gov't (Not Court-Related) - Public Records Modernization Trust Fund</t>
  </si>
  <si>
    <t>General Gov't (Not Court-Related) - County Portion of $4 Additional Service Charge</t>
  </si>
  <si>
    <t>General Gov't (Not Court-Related) - Internal Service Fund Fees and Charges</t>
  </si>
  <si>
    <t>General Gov't (Not Court-Related) - Administrative Service Fees</t>
  </si>
  <si>
    <t>General Gov't (Not Court-Related) - Fees Remitted to County from Sheriff</t>
  </si>
  <si>
    <t>General Gov't (Not Court-Related) - Fees Remitted to County from Supervisor of Elections</t>
  </si>
  <si>
    <t>General Gov't (Not Court-Related) - County Officer Commission and Fees</t>
  </si>
  <si>
    <t>General Gov't (Not Court-Related) - Other General Gov't Charges and Fees</t>
  </si>
  <si>
    <t>Public Safety - Law Enforcement Services</t>
  </si>
  <si>
    <t>Public Safety - Fire Protection</t>
  </si>
  <si>
    <t>Public Safety - Housing for Prisoners</t>
  </si>
  <si>
    <t>Public Safety - Protective Inspection Fees</t>
  </si>
  <si>
    <t>Public Safety - Ambulance Fees</t>
  </si>
  <si>
    <t>Public Safety - Other Public Safety Charges and Fees</t>
  </si>
  <si>
    <t>Physical Environment - Garbage / Solid Waste</t>
  </si>
  <si>
    <t>Physical Environment - Water / Sewer Combination Utility</t>
  </si>
  <si>
    <t>Physical Environment - Conservation and Resource Management</t>
  </si>
  <si>
    <t>Physical Environment - Other Physical Environment Charges</t>
  </si>
  <si>
    <t>Transportation (User Fees) - Parking Facilities</t>
  </si>
  <si>
    <t>Transportation (User Fees) - Other Transportation Charges</t>
  </si>
  <si>
    <t>Economic Environment - Housing</t>
  </si>
  <si>
    <t>Economic Environment - Other Economic Environment Charges</t>
  </si>
  <si>
    <t>Human Services - Animal Control and Shelter Fees</t>
  </si>
  <si>
    <t>Human Services - Other Human Services Charges</t>
  </si>
  <si>
    <t>Culture / Recreation - Libraries</t>
  </si>
  <si>
    <t>Culture / Recreation - Parks and Recreation</t>
  </si>
  <si>
    <t>Culture / Recreation - Special Events</t>
  </si>
  <si>
    <t>Culture / Recreation - Special Recreation Facilities</t>
  </si>
  <si>
    <t>Culture / Recreation - Other Culture / Recreation Charges</t>
  </si>
  <si>
    <t>Court Service Reimbursement - Probation / Alternatives</t>
  </si>
  <si>
    <t>Restricted Local Ordinance Court-Related Board Revenue - Court Innovations</t>
  </si>
  <si>
    <t>Restricted Local Ordinance Court-Related Board Revenue - Legal Aid</t>
  </si>
  <si>
    <t>Restricted Local Ordinance Court-Related Board Revenue - Law Library</t>
  </si>
  <si>
    <t>Restricted Local Ordinance Court-Related Board Revenue - Juvenile Alternative Programs</t>
  </si>
  <si>
    <t>Restricted Local Ordinance Court-Related Board Revenue - State Court Facility Surcharge</t>
  </si>
  <si>
    <t>Total - All Account Codes</t>
  </si>
  <si>
    <t>County Court Criminal - Filing Fees</t>
  </si>
  <si>
    <t>County Court Criminal - Service Charges</t>
  </si>
  <si>
    <t>County Court Criminal - Court Costs</t>
  </si>
  <si>
    <t>Circuit Court Criminal - Filing Fees</t>
  </si>
  <si>
    <t>Circuit Court Criminal - Service Charges</t>
  </si>
  <si>
    <t>Circuit Court Criminal - Court Costs</t>
  </si>
  <si>
    <t>County Court Civil - Filing Fees</t>
  </si>
  <si>
    <t>County Court Civil - Service Charges</t>
  </si>
  <si>
    <t>Circuit Court Civil - Filing Fees</t>
  </si>
  <si>
    <t>Circuit Court Civil - Service Charges</t>
  </si>
  <si>
    <t>Circuit Court Civil - Fees and Service Charges</t>
  </si>
  <si>
    <t>Traffic Court - Filing Fees</t>
  </si>
  <si>
    <t>Traffic Court - Service Charges</t>
  </si>
  <si>
    <t>Traffic Court - Court Costs</t>
  </si>
  <si>
    <t>Juvenile Court - Filing Fees</t>
  </si>
  <si>
    <t>Juvenile Court - Service Charges</t>
  </si>
  <si>
    <t>Probate Court - Filing Fees</t>
  </si>
  <si>
    <t>Probate Court - Service Charges</t>
  </si>
  <si>
    <t>Local Fiscal Year Ended September 30, 2009</t>
  </si>
  <si>
    <t>Court-Ordered Judgments and Fines - As Decided by County Court Criminal</t>
  </si>
  <si>
    <t>Judgments and Fines - Intergovernmental Radio Communication Program</t>
  </si>
  <si>
    <t>Court-Ordered Judgments and Fines - As Decided by Circuit Court Criminal</t>
  </si>
  <si>
    <t>Court-Ordered Judgments and Fines - As Decided by Traffic Court</t>
  </si>
  <si>
    <t>Fines - Library</t>
  </si>
  <si>
    <t>Fines - Pollution Control Violations</t>
  </si>
  <si>
    <t>Fines - Local Ordinance Violations</t>
  </si>
  <si>
    <t>Other Judgments, Fines, and Forfeits</t>
  </si>
  <si>
    <t>Interest and Other Earnings - Interest</t>
  </si>
  <si>
    <t>Interest and Other Earnings - Net Increase (Decrease) in Fair Value of Investments</t>
  </si>
  <si>
    <t>Interest and Other Earnings - Gain or Loss on Sale of Investments</t>
  </si>
  <si>
    <t>Rents and Royalties</t>
  </si>
  <si>
    <t>Disposition of Fixed Assets</t>
  </si>
  <si>
    <t>Sale of Surplus Materials and Scrap</t>
  </si>
  <si>
    <t>Contributions and Donations from Private Sources</t>
  </si>
  <si>
    <t>Licenses</t>
  </si>
  <si>
    <t>Other Miscellaneous Revenues - Settlements</t>
  </si>
  <si>
    <t>Other Miscellaneous Revenues - Other</t>
  </si>
  <si>
    <t>Non-Operating - Inter-Fund Group Transfers In</t>
  </si>
  <si>
    <t>Proceeds - Debt Proceeds</t>
  </si>
  <si>
    <t>Proprietary Non-Operating Sources - Interest</t>
  </si>
  <si>
    <t>Proprietary Non-Operating Sources - Federal Grants and Donations</t>
  </si>
  <si>
    <t>Proprietary Non-Operating Sources - Other Grants and Donations</t>
  </si>
  <si>
    <t>Proprietary Non-Operating Sources - Other Non-Operating Sources</t>
  </si>
  <si>
    <t>Account Code and Name</t>
  </si>
  <si>
    <t>Special Revenue</t>
  </si>
  <si>
    <t>Debt Service</t>
  </si>
  <si>
    <t>Capital Projects</t>
  </si>
  <si>
    <t>Internal Service</t>
  </si>
  <si>
    <t>Per Capita Account Total</t>
  </si>
  <si>
    <t>2009 Countywide Population:</t>
  </si>
  <si>
    <t>Hillsborough County Government Revenues Reported by Account Code and Fund Type</t>
  </si>
  <si>
    <t>Local Fiscal Year Ended September 30, 2010</t>
  </si>
  <si>
    <t>Impact Fees - Commercial - Transportation</t>
  </si>
  <si>
    <t>Federal Grant - Transportation - Mass Transit</t>
  </si>
  <si>
    <t>Federal Grant - Culture / Recreation</t>
  </si>
  <si>
    <t>State Grant - Court-Related Grants - Child Dependency</t>
  </si>
  <si>
    <t>State Shared Revenues - Public Safety - Emergency Management Assistance</t>
  </si>
  <si>
    <t>Grants from Other Local Units - Transportation</t>
  </si>
  <si>
    <t>Human Services - Health Inspection Fees</t>
  </si>
  <si>
    <t>Restricted Local Ordinance Court-Related Board Revenue - Not Remitted to the State</t>
  </si>
  <si>
    <t>Court-Ordered Judgments and Fines - As Decided by County Court Civil</t>
  </si>
  <si>
    <t>Judgments and Fines - 10% of Fines to Public Records Modernization Fund</t>
  </si>
  <si>
    <t>2010 Countywide Census Population:</t>
  </si>
  <si>
    <t>Compiled from data obtained from the Florida Department of Financial Services, Division of Accounting and Auditing, Bureau of Local Government.</t>
  </si>
  <si>
    <t>Local Fiscal Year Ended September 30, 2011</t>
  </si>
  <si>
    <t>Impact Fees - Commercial - Public Safety</t>
  </si>
  <si>
    <t>Federal Grant - Court-Related Grants - Drug Court Management</t>
  </si>
  <si>
    <t>Shared Revenue from Other Local Units</t>
  </si>
  <si>
    <t>Culture / Recreation - Cultural Services</t>
  </si>
  <si>
    <t>Court-Ordered Judgments and Fines - As Decided by Circuit Court Civil</t>
  </si>
  <si>
    <t>2011 Countywide Population:</t>
  </si>
  <si>
    <t>Local Fiscal Year Ended September 30, 2008</t>
  </si>
  <si>
    <t>Permits and Franchise Fees</t>
  </si>
  <si>
    <t>Other Permits and Fees</t>
  </si>
  <si>
    <t>State Grant - General Government</t>
  </si>
  <si>
    <t>Special Assessments - Service Charges</t>
  </si>
  <si>
    <t>Impact Fees - Public Safety</t>
  </si>
  <si>
    <t>Impact Fees - Physical Environment</t>
  </si>
  <si>
    <t>Impact Fees - Transportation</t>
  </si>
  <si>
    <t>Impact Fees - Culture / Recreation</t>
  </si>
  <si>
    <t>Proceeds - Proceeds from Refunding Bonds</t>
  </si>
  <si>
    <t>2008 Countywide Population:</t>
  </si>
  <si>
    <t>Local Fiscal Year Ended September 30, 2012</t>
  </si>
  <si>
    <t>Forfeits - Confiscation of Deposits or Bonds Held as Performance Guarantees</t>
  </si>
  <si>
    <t>Proceeds - Installment Purchases and Capital Lease Proceeds</t>
  </si>
  <si>
    <t>2012 Countywide Population:</t>
  </si>
  <si>
    <t>Local Fiscal Year Ended September 30, 2013</t>
  </si>
  <si>
    <t>Communications Services Taxes (Chapter 202, F.S.)</t>
  </si>
  <si>
    <t>Local Business Tax (Chapter 205, F.S.)</t>
  </si>
  <si>
    <t>State Shared Revenues - General Government - Revenue Sharing Proceeds</t>
  </si>
  <si>
    <t>State Shared Revenues - General Government - Insurance License Tax</t>
  </si>
  <si>
    <t>State Shared Revenues - General Government - Mobile Home License Tax</t>
  </si>
  <si>
    <t>State Shared Revenues - General Government - Alcoholic Beverage License Tax</t>
  </si>
  <si>
    <t>State Shared Revenues - General Government - Sales and Uses Taxes to Counties</t>
  </si>
  <si>
    <t>State Shared Revenues - General Government - Cardroom Tax</t>
  </si>
  <si>
    <t>State Shared Revenues - General Government - Local Government Half-Cent Sales Tax</t>
  </si>
  <si>
    <t>Grants from Other Local Units - Human Services</t>
  </si>
  <si>
    <t>General Government - Recording Fees</t>
  </si>
  <si>
    <t>General Government - Public Records Modernization Trust Fund</t>
  </si>
  <si>
    <t>General Government - County Portion ($2) of $4 Additional Service Charge</t>
  </si>
  <si>
    <t>General Government - Internal Service Fund Fees and Charges</t>
  </si>
  <si>
    <t>General Government - Administrative Service Fees</t>
  </si>
  <si>
    <t>General Government - Fees Remitted to County from Sheriff</t>
  </si>
  <si>
    <t>General Government - Fees Remitted to County from Supervisor of Elections</t>
  </si>
  <si>
    <t>General Government - County Officer Commission and Fees</t>
  </si>
  <si>
    <t>General Government - Other General Government Charges and Fees</t>
  </si>
  <si>
    <t>Transportation - Parking Facilities</t>
  </si>
  <si>
    <t>Transportation - Other Transportation Charges</t>
  </si>
  <si>
    <t>Court-Related Revenues - Court Service Reimbursement - Probation / Alternatives</t>
  </si>
  <si>
    <t>Court-Related Revenues - Restricted Board Revenue - Court Innovations / Local Requirements</t>
  </si>
  <si>
    <t>Court-Related Revenues - Restricted Board Revenue - Legal Aid</t>
  </si>
  <si>
    <t>Court-Related Revenues - Restricted Board Revenue - Law Library</t>
  </si>
  <si>
    <t>Court-Related Revenues - Restricted Board Revenue - Juvenile Alternative Programs</t>
  </si>
  <si>
    <t>Court-Related Revenues - Restricted Board Revenue - State Court Facility Surcharge ($30)</t>
  </si>
  <si>
    <t>Court-Related Revenues - Restricted Board Revenue - Domestic Violence Surcharge</t>
  </si>
  <si>
    <t>Court-Related Revenues - Restricted Board Revenue - Animal Control Surcharge</t>
  </si>
  <si>
    <t>Court-Related Revenues - Restricted Board Revenue - Other Collections Transferred to BOCC</t>
  </si>
  <si>
    <t>Court-Ordered Judgments and Fines - Intergovernmental Radio Communication Program</t>
  </si>
  <si>
    <t>Court-Ordered Judgments and Fines - 10% of Fines to Public Records Modernization TF</t>
  </si>
  <si>
    <t>Court-Ordered Judgments and Fines - Other Court-Ordered</t>
  </si>
  <si>
    <t>Confiscation of Deposits or Bonds Held as Performance Guarantees</t>
  </si>
  <si>
    <t>Sale of Contraband Property Seized by Law Enforcement</t>
  </si>
  <si>
    <t>Sales - Disposition of Fixed Assets</t>
  </si>
  <si>
    <t>Sales - Sale of Surplus Materials and Scrap</t>
  </si>
  <si>
    <t>Proprietary Non-Operating - Interest</t>
  </si>
  <si>
    <t>Proprietary Non-Operating - Other Grants and Donations</t>
  </si>
  <si>
    <t>Proprietary Non-Operating - Other Non-Operating Sources</t>
  </si>
  <si>
    <t>2013 Countywide Population:</t>
  </si>
  <si>
    <t>Local Fiscal Year Ended September 30, 2014</t>
  </si>
  <si>
    <t>Court-Related Revenues - County Court Criminal - Filing Fees</t>
  </si>
  <si>
    <t>Court-Related Revenues - County Court Criminal - Service Charges</t>
  </si>
  <si>
    <t>Court-Related Revenues - County Court Criminal - Court Costs</t>
  </si>
  <si>
    <t>Court-Related Revenues - Circuit Court Criminal - Service Charges</t>
  </si>
  <si>
    <t>Court-Related Revenues - Circuit Court Criminal - Court Costs</t>
  </si>
  <si>
    <t>Court-Related Revenues - County Court Civil - Filing Fees</t>
  </si>
  <si>
    <t>Court-Related Revenues - County Court Civil - Service Charges</t>
  </si>
  <si>
    <t>Court-Related Revenues - Circuit Court Civil - Filing Fees</t>
  </si>
  <si>
    <t>Court-Related Revenues - Circuit Court Civil - Service Charges</t>
  </si>
  <si>
    <t>Court-Related Revenues - Circuit Court Civil - Fees and Service Charges</t>
  </si>
  <si>
    <t>Court-Related Revenues - Traffic Court (Criminal and Civil) - Filing Fees</t>
  </si>
  <si>
    <t>Court-Related Revenues - Traffic Court (Criminal and Civil) - Service Charges</t>
  </si>
  <si>
    <t>Court-Related Revenues - Traffic Court (Criminal and Civil) - Court Costs</t>
  </si>
  <si>
    <t>Court-Related Revenues - Juvenile Court - Filing Fees</t>
  </si>
  <si>
    <t>Court-Related Revenues - Juvenile Court - Service Charges</t>
  </si>
  <si>
    <t>Court-Related Revenues - Probate Court - Filing Fees</t>
  </si>
  <si>
    <t>Court-Related Revenues - Probate Court - Service Charges</t>
  </si>
  <si>
    <t>Interest and Other Earnings - Gain (Loss) on Sale of Investments</t>
  </si>
  <si>
    <t>2014 Countywide Population:</t>
  </si>
  <si>
    <t>Local Fiscal Year Ended September 30, 2015</t>
  </si>
  <si>
    <t>State Grant - Court-Related Grants - Article V Clerk of Court Trust Fund</t>
  </si>
  <si>
    <t>2015 Countywide Population:</t>
  </si>
  <si>
    <t>Local Fiscal Year Ended September 30, 2007</t>
  </si>
  <si>
    <t>Franchise Fees, Licenses, and Permits</t>
  </si>
  <si>
    <t>Other Permits, Fees and Licenses</t>
  </si>
  <si>
    <t>Public Safety - Emergency Management Service Fees / Charges</t>
  </si>
  <si>
    <t>Special Assessments - Other</t>
  </si>
  <si>
    <t>Proprietary Non-Operating - Federal Grants and Donations</t>
  </si>
  <si>
    <t>2007 Countywide Population:</t>
  </si>
  <si>
    <t>Local Fiscal Year Ended September 30, 2006</t>
  </si>
  <si>
    <t>Permits, Fees, and Licenses</t>
  </si>
  <si>
    <t>Occupational Licenses</t>
  </si>
  <si>
    <t>Circuit Court Civil - Child Support</t>
  </si>
  <si>
    <t>Court-Ordered Judgments and Fines - As Decided by Juvenile Court</t>
  </si>
  <si>
    <t>Gain or Loss on Sale of Investments</t>
  </si>
  <si>
    <t>2006 Countywide Population:</t>
  </si>
  <si>
    <t>Local Fiscal Year Ended September 30, 2016</t>
  </si>
  <si>
    <t>2016 Countywide Population:</t>
  </si>
  <si>
    <t>Local Fiscal Year Ended September 30, 2017</t>
  </si>
  <si>
    <t>State Shared Revenues - General Government - Other General Government</t>
  </si>
  <si>
    <t>Court-Related Revenues - Circuit Court Criminal - Filing Fees</t>
  </si>
  <si>
    <t>2017 Countywide Population:</t>
  </si>
  <si>
    <t>Local Fiscal Year Ended September 30, 2018</t>
  </si>
  <si>
    <t>Federal Grant - Human Services - Public Assistance</t>
  </si>
  <si>
    <t>2018 Countywide Population:</t>
  </si>
  <si>
    <t>Local Fiscal Year Ended September 30, 2019</t>
  </si>
  <si>
    <t>2019 Countywide Population:</t>
  </si>
  <si>
    <t>Local Fiscal Year Ended September 30, 2020</t>
  </si>
  <si>
    <t>Other Financial Assistance - Federal Source</t>
  </si>
  <si>
    <t>2020 Countywide Population:</t>
  </si>
  <si>
    <t>Local Fiscal Year Ended September 30, 2021</t>
  </si>
  <si>
    <t>Federal Grant - Court-Related Grants - Other Court-Related</t>
  </si>
  <si>
    <t>State Grant - Physical Environment - Stormwater Management</t>
  </si>
  <si>
    <t>2021 Countywide Population:</t>
  </si>
  <si>
    <t>Per Capita Account</t>
  </si>
  <si>
    <t>Custodial</t>
  </si>
  <si>
    <t>Total Account</t>
  </si>
  <si>
    <t>General Government Taxes</t>
  </si>
  <si>
    <t>Tourist Development Taxes</t>
  </si>
  <si>
    <t>First Local Option Fuel Tax (1 to 6 Cents Local Option Fuel Tax)</t>
  </si>
  <si>
    <t>Charter County Transportation System Surtax</t>
  </si>
  <si>
    <t>Local Government Infrastructure Surtax</t>
  </si>
  <si>
    <t>Indigent Care and Trauma Surtax</t>
  </si>
  <si>
    <t>State Communications Services Taxes</t>
  </si>
  <si>
    <t>Building Permits (Buildling Permit Fees)</t>
  </si>
  <si>
    <t>Impact Fees - Residential - School</t>
  </si>
  <si>
    <t>Other Fees and Special Assessments</t>
  </si>
  <si>
    <t>Intergovernmental Revenues</t>
  </si>
  <si>
    <t>State Grant - Court-Related Grants - County Article V Trust Fund</t>
  </si>
  <si>
    <t>State Shared Revenues - General Government - County Revenue Sharing Program</t>
  </si>
  <si>
    <t>State Shared Revenues - General Government - Distribution of Sales and Use Taxes to Counties</t>
  </si>
  <si>
    <t>State Shared Revenues - General Government - Local Government Half-Cent Sales Tax Program</t>
  </si>
  <si>
    <t>State Shared Revenues - Transportation - Constitutional Fuel Tax (2 Cents Fuel Tax)</t>
  </si>
  <si>
    <t>State Shared Revenues - Transportation - County Fuel Tax (1 Cent Fuel Tax)</t>
  </si>
  <si>
    <t>Court-Related Revenues - Traffic Court - Filing Fees</t>
  </si>
  <si>
    <t>Court-Related Revenues - Traffic Court - Service Charges</t>
  </si>
  <si>
    <t>Court-Related Revenues - Traffic Court - Court Costs</t>
  </si>
  <si>
    <t>Other Charges for Services (Not Court-Related)</t>
  </si>
  <si>
    <t>Court-Ordered Judgments and Fines - Other</t>
  </si>
  <si>
    <t>Proprietary Non-Operating Sources - Capital Contributions from Other Public Source</t>
  </si>
  <si>
    <t>Local Fiscal Year Ended September 30, 2022</t>
  </si>
  <si>
    <t>Proceeds - Leases - Financial Agreements</t>
  </si>
  <si>
    <t>Proceeds - Leases</t>
  </si>
  <si>
    <t>2022 Countywide Population:</t>
  </si>
  <si>
    <t>Local Fiscal Year Ended September 30, 2023</t>
  </si>
  <si>
    <t>Federal Grant - American Rescue Plan Act Funds</t>
  </si>
  <si>
    <t>Intragovernmental Transfers from Constitutional Fee Officers - Clerk to the BOCC</t>
  </si>
  <si>
    <t>Intragovernmental Transfers from Constitutional Fee Officers - Supervisor of Elections to the BOCC</t>
  </si>
  <si>
    <t>2023 Countywide Population:</t>
  </si>
  <si>
    <t>Local Fiscal Year Ended September 30, 2024</t>
  </si>
  <si>
    <t>Proceeds - Installment Purchase</t>
  </si>
  <si>
    <t>2024 Countywide Population:</t>
  </si>
  <si>
    <t>Private Purpose</t>
  </si>
  <si>
    <t>Local Fiscal Year Ended September 30, 2025</t>
  </si>
  <si>
    <t>Permits - Other</t>
  </si>
  <si>
    <t>State Grant - Physical Environment - Water Supply System</t>
  </si>
  <si>
    <t>State Shared Revenues - Other</t>
  </si>
  <si>
    <t>2025 Countywide Population: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</si>
</sst>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</numFmts>
  <fonts count="11">
    <font>
      <sz val="12"/>
      <name val="Arial MT"/>
    </font>
    <font>
      <b/>
      <sz val="12"/>
      <name val="Arial MT"/>
      <family val="2"/>
    </font>
    <font>
      <b/>
      <sz val="10"/>
      <name val="Arial MT"/>
      <family val="2"/>
    </font>
    <font>
      <sz val="10"/>
      <name val="Arial MT"/>
      <family val="2"/>
    </font>
    <font>
      <b/>
      <u/>
      <sz val="10"/>
      <name val="Arial MT"/>
    </font>
    <font>
      <b/>
      <sz val="18"/>
      <name val="Arial MT"/>
    </font>
    <font>
      <b/>
      <sz val="10"/>
      <name val="Arial MT"/>
    </font>
    <font>
      <sz val="10"/>
      <name val="Arial MT"/>
    </font>
    <font>
      <b/>
      <sz val="12"/>
      <name val="Arial MT"/>
    </font>
    <font>
      <b/>
      <sz val="14"/>
      <name val="Arial MT"/>
      <family val="2"/>
    </font>
    <font>
      <b/>
      <sz val="22"/>
      <name val="Arial MT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37" fontId="3" fillId="0" borderId="0" xfId="0" applyNumberFormat="1" applyFont="1"/>
    <xf numFmtId="0" fontId="1" fillId="0" borderId="0" xfId="0" applyFont="1"/>
    <xf numFmtId="44" fontId="6" fillId="0" borderId="0" xfId="0" applyNumberFormat="1" applyFont="1"/>
    <xf numFmtId="0" fontId="5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43" fontId="3" fillId="0" borderId="0" xfId="0" applyNumberFormat="1" applyFont="1"/>
    <xf numFmtId="43" fontId="6" fillId="0" borderId="0" xfId="0" applyNumberFormat="1" applyFont="1"/>
    <xf numFmtId="0" fontId="3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42" fontId="1" fillId="2" borderId="3" xfId="0" applyNumberFormat="1" applyFont="1" applyFill="1" applyBorder="1" applyAlignment="1">
      <alignment vertical="center"/>
    </xf>
    <xf numFmtId="0" fontId="3" fillId="0" borderId="4" xfId="0" applyFont="1" applyBorder="1" applyAlignment="1">
      <alignment vertical="center"/>
    </xf>
    <xf numFmtId="37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164" fontId="3" fillId="0" borderId="8" xfId="0" applyNumberFormat="1" applyFont="1" applyBorder="1" applyAlignment="1">
      <alignment horizontal="center" vertical="center"/>
    </xf>
    <xf numFmtId="0" fontId="1" fillId="2" borderId="9" xfId="0" applyFont="1" applyFill="1" applyBorder="1" applyAlignment="1">
      <alignment vertical="center"/>
    </xf>
    <xf numFmtId="42" fontId="1" fillId="2" borderId="10" xfId="0" applyNumberFormat="1" applyFont="1" applyFill="1" applyBorder="1" applyAlignment="1">
      <alignment vertical="center"/>
    </xf>
    <xf numFmtId="42" fontId="1" fillId="2" borderId="1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42" fontId="1" fillId="2" borderId="12" xfId="0" applyNumberFormat="1" applyFont="1" applyFill="1" applyBorder="1" applyAlignment="1">
      <alignment vertical="center"/>
    </xf>
    <xf numFmtId="44" fontId="1" fillId="2" borderId="5" xfId="0" applyNumberFormat="1" applyFont="1" applyFill="1" applyBorder="1" applyAlignment="1">
      <alignment vertical="center"/>
    </xf>
    <xf numFmtId="37" fontId="8" fillId="2" borderId="13" xfId="0" applyNumberFormat="1" applyFont="1" applyFill="1" applyBorder="1" applyAlignment="1">
      <alignment horizontal="center" vertical="center" wrapText="1"/>
    </xf>
    <xf numFmtId="37" fontId="8" fillId="2" borderId="14" xfId="0" applyNumberFormat="1" applyFont="1" applyFill="1" applyBorder="1" applyAlignment="1">
      <alignment horizontal="center" vertical="center" wrapText="1"/>
    </xf>
    <xf numFmtId="0" fontId="9" fillId="2" borderId="15" xfId="0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  <xf numFmtId="44" fontId="1" fillId="2" borderId="17" xfId="0" applyNumberFormat="1" applyFont="1" applyFill="1" applyBorder="1" applyAlignment="1">
      <alignment vertical="center"/>
    </xf>
    <xf numFmtId="164" fontId="7" fillId="0" borderId="8" xfId="0" applyNumberFormat="1" applyFont="1" applyBorder="1" applyAlignment="1">
      <alignment horizontal="center" vertical="center"/>
    </xf>
    <xf numFmtId="0" fontId="3" fillId="0" borderId="18" xfId="0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37" fontId="3" fillId="0" borderId="19" xfId="0" applyNumberFormat="1" applyFont="1" applyBorder="1" applyAlignment="1">
      <alignment vertical="center"/>
    </xf>
    <xf numFmtId="41" fontId="3" fillId="0" borderId="20" xfId="0" applyNumberFormat="1" applyFont="1" applyBorder="1" applyAlignment="1">
      <alignment vertical="center"/>
    </xf>
    <xf numFmtId="42" fontId="1" fillId="2" borderId="8" xfId="0" applyNumberFormat="1" applyFont="1" applyFill="1" applyBorder="1" applyAlignment="1">
      <alignment vertical="center"/>
    </xf>
    <xf numFmtId="44" fontId="1" fillId="2" borderId="21" xfId="0" applyNumberFormat="1" applyFont="1" applyFill="1" applyBorder="1" applyAlignment="1">
      <alignment vertical="center"/>
    </xf>
    <xf numFmtId="42" fontId="3" fillId="0" borderId="12" xfId="0" applyNumberFormat="1" applyFont="1" applyBorder="1" applyAlignment="1">
      <alignment vertical="center"/>
    </xf>
    <xf numFmtId="44" fontId="3" fillId="0" borderId="21" xfId="0" applyNumberFormat="1" applyFont="1" applyBorder="1" applyAlignment="1">
      <alignment vertical="center"/>
    </xf>
    <xf numFmtId="42" fontId="0" fillId="0" borderId="0" xfId="0" applyNumberFormat="1"/>
    <xf numFmtId="37" fontId="3" fillId="0" borderId="19" xfId="0" applyNumberFormat="1" applyFont="1" applyBorder="1" applyAlignment="1">
      <alignment horizontal="right" vertical="center"/>
    </xf>
    <xf numFmtId="0" fontId="3" fillId="0" borderId="22" xfId="0" applyFont="1" applyBorder="1" applyAlignment="1">
      <alignment vertical="center" wrapText="1"/>
    </xf>
    <xf numFmtId="0" fontId="0" fillId="0" borderId="23" xfId="0" applyBorder="1" applyAlignment="1">
      <alignment vertical="center" wrapText="1"/>
    </xf>
    <xf numFmtId="0" fontId="0" fillId="0" borderId="24" xfId="0" applyBorder="1" applyAlignment="1">
      <alignment vertical="center" wrapText="1"/>
    </xf>
    <xf numFmtId="0" fontId="3" fillId="0" borderId="25" xfId="0" applyFont="1" applyBorder="1" applyAlignment="1">
      <alignment horizontal="left" vertical="center" wrapText="1"/>
    </xf>
    <xf numFmtId="0" fontId="0" fillId="0" borderId="26" xfId="0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10" fillId="0" borderId="28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8" fillId="2" borderId="28" xfId="0" applyFont="1" applyFill="1" applyBorder="1" applyAlignment="1">
      <alignment horizontal="left" vertical="center" wrapText="1"/>
    </xf>
    <xf numFmtId="0" fontId="0" fillId="0" borderId="15" xfId="0" applyBorder="1" applyAlignment="1">
      <alignment vertical="center" wrapText="1"/>
    </xf>
    <xf numFmtId="0" fontId="0" fillId="0" borderId="30" xfId="0" applyBorder="1" applyAlignment="1">
      <alignment vertical="center" wrapText="1"/>
    </xf>
    <xf numFmtId="0" fontId="0" fillId="0" borderId="25" xfId="0" applyBorder="1" applyAlignment="1">
      <alignment vertical="center" wrapText="1"/>
    </xf>
    <xf numFmtId="0" fontId="0" fillId="0" borderId="26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9" fillId="2" borderId="31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32" xfId="0" applyFont="1" applyFill="1" applyBorder="1" applyAlignment="1">
      <alignment horizontal="center" vertical="center"/>
    </xf>
    <xf numFmtId="37" fontId="8" fillId="2" borderId="33" xfId="0" applyNumberFormat="1" applyFont="1" applyFill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60495-6DE4-4ADC-B551-80C538009F13}">
  <sheetPr>
    <pageSetUpPr fitToPage="1"/>
  </sheetPr>
  <dimension ref="A1:EE138"/>
  <sheetViews>
    <sheetView tabSelected="1" workbookViewId="0">
      <selection sqref="A1:Q1"/>
    </sheetView>
  </sheetViews>
  <sheetFormatPr defaultColWidth="9.77734375" defaultRowHeight="15"/>
  <cols>
    <col min="1" max="1" width="2.77734375" style="3" customWidth="1"/>
    <col min="2" max="2" width="6.77734375" style="3" customWidth="1"/>
    <col min="3" max="3" width="65.77734375" style="3" customWidth="1"/>
    <col min="4" max="11" width="14.77734375" style="4" customWidth="1"/>
    <col min="12" max="15" width="13.77734375" style="4" customWidth="1"/>
    <col min="16" max="16" width="16.77734375" style="4" customWidth="1"/>
    <col min="17" max="17" width="13.77734375" style="3" customWidth="1"/>
    <col min="18" max="19" width="9.77734375" style="3"/>
  </cols>
  <sheetData>
    <row r="1" spans="1:135" ht="27.75">
      <c r="A1" s="55" t="s">
        <v>165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7"/>
      <c r="R1" s="7"/>
      <c r="S1"/>
    </row>
    <row r="2" spans="1:135" ht="24" thickBot="1">
      <c r="A2" s="58" t="s">
        <v>337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60"/>
      <c r="R2" s="7"/>
      <c r="S2"/>
    </row>
    <row r="3" spans="1:135" ht="18" customHeight="1">
      <c r="A3" s="61" t="s">
        <v>158</v>
      </c>
      <c r="B3" s="62"/>
      <c r="C3" s="63"/>
      <c r="D3" s="67" t="s">
        <v>71</v>
      </c>
      <c r="E3" s="68"/>
      <c r="F3" s="68"/>
      <c r="G3" s="68"/>
      <c r="H3" s="69"/>
      <c r="I3" s="67" t="s">
        <v>72</v>
      </c>
      <c r="J3" s="69"/>
      <c r="K3" s="67" t="s">
        <v>74</v>
      </c>
      <c r="L3" s="68"/>
      <c r="M3" s="68"/>
      <c r="N3" s="69"/>
      <c r="O3" s="35"/>
      <c r="P3" s="36"/>
      <c r="Q3" s="70" t="s">
        <v>298</v>
      </c>
      <c r="R3" s="5"/>
      <c r="S3"/>
    </row>
    <row r="4" spans="1:135" ht="32.25" customHeight="1" thickBot="1">
      <c r="A4" s="64"/>
      <c r="B4" s="65"/>
      <c r="C4" s="66"/>
      <c r="D4" s="33" t="s">
        <v>6</v>
      </c>
      <c r="E4" s="33" t="s">
        <v>159</v>
      </c>
      <c r="F4" s="33" t="s">
        <v>160</v>
      </c>
      <c r="G4" s="33" t="s">
        <v>161</v>
      </c>
      <c r="H4" s="33" t="s">
        <v>7</v>
      </c>
      <c r="I4" s="33" t="s">
        <v>8</v>
      </c>
      <c r="J4" s="34" t="s">
        <v>162</v>
      </c>
      <c r="K4" s="34" t="s">
        <v>299</v>
      </c>
      <c r="L4" s="34" t="s">
        <v>9</v>
      </c>
      <c r="M4" s="34" t="s">
        <v>10</v>
      </c>
      <c r="N4" s="34" t="s">
        <v>336</v>
      </c>
      <c r="O4" s="34" t="s">
        <v>11</v>
      </c>
      <c r="P4" s="34" t="s">
        <v>300</v>
      </c>
      <c r="Q4" s="71"/>
      <c r="R4" s="8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</row>
    <row r="5" spans="1:135" ht="15.75">
      <c r="A5" s="23" t="s">
        <v>301</v>
      </c>
      <c r="B5" s="25"/>
      <c r="C5" s="25"/>
      <c r="D5" s="26">
        <f t="shared" ref="D5:O5" si="0">SUM(D6:D13)</f>
        <v>1338813589</v>
      </c>
      <c r="E5" s="26">
        <f t="shared" si="0"/>
        <v>663046440</v>
      </c>
      <c r="F5" s="26">
        <f t="shared" si="0"/>
        <v>12296395</v>
      </c>
      <c r="G5" s="26">
        <f t="shared" si="0"/>
        <v>0</v>
      </c>
      <c r="H5" s="26">
        <f t="shared" si="0"/>
        <v>0</v>
      </c>
      <c r="I5" s="26">
        <f t="shared" si="0"/>
        <v>0</v>
      </c>
      <c r="J5" s="26">
        <f t="shared" si="0"/>
        <v>0</v>
      </c>
      <c r="K5" s="26">
        <f t="shared" si="0"/>
        <v>0</v>
      </c>
      <c r="L5" s="26">
        <f t="shared" si="0"/>
        <v>0</v>
      </c>
      <c r="M5" s="26">
        <f t="shared" si="0"/>
        <v>0</v>
      </c>
      <c r="N5" s="26">
        <f t="shared" si="0"/>
        <v>0</v>
      </c>
      <c r="O5" s="26">
        <f t="shared" si="0"/>
        <v>0</v>
      </c>
      <c r="P5" s="27">
        <f>SUM(D5:O5)</f>
        <v>2014156424</v>
      </c>
      <c r="Q5" s="32">
        <f t="shared" ref="Q5:Q36" si="1">(P5/Q$136)</f>
        <v>1278.312469179132</v>
      </c>
      <c r="R5" s="6"/>
    </row>
    <row r="6" spans="1:135">
      <c r="A6" s="11"/>
      <c r="B6" s="24">
        <v>311</v>
      </c>
      <c r="C6" s="19" t="s">
        <v>3</v>
      </c>
      <c r="D6" s="45">
        <v>1336984429</v>
      </c>
      <c r="E6" s="45">
        <v>86252796</v>
      </c>
      <c r="F6" s="45">
        <v>12296395</v>
      </c>
      <c r="G6" s="45">
        <v>0</v>
      </c>
      <c r="H6" s="45">
        <v>0</v>
      </c>
      <c r="I6" s="45">
        <v>0</v>
      </c>
      <c r="J6" s="45">
        <v>0</v>
      </c>
      <c r="K6" s="45">
        <v>0</v>
      </c>
      <c r="L6" s="45">
        <v>0</v>
      </c>
      <c r="M6" s="45">
        <v>0</v>
      </c>
      <c r="N6" s="45">
        <v>0</v>
      </c>
      <c r="O6" s="45">
        <v>0</v>
      </c>
      <c r="P6" s="45">
        <f>SUM(D6:O6)</f>
        <v>1435533620</v>
      </c>
      <c r="Q6" s="46">
        <f t="shared" si="1"/>
        <v>911.08143563523834</v>
      </c>
      <c r="R6" s="9"/>
    </row>
    <row r="7" spans="1:135">
      <c r="A7" s="11"/>
      <c r="B7" s="24">
        <v>312.13</v>
      </c>
      <c r="C7" s="19" t="s">
        <v>302</v>
      </c>
      <c r="D7" s="45">
        <v>0</v>
      </c>
      <c r="E7" s="45">
        <v>68215861</v>
      </c>
      <c r="F7" s="45">
        <v>0</v>
      </c>
      <c r="G7" s="45">
        <v>0</v>
      </c>
      <c r="H7" s="45">
        <v>0</v>
      </c>
      <c r="I7" s="45">
        <v>0</v>
      </c>
      <c r="J7" s="45">
        <v>0</v>
      </c>
      <c r="K7" s="45">
        <v>0</v>
      </c>
      <c r="L7" s="45">
        <v>0</v>
      </c>
      <c r="M7" s="45">
        <v>0</v>
      </c>
      <c r="N7" s="45">
        <v>0</v>
      </c>
      <c r="O7" s="45">
        <v>0</v>
      </c>
      <c r="P7" s="45">
        <f t="shared" ref="P7:P13" si="2">SUM(D7:O7)</f>
        <v>68215861</v>
      </c>
      <c r="Q7" s="46">
        <f t="shared" si="1"/>
        <v>43.294147700263451</v>
      </c>
      <c r="R7" s="9"/>
    </row>
    <row r="8" spans="1:135">
      <c r="A8" s="11"/>
      <c r="B8" s="24">
        <v>312.3</v>
      </c>
      <c r="C8" s="19" t="s">
        <v>13</v>
      </c>
      <c r="D8" s="45">
        <v>0</v>
      </c>
      <c r="E8" s="45">
        <v>7546939</v>
      </c>
      <c r="F8" s="45">
        <v>0</v>
      </c>
      <c r="G8" s="45">
        <v>0</v>
      </c>
      <c r="H8" s="45">
        <v>0</v>
      </c>
      <c r="I8" s="45">
        <v>0</v>
      </c>
      <c r="J8" s="45">
        <v>0</v>
      </c>
      <c r="K8" s="45">
        <v>0</v>
      </c>
      <c r="L8" s="45">
        <v>0</v>
      </c>
      <c r="M8" s="45">
        <v>0</v>
      </c>
      <c r="N8" s="45">
        <v>0</v>
      </c>
      <c r="O8" s="45">
        <v>0</v>
      </c>
      <c r="P8" s="45">
        <f t="shared" si="2"/>
        <v>7546939</v>
      </c>
      <c r="Q8" s="46">
        <f t="shared" si="1"/>
        <v>4.7897701056778939</v>
      </c>
      <c r="R8" s="9"/>
    </row>
    <row r="9" spans="1:135">
      <c r="A9" s="11"/>
      <c r="B9" s="24">
        <v>312.41000000000003</v>
      </c>
      <c r="C9" s="19" t="s">
        <v>303</v>
      </c>
      <c r="D9" s="45">
        <v>0</v>
      </c>
      <c r="E9" s="45">
        <v>29050499</v>
      </c>
      <c r="F9" s="45">
        <v>0</v>
      </c>
      <c r="G9" s="45">
        <v>0</v>
      </c>
      <c r="H9" s="45">
        <v>0</v>
      </c>
      <c r="I9" s="45">
        <v>0</v>
      </c>
      <c r="J9" s="45">
        <v>0</v>
      </c>
      <c r="K9" s="45">
        <v>0</v>
      </c>
      <c r="L9" s="45">
        <v>0</v>
      </c>
      <c r="M9" s="45">
        <v>0</v>
      </c>
      <c r="N9" s="45">
        <v>0</v>
      </c>
      <c r="O9" s="45">
        <v>0</v>
      </c>
      <c r="P9" s="45">
        <f t="shared" si="2"/>
        <v>29050499</v>
      </c>
      <c r="Q9" s="46">
        <f t="shared" si="1"/>
        <v>18.437304404504339</v>
      </c>
      <c r="R9" s="9"/>
    </row>
    <row r="10" spans="1:135">
      <c r="A10" s="11"/>
      <c r="B10" s="24">
        <v>312.63</v>
      </c>
      <c r="C10" s="19" t="s">
        <v>305</v>
      </c>
      <c r="D10" s="45">
        <v>0</v>
      </c>
      <c r="E10" s="45">
        <v>225523221</v>
      </c>
      <c r="F10" s="45">
        <v>0</v>
      </c>
      <c r="G10" s="45">
        <v>0</v>
      </c>
      <c r="H10" s="45">
        <v>0</v>
      </c>
      <c r="I10" s="45">
        <v>0</v>
      </c>
      <c r="J10" s="45">
        <v>0</v>
      </c>
      <c r="K10" s="45">
        <v>0</v>
      </c>
      <c r="L10" s="45">
        <v>0</v>
      </c>
      <c r="M10" s="45">
        <v>0</v>
      </c>
      <c r="N10" s="45">
        <v>0</v>
      </c>
      <c r="O10" s="45">
        <v>0</v>
      </c>
      <c r="P10" s="45">
        <f t="shared" si="2"/>
        <v>225523221</v>
      </c>
      <c r="Q10" s="46">
        <f t="shared" si="1"/>
        <v>143.13145794367611</v>
      </c>
      <c r="R10" s="9"/>
    </row>
    <row r="11" spans="1:135">
      <c r="A11" s="11"/>
      <c r="B11" s="24">
        <v>312.64999999999998</v>
      </c>
      <c r="C11" s="19" t="s">
        <v>306</v>
      </c>
      <c r="D11" s="45">
        <v>0</v>
      </c>
      <c r="E11" s="45">
        <v>225534483</v>
      </c>
      <c r="F11" s="45">
        <v>0</v>
      </c>
      <c r="G11" s="45">
        <v>0</v>
      </c>
      <c r="H11" s="45">
        <v>0</v>
      </c>
      <c r="I11" s="45">
        <v>0</v>
      </c>
      <c r="J11" s="45">
        <v>0</v>
      </c>
      <c r="K11" s="45">
        <v>0</v>
      </c>
      <c r="L11" s="45">
        <v>0</v>
      </c>
      <c r="M11" s="45">
        <v>0</v>
      </c>
      <c r="N11" s="45">
        <v>0</v>
      </c>
      <c r="O11" s="45">
        <v>0</v>
      </c>
      <c r="P11" s="45">
        <f t="shared" si="2"/>
        <v>225534483</v>
      </c>
      <c r="Q11" s="46">
        <f t="shared" si="1"/>
        <v>143.13860552906539</v>
      </c>
      <c r="R11" s="9"/>
    </row>
    <row r="12" spans="1:135">
      <c r="A12" s="11"/>
      <c r="B12" s="24">
        <v>315.10000000000002</v>
      </c>
      <c r="C12" s="19" t="s">
        <v>307</v>
      </c>
      <c r="D12" s="45">
        <v>0</v>
      </c>
      <c r="E12" s="45">
        <v>20821216</v>
      </c>
      <c r="F12" s="45">
        <v>0</v>
      </c>
      <c r="G12" s="45">
        <v>0</v>
      </c>
      <c r="H12" s="45">
        <v>0</v>
      </c>
      <c r="I12" s="45">
        <v>0</v>
      </c>
      <c r="J12" s="45">
        <v>0</v>
      </c>
      <c r="K12" s="45">
        <v>0</v>
      </c>
      <c r="L12" s="45">
        <v>0</v>
      </c>
      <c r="M12" s="45">
        <v>0</v>
      </c>
      <c r="N12" s="45">
        <v>0</v>
      </c>
      <c r="O12" s="45">
        <v>0</v>
      </c>
      <c r="P12" s="45">
        <f t="shared" si="2"/>
        <v>20821216</v>
      </c>
      <c r="Q12" s="46">
        <f t="shared" si="1"/>
        <v>13.214475161474375</v>
      </c>
      <c r="R12" s="9"/>
    </row>
    <row r="13" spans="1:135">
      <c r="A13" s="11"/>
      <c r="B13" s="24">
        <v>316</v>
      </c>
      <c r="C13" s="19" t="s">
        <v>203</v>
      </c>
      <c r="D13" s="45">
        <v>1829160</v>
      </c>
      <c r="E13" s="45">
        <v>101425</v>
      </c>
      <c r="F13" s="45">
        <v>0</v>
      </c>
      <c r="G13" s="45">
        <v>0</v>
      </c>
      <c r="H13" s="45">
        <v>0</v>
      </c>
      <c r="I13" s="45">
        <v>0</v>
      </c>
      <c r="J13" s="45">
        <v>0</v>
      </c>
      <c r="K13" s="45">
        <v>0</v>
      </c>
      <c r="L13" s="45">
        <v>0</v>
      </c>
      <c r="M13" s="45">
        <v>0</v>
      </c>
      <c r="N13" s="45">
        <v>0</v>
      </c>
      <c r="O13" s="45">
        <v>0</v>
      </c>
      <c r="P13" s="45">
        <f t="shared" si="2"/>
        <v>1930585</v>
      </c>
      <c r="Q13" s="46">
        <f t="shared" si="1"/>
        <v>1.2252726992321201</v>
      </c>
      <c r="R13" s="9"/>
    </row>
    <row r="14" spans="1:135" ht="15.75">
      <c r="A14" s="28" t="s">
        <v>18</v>
      </c>
      <c r="B14" s="29"/>
      <c r="C14" s="30"/>
      <c r="D14" s="31">
        <f t="shared" ref="D14:O14" si="3">SUM(D15:D25)</f>
        <v>80524994</v>
      </c>
      <c r="E14" s="31">
        <f t="shared" si="3"/>
        <v>225878822</v>
      </c>
      <c r="F14" s="31">
        <f t="shared" si="3"/>
        <v>0</v>
      </c>
      <c r="G14" s="31">
        <f t="shared" si="3"/>
        <v>0</v>
      </c>
      <c r="H14" s="31">
        <f t="shared" si="3"/>
        <v>0</v>
      </c>
      <c r="I14" s="31">
        <f t="shared" si="3"/>
        <v>257719</v>
      </c>
      <c r="J14" s="31">
        <f t="shared" si="3"/>
        <v>0</v>
      </c>
      <c r="K14" s="31">
        <f t="shared" si="3"/>
        <v>0</v>
      </c>
      <c r="L14" s="31">
        <f t="shared" si="3"/>
        <v>0</v>
      </c>
      <c r="M14" s="31">
        <f t="shared" si="3"/>
        <v>0</v>
      </c>
      <c r="N14" s="31">
        <f t="shared" si="3"/>
        <v>0</v>
      </c>
      <c r="O14" s="31">
        <f t="shared" si="3"/>
        <v>0</v>
      </c>
      <c r="P14" s="43">
        <f>SUM(D14:O14)</f>
        <v>306661535</v>
      </c>
      <c r="Q14" s="44">
        <f t="shared" si="1"/>
        <v>194.62702069067939</v>
      </c>
      <c r="R14" s="10"/>
    </row>
    <row r="15" spans="1:135">
      <c r="A15" s="11"/>
      <c r="B15" s="24">
        <v>322</v>
      </c>
      <c r="C15" s="19" t="s">
        <v>308</v>
      </c>
      <c r="D15" s="45">
        <v>0</v>
      </c>
      <c r="E15" s="45">
        <v>23128749</v>
      </c>
      <c r="F15" s="45">
        <v>0</v>
      </c>
      <c r="G15" s="45">
        <v>0</v>
      </c>
      <c r="H15" s="45">
        <v>0</v>
      </c>
      <c r="I15" s="45">
        <v>69965</v>
      </c>
      <c r="J15" s="45">
        <v>0</v>
      </c>
      <c r="K15" s="45">
        <v>0</v>
      </c>
      <c r="L15" s="45">
        <v>0</v>
      </c>
      <c r="M15" s="45">
        <v>0</v>
      </c>
      <c r="N15" s="45">
        <v>0</v>
      </c>
      <c r="O15" s="45">
        <v>0</v>
      </c>
      <c r="P15" s="45">
        <f>SUM(D15:O15)</f>
        <v>23198714</v>
      </c>
      <c r="Q15" s="46">
        <f t="shared" si="1"/>
        <v>14.723387429972767</v>
      </c>
      <c r="R15" s="9"/>
    </row>
    <row r="16" spans="1:135">
      <c r="A16" s="11"/>
      <c r="B16" s="24">
        <v>322.89999999999998</v>
      </c>
      <c r="C16" s="19" t="s">
        <v>338</v>
      </c>
      <c r="D16" s="45">
        <v>0</v>
      </c>
      <c r="E16" s="45">
        <v>0</v>
      </c>
      <c r="F16" s="45">
        <v>0</v>
      </c>
      <c r="G16" s="45">
        <v>0</v>
      </c>
      <c r="H16" s="45">
        <v>0</v>
      </c>
      <c r="I16" s="45">
        <v>1275</v>
      </c>
      <c r="J16" s="45">
        <v>0</v>
      </c>
      <c r="K16" s="45">
        <v>0</v>
      </c>
      <c r="L16" s="45">
        <v>0</v>
      </c>
      <c r="M16" s="45">
        <v>0</v>
      </c>
      <c r="N16" s="45">
        <v>0</v>
      </c>
      <c r="O16" s="45">
        <v>0</v>
      </c>
      <c r="P16" s="45">
        <f t="shared" ref="P16:P25" si="4">SUM(D16:O16)</f>
        <v>1275</v>
      </c>
      <c r="Q16" s="46">
        <f t="shared" si="1"/>
        <v>8.0919653448097498E-4</v>
      </c>
      <c r="R16" s="9"/>
    </row>
    <row r="17" spans="1:18">
      <c r="A17" s="11"/>
      <c r="B17" s="24">
        <v>324.11</v>
      </c>
      <c r="C17" s="19" t="s">
        <v>21</v>
      </c>
      <c r="D17" s="45">
        <v>959449</v>
      </c>
      <c r="E17" s="45">
        <v>0</v>
      </c>
      <c r="F17" s="45">
        <v>0</v>
      </c>
      <c r="G17" s="45">
        <v>0</v>
      </c>
      <c r="H17" s="45">
        <v>0</v>
      </c>
      <c r="I17" s="45">
        <v>0</v>
      </c>
      <c r="J17" s="45">
        <v>0</v>
      </c>
      <c r="K17" s="45">
        <v>0</v>
      </c>
      <c r="L17" s="45">
        <v>0</v>
      </c>
      <c r="M17" s="45">
        <v>0</v>
      </c>
      <c r="N17" s="45">
        <v>0</v>
      </c>
      <c r="O17" s="45">
        <v>0</v>
      </c>
      <c r="P17" s="45">
        <f t="shared" si="4"/>
        <v>959449</v>
      </c>
      <c r="Q17" s="46">
        <f t="shared" si="1"/>
        <v>0.60892769083234277</v>
      </c>
      <c r="R17" s="9"/>
    </row>
    <row r="18" spans="1:18">
      <c r="A18" s="11"/>
      <c r="B18" s="24">
        <v>324.12</v>
      </c>
      <c r="C18" s="19" t="s">
        <v>180</v>
      </c>
      <c r="D18" s="45">
        <v>205258</v>
      </c>
      <c r="E18" s="45">
        <v>0</v>
      </c>
      <c r="F18" s="45">
        <v>0</v>
      </c>
      <c r="G18" s="45">
        <v>0</v>
      </c>
      <c r="H18" s="45">
        <v>0</v>
      </c>
      <c r="I18" s="45">
        <v>0</v>
      </c>
      <c r="J18" s="45">
        <v>0</v>
      </c>
      <c r="K18" s="45">
        <v>0</v>
      </c>
      <c r="L18" s="45">
        <v>0</v>
      </c>
      <c r="M18" s="45">
        <v>0</v>
      </c>
      <c r="N18" s="45">
        <v>0</v>
      </c>
      <c r="O18" s="45">
        <v>0</v>
      </c>
      <c r="P18" s="45">
        <f t="shared" si="4"/>
        <v>205258</v>
      </c>
      <c r="Q18" s="46">
        <f t="shared" si="1"/>
        <v>0.13026985276431055</v>
      </c>
      <c r="R18" s="9"/>
    </row>
    <row r="19" spans="1:18" ht="14.25" customHeight="1">
      <c r="A19" s="11"/>
      <c r="B19" s="24">
        <v>324.31</v>
      </c>
      <c r="C19" s="19" t="s">
        <v>23</v>
      </c>
      <c r="D19" s="45">
        <v>28894485</v>
      </c>
      <c r="E19" s="45">
        <v>0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5">
        <v>0</v>
      </c>
      <c r="L19" s="45">
        <v>0</v>
      </c>
      <c r="M19" s="45">
        <v>0</v>
      </c>
      <c r="N19" s="45">
        <v>0</v>
      </c>
      <c r="O19" s="45">
        <v>0</v>
      </c>
      <c r="P19" s="45">
        <f t="shared" si="4"/>
        <v>28894485</v>
      </c>
      <c r="Q19" s="46">
        <f t="shared" si="1"/>
        <v>18.338287943225502</v>
      </c>
      <c r="R19" s="9"/>
    </row>
    <row r="20" spans="1:18" ht="14.25" customHeight="1">
      <c r="A20" s="11"/>
      <c r="B20" s="24">
        <v>324.32</v>
      </c>
      <c r="C20" s="19" t="s">
        <v>167</v>
      </c>
      <c r="D20" s="45">
        <v>12371860</v>
      </c>
      <c r="E20" s="45">
        <v>0</v>
      </c>
      <c r="F20" s="45">
        <v>0</v>
      </c>
      <c r="G20" s="45">
        <v>0</v>
      </c>
      <c r="H20" s="45">
        <v>0</v>
      </c>
      <c r="I20" s="45">
        <v>0</v>
      </c>
      <c r="J20" s="45">
        <v>0</v>
      </c>
      <c r="K20" s="45">
        <v>0</v>
      </c>
      <c r="L20" s="45">
        <v>0</v>
      </c>
      <c r="M20" s="45">
        <v>0</v>
      </c>
      <c r="N20" s="45">
        <v>0</v>
      </c>
      <c r="O20" s="45">
        <v>0</v>
      </c>
      <c r="P20" s="45">
        <f t="shared" si="4"/>
        <v>12371860</v>
      </c>
      <c r="Q20" s="46">
        <f t="shared" si="1"/>
        <v>7.8519735192814082</v>
      </c>
      <c r="R20" s="9"/>
    </row>
    <row r="21" spans="1:18">
      <c r="A21" s="11"/>
      <c r="B21" s="24">
        <v>324.61</v>
      </c>
      <c r="C21" s="19" t="s">
        <v>24</v>
      </c>
      <c r="D21" s="45">
        <v>7083182</v>
      </c>
      <c r="E21" s="45">
        <v>0</v>
      </c>
      <c r="F21" s="45">
        <v>0</v>
      </c>
      <c r="G21" s="45">
        <v>0</v>
      </c>
      <c r="H21" s="45">
        <v>0</v>
      </c>
      <c r="I21" s="45">
        <v>0</v>
      </c>
      <c r="J21" s="45">
        <v>0</v>
      </c>
      <c r="K21" s="45">
        <v>0</v>
      </c>
      <c r="L21" s="45">
        <v>0</v>
      </c>
      <c r="M21" s="45">
        <v>0</v>
      </c>
      <c r="N21" s="45">
        <v>0</v>
      </c>
      <c r="O21" s="45">
        <v>0</v>
      </c>
      <c r="P21" s="45">
        <f t="shared" si="4"/>
        <v>7083182</v>
      </c>
      <c r="Q21" s="46">
        <f t="shared" si="1"/>
        <v>4.4954402568611931</v>
      </c>
      <c r="R21" s="9"/>
    </row>
    <row r="22" spans="1:18">
      <c r="A22" s="11"/>
      <c r="B22" s="24">
        <v>324.81</v>
      </c>
      <c r="C22" s="19" t="s">
        <v>309</v>
      </c>
      <c r="D22" s="45">
        <v>30178514</v>
      </c>
      <c r="E22" s="45">
        <v>0</v>
      </c>
      <c r="F22" s="45">
        <v>0</v>
      </c>
      <c r="G22" s="45">
        <v>0</v>
      </c>
      <c r="H22" s="45">
        <v>0</v>
      </c>
      <c r="I22" s="45">
        <v>0</v>
      </c>
      <c r="J22" s="45">
        <v>0</v>
      </c>
      <c r="K22" s="45">
        <v>0</v>
      </c>
      <c r="L22" s="45">
        <v>0</v>
      </c>
      <c r="M22" s="45">
        <v>0</v>
      </c>
      <c r="N22" s="45">
        <v>0</v>
      </c>
      <c r="O22" s="45">
        <v>0</v>
      </c>
      <c r="P22" s="45">
        <f t="shared" si="4"/>
        <v>30178514</v>
      </c>
      <c r="Q22" s="46">
        <f t="shared" si="1"/>
        <v>19.153214858498501</v>
      </c>
      <c r="R22" s="9"/>
    </row>
    <row r="23" spans="1:18">
      <c r="A23" s="11"/>
      <c r="B23" s="24">
        <v>325.10000000000002</v>
      </c>
      <c r="C23" s="19" t="s">
        <v>25</v>
      </c>
      <c r="D23" s="45">
        <v>0</v>
      </c>
      <c r="E23" s="45">
        <v>36319650</v>
      </c>
      <c r="F23" s="45">
        <v>0</v>
      </c>
      <c r="G23" s="45">
        <v>0</v>
      </c>
      <c r="H23" s="45">
        <v>0</v>
      </c>
      <c r="I23" s="45">
        <v>186479</v>
      </c>
      <c r="J23" s="45">
        <v>0</v>
      </c>
      <c r="K23" s="45">
        <v>0</v>
      </c>
      <c r="L23" s="45">
        <v>0</v>
      </c>
      <c r="M23" s="45">
        <v>0</v>
      </c>
      <c r="N23" s="45">
        <v>0</v>
      </c>
      <c r="O23" s="45">
        <v>0</v>
      </c>
      <c r="P23" s="45">
        <f t="shared" si="4"/>
        <v>36506129</v>
      </c>
      <c r="Q23" s="46">
        <f t="shared" si="1"/>
        <v>23.169123979698369</v>
      </c>
      <c r="R23" s="9"/>
    </row>
    <row r="24" spans="1:18">
      <c r="A24" s="11"/>
      <c r="B24" s="24">
        <v>325.2</v>
      </c>
      <c r="C24" s="19" t="s">
        <v>26</v>
      </c>
      <c r="D24" s="45">
        <v>0</v>
      </c>
      <c r="E24" s="45">
        <v>165888014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5">
        <v>0</v>
      </c>
      <c r="L24" s="45">
        <v>0</v>
      </c>
      <c r="M24" s="45">
        <v>0</v>
      </c>
      <c r="N24" s="45">
        <v>0</v>
      </c>
      <c r="O24" s="45">
        <v>0</v>
      </c>
      <c r="P24" s="45">
        <f t="shared" si="4"/>
        <v>165888014</v>
      </c>
      <c r="Q24" s="46">
        <f t="shared" si="1"/>
        <v>105.28314199273056</v>
      </c>
      <c r="R24" s="9"/>
    </row>
    <row r="25" spans="1:18">
      <c r="A25" s="11"/>
      <c r="B25" s="24">
        <v>329.5</v>
      </c>
      <c r="C25" s="19" t="s">
        <v>310</v>
      </c>
      <c r="D25" s="45">
        <v>832246</v>
      </c>
      <c r="E25" s="45">
        <v>542409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f t="shared" si="4"/>
        <v>1374655</v>
      </c>
      <c r="Q25" s="46">
        <f t="shared" si="1"/>
        <v>0.87244397027995657</v>
      </c>
      <c r="R25" s="9"/>
    </row>
    <row r="26" spans="1:18" ht="15.75">
      <c r="A26" s="28" t="s">
        <v>311</v>
      </c>
      <c r="B26" s="29"/>
      <c r="C26" s="30"/>
      <c r="D26" s="31">
        <f t="shared" ref="D26:O26" si="5">SUM(D27:D67)</f>
        <v>68550483</v>
      </c>
      <c r="E26" s="31">
        <f t="shared" si="5"/>
        <v>477887001</v>
      </c>
      <c r="F26" s="31">
        <f t="shared" si="5"/>
        <v>0</v>
      </c>
      <c r="G26" s="31">
        <f t="shared" si="5"/>
        <v>0</v>
      </c>
      <c r="H26" s="31">
        <f t="shared" si="5"/>
        <v>0</v>
      </c>
      <c r="I26" s="31">
        <f t="shared" si="5"/>
        <v>2557056</v>
      </c>
      <c r="J26" s="31">
        <f t="shared" si="5"/>
        <v>50452</v>
      </c>
      <c r="K26" s="31">
        <f t="shared" si="5"/>
        <v>0</v>
      </c>
      <c r="L26" s="31">
        <f t="shared" si="5"/>
        <v>0</v>
      </c>
      <c r="M26" s="31">
        <f t="shared" si="5"/>
        <v>0</v>
      </c>
      <c r="N26" s="31">
        <f t="shared" si="5"/>
        <v>0</v>
      </c>
      <c r="O26" s="31">
        <f t="shared" si="5"/>
        <v>9181407</v>
      </c>
      <c r="P26" s="43">
        <f>SUM(D26:O26)</f>
        <v>558226399</v>
      </c>
      <c r="Q26" s="44">
        <f t="shared" si="1"/>
        <v>354.28617060909335</v>
      </c>
      <c r="R26" s="10"/>
    </row>
    <row r="27" spans="1:18">
      <c r="A27" s="11"/>
      <c r="B27" s="24">
        <v>331.1</v>
      </c>
      <c r="C27" s="19" t="s">
        <v>28</v>
      </c>
      <c r="D27" s="45">
        <v>1572999</v>
      </c>
      <c r="E27" s="45">
        <v>60060018</v>
      </c>
      <c r="F27" s="45">
        <v>0</v>
      </c>
      <c r="G27" s="45">
        <v>0</v>
      </c>
      <c r="H27" s="45">
        <v>0</v>
      </c>
      <c r="I27" s="45">
        <v>0</v>
      </c>
      <c r="J27" s="45">
        <v>0</v>
      </c>
      <c r="K27" s="45">
        <v>0</v>
      </c>
      <c r="L27" s="45">
        <v>0</v>
      </c>
      <c r="M27" s="45">
        <v>0</v>
      </c>
      <c r="N27" s="45">
        <v>0</v>
      </c>
      <c r="O27" s="45">
        <v>0</v>
      </c>
      <c r="P27" s="45">
        <f>SUM(D27:O27)</f>
        <v>61633017</v>
      </c>
      <c r="Q27" s="46">
        <f t="shared" si="1"/>
        <v>39.116253934123151</v>
      </c>
      <c r="R27" s="9"/>
    </row>
    <row r="28" spans="1:18">
      <c r="A28" s="11"/>
      <c r="B28" s="24">
        <v>331.2</v>
      </c>
      <c r="C28" s="19" t="s">
        <v>29</v>
      </c>
      <c r="D28" s="45">
        <v>7700885</v>
      </c>
      <c r="E28" s="45">
        <v>8506068</v>
      </c>
      <c r="F28" s="45">
        <v>0</v>
      </c>
      <c r="G28" s="45">
        <v>0</v>
      </c>
      <c r="H28" s="45">
        <v>0</v>
      </c>
      <c r="I28" s="45">
        <v>0</v>
      </c>
      <c r="J28" s="45">
        <v>0</v>
      </c>
      <c r="K28" s="45">
        <v>0</v>
      </c>
      <c r="L28" s="45">
        <v>0</v>
      </c>
      <c r="M28" s="45">
        <v>0</v>
      </c>
      <c r="N28" s="45">
        <v>0</v>
      </c>
      <c r="O28" s="45">
        <v>0</v>
      </c>
      <c r="P28" s="45">
        <f>SUM(D28:O28)</f>
        <v>16206953</v>
      </c>
      <c r="Q28" s="46">
        <f t="shared" si="1"/>
        <v>10.28596878595768</v>
      </c>
      <c r="R28" s="9"/>
    </row>
    <row r="29" spans="1:18">
      <c r="A29" s="11"/>
      <c r="B29" s="24">
        <v>331.39</v>
      </c>
      <c r="C29" s="19" t="s">
        <v>35</v>
      </c>
      <c r="D29" s="45">
        <v>0</v>
      </c>
      <c r="E29" s="45">
        <v>637722</v>
      </c>
      <c r="F29" s="45">
        <v>0</v>
      </c>
      <c r="G29" s="45">
        <v>0</v>
      </c>
      <c r="H29" s="45">
        <v>0</v>
      </c>
      <c r="I29" s="45">
        <v>0</v>
      </c>
      <c r="J29" s="45">
        <v>0</v>
      </c>
      <c r="K29" s="45">
        <v>0</v>
      </c>
      <c r="L29" s="45">
        <v>0</v>
      </c>
      <c r="M29" s="45">
        <v>0</v>
      </c>
      <c r="N29" s="45">
        <v>0</v>
      </c>
      <c r="O29" s="45">
        <v>0</v>
      </c>
      <c r="P29" s="45">
        <f t="shared" ref="P29:P55" si="6">SUM(D29:O29)</f>
        <v>637722</v>
      </c>
      <c r="Q29" s="46">
        <f t="shared" si="1"/>
        <v>0.40473916263707949</v>
      </c>
      <c r="R29" s="9"/>
    </row>
    <row r="30" spans="1:18">
      <c r="A30" s="11"/>
      <c r="B30" s="24">
        <v>331.49</v>
      </c>
      <c r="C30" s="19" t="s">
        <v>36</v>
      </c>
      <c r="D30" s="45">
        <v>0</v>
      </c>
      <c r="E30" s="45">
        <v>2778020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v>0</v>
      </c>
      <c r="O30" s="45">
        <v>0</v>
      </c>
      <c r="P30" s="45">
        <f t="shared" si="6"/>
        <v>2778020</v>
      </c>
      <c r="Q30" s="46">
        <f t="shared" si="1"/>
        <v>1.7631091425245788</v>
      </c>
      <c r="R30" s="9"/>
    </row>
    <row r="31" spans="1:18">
      <c r="A31" s="11"/>
      <c r="B31" s="24">
        <v>331.5</v>
      </c>
      <c r="C31" s="19" t="s">
        <v>31</v>
      </c>
      <c r="D31" s="45">
        <v>0</v>
      </c>
      <c r="E31" s="45">
        <v>112759343</v>
      </c>
      <c r="F31" s="45">
        <v>0</v>
      </c>
      <c r="G31" s="45">
        <v>0</v>
      </c>
      <c r="H31" s="45">
        <v>0</v>
      </c>
      <c r="I31" s="45">
        <v>0</v>
      </c>
      <c r="J31" s="45">
        <v>0</v>
      </c>
      <c r="K31" s="45">
        <v>0</v>
      </c>
      <c r="L31" s="45">
        <v>0</v>
      </c>
      <c r="M31" s="45">
        <v>0</v>
      </c>
      <c r="N31" s="45">
        <v>0</v>
      </c>
      <c r="O31" s="45">
        <v>0</v>
      </c>
      <c r="P31" s="45">
        <f t="shared" si="6"/>
        <v>112759343</v>
      </c>
      <c r="Q31" s="46">
        <f t="shared" si="1"/>
        <v>71.56428987133458</v>
      </c>
      <c r="R31" s="9"/>
    </row>
    <row r="32" spans="1:18">
      <c r="A32" s="11"/>
      <c r="B32" s="24">
        <v>331.51</v>
      </c>
      <c r="C32" s="19" t="s">
        <v>329</v>
      </c>
      <c r="D32" s="45">
        <v>0</v>
      </c>
      <c r="E32" s="45">
        <v>765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45">
        <v>0</v>
      </c>
      <c r="O32" s="45">
        <v>0</v>
      </c>
      <c r="P32" s="45">
        <f t="shared" si="6"/>
        <v>765</v>
      </c>
      <c r="Q32" s="46">
        <f t="shared" si="1"/>
        <v>4.8551792068858498E-4</v>
      </c>
      <c r="R32" s="9"/>
    </row>
    <row r="33" spans="1:18">
      <c r="A33" s="11"/>
      <c r="B33" s="24">
        <v>331.61</v>
      </c>
      <c r="C33" s="19" t="s">
        <v>37</v>
      </c>
      <c r="D33" s="45">
        <v>0</v>
      </c>
      <c r="E33" s="45">
        <v>3984782</v>
      </c>
      <c r="F33" s="45">
        <v>0</v>
      </c>
      <c r="G33" s="45">
        <v>0</v>
      </c>
      <c r="H33" s="45">
        <v>0</v>
      </c>
      <c r="I33" s="45">
        <v>0</v>
      </c>
      <c r="J33" s="45">
        <v>0</v>
      </c>
      <c r="K33" s="45">
        <v>0</v>
      </c>
      <c r="L33" s="45">
        <v>0</v>
      </c>
      <c r="M33" s="45">
        <v>0</v>
      </c>
      <c r="N33" s="45">
        <v>0</v>
      </c>
      <c r="O33" s="45">
        <v>0</v>
      </c>
      <c r="P33" s="45">
        <f t="shared" si="6"/>
        <v>3984782</v>
      </c>
      <c r="Q33" s="46">
        <f t="shared" si="1"/>
        <v>2.5289974784801323</v>
      </c>
      <c r="R33" s="9"/>
    </row>
    <row r="34" spans="1:18">
      <c r="A34" s="11"/>
      <c r="B34" s="24">
        <v>331.69</v>
      </c>
      <c r="C34" s="19" t="s">
        <v>39</v>
      </c>
      <c r="D34" s="45">
        <v>0</v>
      </c>
      <c r="E34" s="45">
        <v>66261632</v>
      </c>
      <c r="F34" s="45">
        <v>0</v>
      </c>
      <c r="G34" s="45">
        <v>0</v>
      </c>
      <c r="H34" s="45">
        <v>0</v>
      </c>
      <c r="I34" s="45">
        <v>0</v>
      </c>
      <c r="J34" s="45">
        <v>0</v>
      </c>
      <c r="K34" s="45">
        <v>0</v>
      </c>
      <c r="L34" s="45">
        <v>0</v>
      </c>
      <c r="M34" s="45">
        <v>0</v>
      </c>
      <c r="N34" s="45">
        <v>0</v>
      </c>
      <c r="O34" s="45">
        <v>0</v>
      </c>
      <c r="P34" s="45">
        <f t="shared" si="6"/>
        <v>66261632</v>
      </c>
      <c r="Q34" s="46">
        <f t="shared" si="1"/>
        <v>42.053869006630336</v>
      </c>
      <c r="R34" s="9"/>
    </row>
    <row r="35" spans="1:18">
      <c r="A35" s="11"/>
      <c r="B35" s="24">
        <v>333</v>
      </c>
      <c r="C35" s="19" t="s">
        <v>4</v>
      </c>
      <c r="D35" s="45">
        <v>1324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v>0</v>
      </c>
      <c r="O35" s="45">
        <v>0</v>
      </c>
      <c r="P35" s="45">
        <f t="shared" si="6"/>
        <v>1324</v>
      </c>
      <c r="Q35" s="46">
        <f t="shared" si="1"/>
        <v>8.4029506796298899E-4</v>
      </c>
      <c r="R35" s="9"/>
    </row>
    <row r="36" spans="1:18">
      <c r="A36" s="11"/>
      <c r="B36" s="24">
        <v>334.1</v>
      </c>
      <c r="C36" s="19" t="s">
        <v>189</v>
      </c>
      <c r="D36" s="45">
        <v>0</v>
      </c>
      <c r="E36" s="45">
        <v>8134946</v>
      </c>
      <c r="F36" s="45">
        <v>0</v>
      </c>
      <c r="G36" s="45">
        <v>0</v>
      </c>
      <c r="H36" s="45">
        <v>0</v>
      </c>
      <c r="I36" s="45">
        <v>2670806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5">
        <v>0</v>
      </c>
      <c r="P36" s="45">
        <f t="shared" si="6"/>
        <v>10805752</v>
      </c>
      <c r="Q36" s="46">
        <f t="shared" si="1"/>
        <v>6.8580212320477365</v>
      </c>
      <c r="R36" s="9"/>
    </row>
    <row r="37" spans="1:18">
      <c r="A37" s="11"/>
      <c r="B37" s="24">
        <v>334.2</v>
      </c>
      <c r="C37" s="19" t="s">
        <v>33</v>
      </c>
      <c r="D37" s="45">
        <v>0</v>
      </c>
      <c r="E37" s="45">
        <v>302701</v>
      </c>
      <c r="F37" s="45">
        <v>0</v>
      </c>
      <c r="G37" s="45">
        <v>0</v>
      </c>
      <c r="H37" s="45">
        <v>0</v>
      </c>
      <c r="I37" s="45">
        <v>0</v>
      </c>
      <c r="J37" s="45">
        <v>0</v>
      </c>
      <c r="K37" s="45">
        <v>0</v>
      </c>
      <c r="L37" s="45">
        <v>0</v>
      </c>
      <c r="M37" s="45">
        <v>0</v>
      </c>
      <c r="N37" s="45">
        <v>0</v>
      </c>
      <c r="O37" s="45">
        <v>0</v>
      </c>
      <c r="P37" s="45">
        <f t="shared" si="6"/>
        <v>302701</v>
      </c>
      <c r="Q37" s="46">
        <f t="shared" ref="Q37:Q68" si="7">(P37/Q$136)</f>
        <v>0.19211341190896125</v>
      </c>
      <c r="R37" s="9"/>
    </row>
    <row r="38" spans="1:18">
      <c r="A38" s="11"/>
      <c r="B38" s="24">
        <v>334.31</v>
      </c>
      <c r="C38" s="19" t="s">
        <v>339</v>
      </c>
      <c r="D38" s="45">
        <v>0</v>
      </c>
      <c r="E38" s="45">
        <v>0</v>
      </c>
      <c r="F38" s="45">
        <v>0</v>
      </c>
      <c r="G38" s="45">
        <v>0</v>
      </c>
      <c r="H38" s="45">
        <v>0</v>
      </c>
      <c r="I38" s="45">
        <v>-113750</v>
      </c>
      <c r="J38" s="45">
        <v>0</v>
      </c>
      <c r="K38" s="45">
        <v>0</v>
      </c>
      <c r="L38" s="45">
        <v>0</v>
      </c>
      <c r="M38" s="45">
        <v>0</v>
      </c>
      <c r="N38" s="45">
        <v>0</v>
      </c>
      <c r="O38" s="45">
        <v>0</v>
      </c>
      <c r="P38" s="45">
        <f t="shared" si="6"/>
        <v>-113750</v>
      </c>
      <c r="Q38" s="46">
        <f t="shared" si="7"/>
        <v>-7.2193024154675225E-2</v>
      </c>
      <c r="R38" s="9"/>
    </row>
    <row r="39" spans="1:18">
      <c r="A39" s="11"/>
      <c r="B39" s="24">
        <v>334.39</v>
      </c>
      <c r="C39" s="19" t="s">
        <v>40</v>
      </c>
      <c r="D39" s="45">
        <v>90204</v>
      </c>
      <c r="E39" s="45">
        <v>2267008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f t="shared" si="6"/>
        <v>2357212</v>
      </c>
      <c r="Q39" s="46">
        <f t="shared" si="7"/>
        <v>1.4960374756368378</v>
      </c>
      <c r="R39" s="9"/>
    </row>
    <row r="40" spans="1:18">
      <c r="A40" s="11"/>
      <c r="B40" s="24">
        <v>334.49</v>
      </c>
      <c r="C40" s="19" t="s">
        <v>41</v>
      </c>
      <c r="D40" s="45">
        <v>0</v>
      </c>
      <c r="E40" s="45">
        <v>931225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5">
        <v>0</v>
      </c>
      <c r="L40" s="45">
        <v>0</v>
      </c>
      <c r="M40" s="45">
        <v>0</v>
      </c>
      <c r="N40" s="45">
        <v>0</v>
      </c>
      <c r="O40" s="45">
        <v>0</v>
      </c>
      <c r="P40" s="45">
        <f t="shared" si="6"/>
        <v>931225</v>
      </c>
      <c r="Q40" s="46">
        <f t="shared" si="7"/>
        <v>0.5910149355467027</v>
      </c>
      <c r="R40" s="9"/>
    </row>
    <row r="41" spans="1:18">
      <c r="A41" s="11"/>
      <c r="B41" s="24">
        <v>334.5</v>
      </c>
      <c r="C41" s="19" t="s">
        <v>42</v>
      </c>
      <c r="D41" s="45">
        <v>0</v>
      </c>
      <c r="E41" s="45">
        <v>172243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f t="shared" si="6"/>
        <v>172243</v>
      </c>
      <c r="Q41" s="46">
        <f t="shared" si="7"/>
        <v>0.1093164225008679</v>
      </c>
      <c r="R41" s="9"/>
    </row>
    <row r="42" spans="1:18">
      <c r="A42" s="11"/>
      <c r="B42" s="24">
        <v>334.69</v>
      </c>
      <c r="C42" s="19" t="s">
        <v>44</v>
      </c>
      <c r="D42" s="45">
        <v>0</v>
      </c>
      <c r="E42" s="45">
        <v>9692115</v>
      </c>
      <c r="F42" s="45">
        <v>0</v>
      </c>
      <c r="G42" s="45">
        <v>0</v>
      </c>
      <c r="H42" s="45">
        <v>0</v>
      </c>
      <c r="I42" s="45">
        <v>0</v>
      </c>
      <c r="J42" s="45">
        <v>0</v>
      </c>
      <c r="K42" s="45">
        <v>0</v>
      </c>
      <c r="L42" s="45">
        <v>0</v>
      </c>
      <c r="M42" s="45">
        <v>0</v>
      </c>
      <c r="N42" s="45">
        <v>0</v>
      </c>
      <c r="O42" s="45">
        <v>0</v>
      </c>
      <c r="P42" s="45">
        <f t="shared" si="6"/>
        <v>9692115</v>
      </c>
      <c r="Q42" s="46">
        <f t="shared" si="7"/>
        <v>6.151235976306725</v>
      </c>
      <c r="R42" s="9"/>
    </row>
    <row r="43" spans="1:18">
      <c r="A43" s="11"/>
      <c r="B43" s="24">
        <v>334.7</v>
      </c>
      <c r="C43" s="19" t="s">
        <v>45</v>
      </c>
      <c r="D43" s="45">
        <v>0</v>
      </c>
      <c r="E43" s="45">
        <v>778020</v>
      </c>
      <c r="F43" s="45">
        <v>0</v>
      </c>
      <c r="G43" s="45">
        <v>0</v>
      </c>
      <c r="H43" s="45">
        <v>0</v>
      </c>
      <c r="I43" s="45">
        <v>0</v>
      </c>
      <c r="J43" s="45">
        <v>0</v>
      </c>
      <c r="K43" s="45">
        <v>0</v>
      </c>
      <c r="L43" s="45">
        <v>0</v>
      </c>
      <c r="M43" s="45">
        <v>0</v>
      </c>
      <c r="N43" s="45">
        <v>0</v>
      </c>
      <c r="O43" s="45">
        <v>0</v>
      </c>
      <c r="P43" s="45">
        <f t="shared" si="6"/>
        <v>778020</v>
      </c>
      <c r="Q43" s="46">
        <f t="shared" si="7"/>
        <v>0.49378124529952011</v>
      </c>
      <c r="R43" s="9"/>
    </row>
    <row r="44" spans="1:18">
      <c r="A44" s="11"/>
      <c r="B44" s="24">
        <v>334.89</v>
      </c>
      <c r="C44" s="19" t="s">
        <v>46</v>
      </c>
      <c r="D44" s="45">
        <v>0</v>
      </c>
      <c r="E44" s="45">
        <v>3797</v>
      </c>
      <c r="F44" s="45">
        <v>0</v>
      </c>
      <c r="G44" s="45">
        <v>0</v>
      </c>
      <c r="H44" s="45">
        <v>0</v>
      </c>
      <c r="I44" s="45">
        <v>0</v>
      </c>
      <c r="J44" s="45">
        <v>0</v>
      </c>
      <c r="K44" s="45">
        <v>0</v>
      </c>
      <c r="L44" s="45">
        <v>0</v>
      </c>
      <c r="M44" s="45">
        <v>0</v>
      </c>
      <c r="N44" s="45">
        <v>0</v>
      </c>
      <c r="O44" s="45">
        <v>0</v>
      </c>
      <c r="P44" s="45">
        <f t="shared" si="6"/>
        <v>3797</v>
      </c>
      <c r="Q44" s="46">
        <f t="shared" si="7"/>
        <v>2.4098190128817743E-3</v>
      </c>
      <c r="R44" s="9"/>
    </row>
    <row r="45" spans="1:18">
      <c r="A45" s="11"/>
      <c r="B45" s="24">
        <v>335.12099999999998</v>
      </c>
      <c r="C45" s="19" t="s">
        <v>313</v>
      </c>
      <c r="D45" s="45">
        <v>51503186</v>
      </c>
      <c r="E45" s="45">
        <v>6752476</v>
      </c>
      <c r="F45" s="45">
        <v>0</v>
      </c>
      <c r="G45" s="45">
        <v>0</v>
      </c>
      <c r="H45" s="45">
        <v>0</v>
      </c>
      <c r="I45" s="45">
        <v>0</v>
      </c>
      <c r="J45" s="45">
        <v>0</v>
      </c>
      <c r="K45" s="45">
        <v>0</v>
      </c>
      <c r="L45" s="45">
        <v>0</v>
      </c>
      <c r="M45" s="45">
        <v>0</v>
      </c>
      <c r="N45" s="45">
        <v>0</v>
      </c>
      <c r="O45" s="45">
        <v>0</v>
      </c>
      <c r="P45" s="45">
        <f t="shared" si="6"/>
        <v>58255662</v>
      </c>
      <c r="Q45" s="46">
        <f t="shared" si="7"/>
        <v>36.972768473956883</v>
      </c>
      <c r="R45" s="9"/>
    </row>
    <row r="46" spans="1:18">
      <c r="A46" s="11"/>
      <c r="B46" s="24">
        <v>335.13</v>
      </c>
      <c r="C46" s="19" t="s">
        <v>205</v>
      </c>
      <c r="D46" s="45">
        <v>654346</v>
      </c>
      <c r="E46" s="45">
        <v>0</v>
      </c>
      <c r="F46" s="45">
        <v>0</v>
      </c>
      <c r="G46" s="45">
        <v>0</v>
      </c>
      <c r="H46" s="45">
        <v>0</v>
      </c>
      <c r="I46" s="45">
        <v>0</v>
      </c>
      <c r="J46" s="45">
        <v>0</v>
      </c>
      <c r="K46" s="45">
        <v>0</v>
      </c>
      <c r="L46" s="45">
        <v>0</v>
      </c>
      <c r="M46" s="45">
        <v>0</v>
      </c>
      <c r="N46" s="45">
        <v>0</v>
      </c>
      <c r="O46" s="45">
        <v>0</v>
      </c>
      <c r="P46" s="45">
        <f t="shared" si="6"/>
        <v>654346</v>
      </c>
      <c r="Q46" s="46">
        <f t="shared" si="7"/>
        <v>0.41528981611881416</v>
      </c>
      <c r="R46" s="9"/>
    </row>
    <row r="47" spans="1:18">
      <c r="A47" s="11"/>
      <c r="B47" s="24">
        <v>335.14</v>
      </c>
      <c r="C47" s="19" t="s">
        <v>206</v>
      </c>
      <c r="D47" s="45">
        <v>390863</v>
      </c>
      <c r="E47" s="45">
        <v>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v>0</v>
      </c>
      <c r="O47" s="45">
        <v>0</v>
      </c>
      <c r="P47" s="45">
        <f t="shared" si="6"/>
        <v>390863</v>
      </c>
      <c r="Q47" s="46">
        <f t="shared" si="7"/>
        <v>0.24806665494653909</v>
      </c>
      <c r="R47" s="9"/>
    </row>
    <row r="48" spans="1:18">
      <c r="A48" s="11"/>
      <c r="B48" s="24">
        <v>335.15</v>
      </c>
      <c r="C48" s="19" t="s">
        <v>207</v>
      </c>
      <c r="D48" s="45">
        <v>558538</v>
      </c>
      <c r="E48" s="45">
        <v>0</v>
      </c>
      <c r="F48" s="45">
        <v>0</v>
      </c>
      <c r="G48" s="45">
        <v>0</v>
      </c>
      <c r="H48" s="45">
        <v>0</v>
      </c>
      <c r="I48" s="45">
        <v>0</v>
      </c>
      <c r="J48" s="45">
        <v>0</v>
      </c>
      <c r="K48" s="45">
        <v>0</v>
      </c>
      <c r="L48" s="45">
        <v>0</v>
      </c>
      <c r="M48" s="45">
        <v>0</v>
      </c>
      <c r="N48" s="45">
        <v>0</v>
      </c>
      <c r="O48" s="45">
        <v>0</v>
      </c>
      <c r="P48" s="45">
        <f t="shared" si="6"/>
        <v>558538</v>
      </c>
      <c r="Q48" s="46">
        <f t="shared" si="7"/>
        <v>0.35448393253014493</v>
      </c>
      <c r="R48" s="9"/>
    </row>
    <row r="49" spans="1:18">
      <c r="A49" s="11"/>
      <c r="B49" s="24">
        <v>335.16</v>
      </c>
      <c r="C49" s="19" t="s">
        <v>314</v>
      </c>
      <c r="D49" s="45">
        <v>446500</v>
      </c>
      <c r="E49" s="45">
        <v>0</v>
      </c>
      <c r="F49" s="45">
        <v>0</v>
      </c>
      <c r="G49" s="45">
        <v>0</v>
      </c>
      <c r="H49" s="45">
        <v>0</v>
      </c>
      <c r="I49" s="45">
        <v>0</v>
      </c>
      <c r="J49" s="45">
        <v>0</v>
      </c>
      <c r="K49" s="45">
        <v>0</v>
      </c>
      <c r="L49" s="45">
        <v>0</v>
      </c>
      <c r="M49" s="45">
        <v>0</v>
      </c>
      <c r="N49" s="45">
        <v>0</v>
      </c>
      <c r="O49" s="45">
        <v>0</v>
      </c>
      <c r="P49" s="45">
        <f t="shared" si="6"/>
        <v>446500</v>
      </c>
      <c r="Q49" s="46">
        <f t="shared" si="7"/>
        <v>0.28337745305549439</v>
      </c>
      <c r="R49" s="9"/>
    </row>
    <row r="50" spans="1:18">
      <c r="A50" s="11"/>
      <c r="B50" s="24">
        <v>335.17</v>
      </c>
      <c r="C50" s="19" t="s">
        <v>209</v>
      </c>
      <c r="D50" s="45">
        <v>4617725</v>
      </c>
      <c r="E50" s="45">
        <v>0</v>
      </c>
      <c r="F50" s="45">
        <v>0</v>
      </c>
      <c r="G50" s="45">
        <v>0</v>
      </c>
      <c r="H50" s="45">
        <v>0</v>
      </c>
      <c r="I50" s="45">
        <v>0</v>
      </c>
      <c r="J50" s="45">
        <v>0</v>
      </c>
      <c r="K50" s="45">
        <v>0</v>
      </c>
      <c r="L50" s="45">
        <v>0</v>
      </c>
      <c r="M50" s="45">
        <v>0</v>
      </c>
      <c r="N50" s="45">
        <v>0</v>
      </c>
      <c r="O50" s="45">
        <v>0</v>
      </c>
      <c r="P50" s="45">
        <f t="shared" si="6"/>
        <v>4617725</v>
      </c>
      <c r="Q50" s="46">
        <f t="shared" si="7"/>
        <v>2.9307035821067924</v>
      </c>
      <c r="R50" s="9"/>
    </row>
    <row r="51" spans="1:18">
      <c r="A51" s="11"/>
      <c r="B51" s="24">
        <v>335.18</v>
      </c>
      <c r="C51" s="19" t="s">
        <v>315</v>
      </c>
      <c r="D51" s="45">
        <v>0</v>
      </c>
      <c r="E51" s="45">
        <v>150707184</v>
      </c>
      <c r="F51" s="45">
        <v>0</v>
      </c>
      <c r="G51" s="45">
        <v>0</v>
      </c>
      <c r="H51" s="45">
        <v>0</v>
      </c>
      <c r="I51" s="45">
        <v>0</v>
      </c>
      <c r="J51" s="45">
        <v>0</v>
      </c>
      <c r="K51" s="45">
        <v>0</v>
      </c>
      <c r="L51" s="45">
        <v>0</v>
      </c>
      <c r="M51" s="45">
        <v>0</v>
      </c>
      <c r="N51" s="45">
        <v>0</v>
      </c>
      <c r="O51" s="45">
        <v>0</v>
      </c>
      <c r="P51" s="45">
        <f t="shared" si="6"/>
        <v>150707184</v>
      </c>
      <c r="Q51" s="46">
        <f t="shared" si="7"/>
        <v>95.648416481715017</v>
      </c>
      <c r="R51" s="9"/>
    </row>
    <row r="52" spans="1:18">
      <c r="A52" s="11"/>
      <c r="B52" s="24">
        <v>335.21</v>
      </c>
      <c r="C52" s="19" t="s">
        <v>55</v>
      </c>
      <c r="D52" s="45">
        <v>636500</v>
      </c>
      <c r="E52" s="45">
        <v>0</v>
      </c>
      <c r="F52" s="45">
        <v>0</v>
      </c>
      <c r="G52" s="45">
        <v>0</v>
      </c>
      <c r="H52" s="45">
        <v>0</v>
      </c>
      <c r="I52" s="45">
        <v>0</v>
      </c>
      <c r="J52" s="45">
        <v>0</v>
      </c>
      <c r="K52" s="45">
        <v>0</v>
      </c>
      <c r="L52" s="45">
        <v>0</v>
      </c>
      <c r="M52" s="45">
        <v>0</v>
      </c>
      <c r="N52" s="45">
        <v>0</v>
      </c>
      <c r="O52" s="45">
        <v>0</v>
      </c>
      <c r="P52" s="45">
        <f t="shared" si="6"/>
        <v>636500</v>
      </c>
      <c r="Q52" s="46">
        <f t="shared" si="7"/>
        <v>0.40396360329187497</v>
      </c>
      <c r="R52" s="9"/>
    </row>
    <row r="53" spans="1:18">
      <c r="A53" s="11"/>
      <c r="B53" s="24">
        <v>335.22</v>
      </c>
      <c r="C53" s="19" t="s">
        <v>56</v>
      </c>
      <c r="D53" s="45">
        <v>0</v>
      </c>
      <c r="E53" s="45">
        <v>8523632</v>
      </c>
      <c r="F53" s="45">
        <v>0</v>
      </c>
      <c r="G53" s="45">
        <v>0</v>
      </c>
      <c r="H53" s="45">
        <v>0</v>
      </c>
      <c r="I53" s="45">
        <v>0</v>
      </c>
      <c r="J53" s="45">
        <v>0</v>
      </c>
      <c r="K53" s="45">
        <v>0</v>
      </c>
      <c r="L53" s="45">
        <v>0</v>
      </c>
      <c r="M53" s="45">
        <v>0</v>
      </c>
      <c r="N53" s="45">
        <v>0</v>
      </c>
      <c r="O53" s="45">
        <v>0</v>
      </c>
      <c r="P53" s="45">
        <f t="shared" si="6"/>
        <v>8523632</v>
      </c>
      <c r="Q53" s="46">
        <f t="shared" si="7"/>
        <v>5.4096419416401114</v>
      </c>
      <c r="R53" s="9"/>
    </row>
    <row r="54" spans="1:18">
      <c r="A54" s="11"/>
      <c r="B54" s="24">
        <v>335.23</v>
      </c>
      <c r="C54" s="19" t="s">
        <v>171</v>
      </c>
      <c r="D54" s="45">
        <v>341196</v>
      </c>
      <c r="E54" s="45">
        <v>23271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f t="shared" si="6"/>
        <v>364467</v>
      </c>
      <c r="Q54" s="46">
        <f t="shared" si="7"/>
        <v>0.23131406535896276</v>
      </c>
      <c r="R54" s="9"/>
    </row>
    <row r="55" spans="1:18">
      <c r="A55" s="11"/>
      <c r="B55" s="24">
        <v>335.29</v>
      </c>
      <c r="C55" s="19" t="s">
        <v>57</v>
      </c>
      <c r="D55" s="45">
        <v>17217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v>0</v>
      </c>
      <c r="O55" s="45">
        <v>0</v>
      </c>
      <c r="P55" s="45">
        <f t="shared" si="6"/>
        <v>17217</v>
      </c>
      <c r="Q55" s="46">
        <f t="shared" si="7"/>
        <v>1.0927009203261919E-2</v>
      </c>
      <c r="R55" s="9"/>
    </row>
    <row r="56" spans="1:18">
      <c r="A56" s="11"/>
      <c r="B56" s="24">
        <v>335.38</v>
      </c>
      <c r="C56" s="19" t="s">
        <v>58</v>
      </c>
      <c r="D56" s="45">
        <v>0</v>
      </c>
      <c r="E56" s="45">
        <v>1454087</v>
      </c>
      <c r="F56" s="45">
        <v>0</v>
      </c>
      <c r="G56" s="45">
        <v>0</v>
      </c>
      <c r="H56" s="45">
        <v>0</v>
      </c>
      <c r="I56" s="45">
        <v>0</v>
      </c>
      <c r="J56" s="45">
        <v>0</v>
      </c>
      <c r="K56" s="45">
        <v>0</v>
      </c>
      <c r="L56" s="45">
        <v>0</v>
      </c>
      <c r="M56" s="45">
        <v>0</v>
      </c>
      <c r="N56" s="45">
        <v>0</v>
      </c>
      <c r="O56" s="45">
        <v>0</v>
      </c>
      <c r="P56" s="45">
        <f t="shared" ref="P56:P67" si="8">SUM(D56:O56)</f>
        <v>1454087</v>
      </c>
      <c r="Q56" s="46">
        <f t="shared" si="7"/>
        <v>0.92285659704614709</v>
      </c>
      <c r="R56" s="9"/>
    </row>
    <row r="57" spans="1:18">
      <c r="A57" s="11"/>
      <c r="B57" s="24">
        <v>335.43</v>
      </c>
      <c r="C57" s="19" t="s">
        <v>316</v>
      </c>
      <c r="D57" s="45">
        <v>0</v>
      </c>
      <c r="E57" s="45">
        <v>12953500</v>
      </c>
      <c r="F57" s="45">
        <v>0</v>
      </c>
      <c r="G57" s="45">
        <v>0</v>
      </c>
      <c r="H57" s="45">
        <v>0</v>
      </c>
      <c r="I57" s="45">
        <v>0</v>
      </c>
      <c r="J57" s="45">
        <v>0</v>
      </c>
      <c r="K57" s="45">
        <v>0</v>
      </c>
      <c r="L57" s="45">
        <v>0</v>
      </c>
      <c r="M57" s="45">
        <v>0</v>
      </c>
      <c r="N57" s="45">
        <v>0</v>
      </c>
      <c r="O57" s="45">
        <v>0</v>
      </c>
      <c r="P57" s="45">
        <f t="shared" si="8"/>
        <v>12953500</v>
      </c>
      <c r="Q57" s="46">
        <f t="shared" si="7"/>
        <v>8.2211194583523994</v>
      </c>
      <c r="R57" s="9"/>
    </row>
    <row r="58" spans="1:18">
      <c r="A58" s="11"/>
      <c r="B58" s="24">
        <v>335.44</v>
      </c>
      <c r="C58" s="19" t="s">
        <v>317</v>
      </c>
      <c r="D58" s="45">
        <v>0</v>
      </c>
      <c r="E58" s="45">
        <v>5643854</v>
      </c>
      <c r="F58" s="45">
        <v>0</v>
      </c>
      <c r="G58" s="45">
        <v>0</v>
      </c>
      <c r="H58" s="45">
        <v>0</v>
      </c>
      <c r="I58" s="45">
        <v>0</v>
      </c>
      <c r="J58" s="45">
        <v>0</v>
      </c>
      <c r="K58" s="45">
        <v>0</v>
      </c>
      <c r="L58" s="45">
        <v>0</v>
      </c>
      <c r="M58" s="45">
        <v>0</v>
      </c>
      <c r="N58" s="45">
        <v>0</v>
      </c>
      <c r="O58" s="45">
        <v>0</v>
      </c>
      <c r="P58" s="45">
        <f t="shared" si="8"/>
        <v>5643854</v>
      </c>
      <c r="Q58" s="46">
        <f t="shared" si="7"/>
        <v>3.5819506650326187</v>
      </c>
      <c r="R58" s="9"/>
    </row>
    <row r="59" spans="1:18">
      <c r="A59" s="11"/>
      <c r="B59" s="24">
        <v>335.48</v>
      </c>
      <c r="C59" s="19" t="s">
        <v>59</v>
      </c>
      <c r="D59" s="45">
        <v>0</v>
      </c>
      <c r="E59" s="45">
        <v>862758</v>
      </c>
      <c r="F59" s="45">
        <v>0</v>
      </c>
      <c r="G59" s="45">
        <v>0</v>
      </c>
      <c r="H59" s="45">
        <v>0</v>
      </c>
      <c r="I59" s="45">
        <v>0</v>
      </c>
      <c r="J59" s="45">
        <v>0</v>
      </c>
      <c r="K59" s="45">
        <v>0</v>
      </c>
      <c r="L59" s="45">
        <v>0</v>
      </c>
      <c r="M59" s="45">
        <v>0</v>
      </c>
      <c r="N59" s="45">
        <v>0</v>
      </c>
      <c r="O59" s="45">
        <v>0</v>
      </c>
      <c r="P59" s="45">
        <f t="shared" si="8"/>
        <v>862758</v>
      </c>
      <c r="Q59" s="46">
        <f t="shared" si="7"/>
        <v>0.5475613989770487</v>
      </c>
      <c r="R59" s="9"/>
    </row>
    <row r="60" spans="1:18">
      <c r="A60" s="11"/>
      <c r="B60" s="24">
        <v>335.5</v>
      </c>
      <c r="C60" s="19" t="s">
        <v>60</v>
      </c>
      <c r="D60" s="45">
        <v>0</v>
      </c>
      <c r="E60" s="45">
        <v>9031444</v>
      </c>
      <c r="F60" s="45">
        <v>0</v>
      </c>
      <c r="G60" s="45">
        <v>0</v>
      </c>
      <c r="H60" s="45">
        <v>0</v>
      </c>
      <c r="I60" s="45">
        <v>0</v>
      </c>
      <c r="J60" s="45">
        <v>0</v>
      </c>
      <c r="K60" s="45">
        <v>0</v>
      </c>
      <c r="L60" s="45">
        <v>0</v>
      </c>
      <c r="M60" s="45">
        <v>0</v>
      </c>
      <c r="N60" s="45">
        <v>0</v>
      </c>
      <c r="O60" s="45">
        <v>0</v>
      </c>
      <c r="P60" s="45">
        <f t="shared" si="8"/>
        <v>9031444</v>
      </c>
      <c r="Q60" s="46">
        <f t="shared" si="7"/>
        <v>5.7319319107129374</v>
      </c>
      <c r="R60" s="9"/>
    </row>
    <row r="61" spans="1:18">
      <c r="A61" s="11"/>
      <c r="B61" s="24">
        <v>335.69</v>
      </c>
      <c r="C61" s="19" t="s">
        <v>61</v>
      </c>
      <c r="D61" s="45">
        <v>0</v>
      </c>
      <c r="E61" s="45">
        <v>0</v>
      </c>
      <c r="F61" s="45">
        <v>0</v>
      </c>
      <c r="G61" s="45">
        <v>0</v>
      </c>
      <c r="H61" s="45">
        <v>0</v>
      </c>
      <c r="I61" s="45">
        <v>0</v>
      </c>
      <c r="J61" s="45">
        <v>50452</v>
      </c>
      <c r="K61" s="45">
        <v>0</v>
      </c>
      <c r="L61" s="45">
        <v>0</v>
      </c>
      <c r="M61" s="45">
        <v>0</v>
      </c>
      <c r="N61" s="45">
        <v>0</v>
      </c>
      <c r="O61" s="45">
        <v>0</v>
      </c>
      <c r="P61" s="45">
        <f t="shared" si="8"/>
        <v>50452</v>
      </c>
      <c r="Q61" s="46">
        <f t="shared" si="7"/>
        <v>3.2020065535399336E-2</v>
      </c>
      <c r="R61" s="9"/>
    </row>
    <row r="62" spans="1:18">
      <c r="A62" s="11"/>
      <c r="B62" s="24">
        <v>335.7</v>
      </c>
      <c r="C62" s="19" t="s">
        <v>62</v>
      </c>
      <c r="D62" s="45">
        <v>0</v>
      </c>
      <c r="E62" s="45">
        <v>2245767</v>
      </c>
      <c r="F62" s="45">
        <v>0</v>
      </c>
      <c r="G62" s="45">
        <v>0</v>
      </c>
      <c r="H62" s="45">
        <v>0</v>
      </c>
      <c r="I62" s="45">
        <v>0</v>
      </c>
      <c r="J62" s="45">
        <v>0</v>
      </c>
      <c r="K62" s="45">
        <v>0</v>
      </c>
      <c r="L62" s="45">
        <v>0</v>
      </c>
      <c r="M62" s="45">
        <v>0</v>
      </c>
      <c r="N62" s="45">
        <v>0</v>
      </c>
      <c r="O62" s="45">
        <v>0</v>
      </c>
      <c r="P62" s="45">
        <f t="shared" si="8"/>
        <v>2245767</v>
      </c>
      <c r="Q62" s="46">
        <f t="shared" si="7"/>
        <v>1.4253073518837143</v>
      </c>
      <c r="R62" s="9"/>
    </row>
    <row r="63" spans="1:18">
      <c r="A63" s="11"/>
      <c r="B63" s="24">
        <v>335.9</v>
      </c>
      <c r="C63" s="19" t="s">
        <v>340</v>
      </c>
      <c r="D63" s="45">
        <v>19000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0</v>
      </c>
      <c r="N63" s="45">
        <v>0</v>
      </c>
      <c r="O63" s="45">
        <v>0</v>
      </c>
      <c r="P63" s="45">
        <f t="shared" si="8"/>
        <v>19000</v>
      </c>
      <c r="Q63" s="46">
        <f t="shared" si="7"/>
        <v>1.2058615023638058E-2</v>
      </c>
      <c r="R63" s="9"/>
    </row>
    <row r="64" spans="1:18">
      <c r="A64" s="11"/>
      <c r="B64" s="24">
        <v>337.1</v>
      </c>
      <c r="C64" s="19" t="s">
        <v>64</v>
      </c>
      <c r="D64" s="45">
        <v>0</v>
      </c>
      <c r="E64" s="45">
        <v>213120</v>
      </c>
      <c r="F64" s="45">
        <v>0</v>
      </c>
      <c r="G64" s="45">
        <v>0</v>
      </c>
      <c r="H64" s="45">
        <v>0</v>
      </c>
      <c r="I64" s="45">
        <v>0</v>
      </c>
      <c r="J64" s="45">
        <v>0</v>
      </c>
      <c r="K64" s="45">
        <v>0</v>
      </c>
      <c r="L64" s="45">
        <v>0</v>
      </c>
      <c r="M64" s="45">
        <v>0</v>
      </c>
      <c r="N64" s="45">
        <v>0</v>
      </c>
      <c r="O64" s="45">
        <v>6226407</v>
      </c>
      <c r="P64" s="45">
        <f t="shared" si="8"/>
        <v>6439527</v>
      </c>
      <c r="Q64" s="46">
        <f t="shared" si="7"/>
        <v>4.0869356330169957</v>
      </c>
      <c r="R64" s="9"/>
    </row>
    <row r="65" spans="1:18">
      <c r="A65" s="11"/>
      <c r="B65" s="24">
        <v>337.3</v>
      </c>
      <c r="C65" s="19" t="s">
        <v>66</v>
      </c>
      <c r="D65" s="45">
        <v>0</v>
      </c>
      <c r="E65" s="45">
        <v>939357</v>
      </c>
      <c r="F65" s="45">
        <v>0</v>
      </c>
      <c r="G65" s="45">
        <v>0</v>
      </c>
      <c r="H65" s="45">
        <v>0</v>
      </c>
      <c r="I65" s="45">
        <v>0</v>
      </c>
      <c r="J65" s="45">
        <v>0</v>
      </c>
      <c r="K65" s="45">
        <v>0</v>
      </c>
      <c r="L65" s="45">
        <v>0</v>
      </c>
      <c r="M65" s="45">
        <v>0</v>
      </c>
      <c r="N65" s="45">
        <v>0</v>
      </c>
      <c r="O65" s="45">
        <v>0</v>
      </c>
      <c r="P65" s="45">
        <f t="shared" si="8"/>
        <v>939357</v>
      </c>
      <c r="Q65" s="46">
        <f t="shared" si="7"/>
        <v>0.5961760227768198</v>
      </c>
      <c r="R65" s="9"/>
    </row>
    <row r="66" spans="1:18">
      <c r="A66" s="11"/>
      <c r="B66" s="24">
        <v>337.4</v>
      </c>
      <c r="C66" s="19" t="s">
        <v>172</v>
      </c>
      <c r="D66" s="45">
        <v>0</v>
      </c>
      <c r="E66" s="45">
        <v>1200007</v>
      </c>
      <c r="F66" s="45">
        <v>0</v>
      </c>
      <c r="G66" s="45">
        <v>0</v>
      </c>
      <c r="H66" s="45">
        <v>0</v>
      </c>
      <c r="I66" s="45">
        <v>0</v>
      </c>
      <c r="J66" s="45">
        <v>0</v>
      </c>
      <c r="K66" s="45">
        <v>0</v>
      </c>
      <c r="L66" s="45">
        <v>0</v>
      </c>
      <c r="M66" s="45">
        <v>0</v>
      </c>
      <c r="N66" s="45">
        <v>0</v>
      </c>
      <c r="O66" s="45">
        <v>0</v>
      </c>
      <c r="P66" s="45">
        <f t="shared" si="8"/>
        <v>1200007</v>
      </c>
      <c r="Q66" s="46">
        <f t="shared" si="7"/>
        <v>0.7616011809826756</v>
      </c>
      <c r="R66" s="9"/>
    </row>
    <row r="67" spans="1:18">
      <c r="A67" s="11"/>
      <c r="B67" s="24">
        <v>337.5</v>
      </c>
      <c r="C67" s="19" t="s">
        <v>67</v>
      </c>
      <c r="D67" s="45">
        <v>0</v>
      </c>
      <c r="E67" s="45">
        <v>66139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>
        <v>0</v>
      </c>
      <c r="N67" s="45">
        <v>0</v>
      </c>
      <c r="O67" s="45">
        <v>2955000</v>
      </c>
      <c r="P67" s="45">
        <f t="shared" si="8"/>
        <v>3021139</v>
      </c>
      <c r="Q67" s="46">
        <f t="shared" si="7"/>
        <v>1.9174080070473085</v>
      </c>
      <c r="R67" s="9"/>
    </row>
    <row r="68" spans="1:18" ht="15.75">
      <c r="A68" s="28" t="s">
        <v>75</v>
      </c>
      <c r="B68" s="29"/>
      <c r="C68" s="30"/>
      <c r="D68" s="31">
        <f t="shared" ref="D68:O68" si="9">SUM(D69:D106)</f>
        <v>181528125</v>
      </c>
      <c r="E68" s="31">
        <f t="shared" si="9"/>
        <v>55243982</v>
      </c>
      <c r="F68" s="31">
        <f t="shared" si="9"/>
        <v>0</v>
      </c>
      <c r="G68" s="31">
        <f t="shared" si="9"/>
        <v>0</v>
      </c>
      <c r="H68" s="31">
        <f t="shared" si="9"/>
        <v>0</v>
      </c>
      <c r="I68" s="31">
        <f t="shared" si="9"/>
        <v>632814262</v>
      </c>
      <c r="J68" s="31">
        <f t="shared" si="9"/>
        <v>271786076</v>
      </c>
      <c r="K68" s="31">
        <f t="shared" si="9"/>
        <v>0</v>
      </c>
      <c r="L68" s="31">
        <f t="shared" si="9"/>
        <v>0</v>
      </c>
      <c r="M68" s="31">
        <f t="shared" si="9"/>
        <v>0</v>
      </c>
      <c r="N68" s="31">
        <f t="shared" si="9"/>
        <v>0</v>
      </c>
      <c r="O68" s="31">
        <f t="shared" si="9"/>
        <v>3115163</v>
      </c>
      <c r="P68" s="31">
        <f>SUM(D68:O68)</f>
        <v>1144487608</v>
      </c>
      <c r="Q68" s="44">
        <f t="shared" si="7"/>
        <v>726.36502443138875</v>
      </c>
      <c r="R68" s="10"/>
    </row>
    <row r="69" spans="1:18">
      <c r="A69" s="11"/>
      <c r="B69" s="24">
        <v>341.1</v>
      </c>
      <c r="C69" s="19" t="s">
        <v>212</v>
      </c>
      <c r="D69" s="45">
        <v>7740965</v>
      </c>
      <c r="E69" s="45">
        <v>0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5">
        <v>0</v>
      </c>
      <c r="L69" s="45">
        <v>0</v>
      </c>
      <c r="M69" s="45">
        <v>0</v>
      </c>
      <c r="N69" s="45">
        <v>0</v>
      </c>
      <c r="O69" s="45">
        <v>0</v>
      </c>
      <c r="P69" s="45">
        <f>SUM(D69:O69)</f>
        <v>7740965</v>
      </c>
      <c r="Q69" s="46">
        <f t="shared" ref="Q69:Q100" si="10">(P69/Q$136)</f>
        <v>4.9129114129713889</v>
      </c>
      <c r="R69" s="9"/>
    </row>
    <row r="70" spans="1:18">
      <c r="A70" s="11"/>
      <c r="B70" s="24">
        <v>341.16</v>
      </c>
      <c r="C70" s="19" t="s">
        <v>214</v>
      </c>
      <c r="D70" s="45">
        <v>0</v>
      </c>
      <c r="E70" s="45">
        <v>2113170</v>
      </c>
      <c r="F70" s="45">
        <v>0</v>
      </c>
      <c r="G70" s="45">
        <v>0</v>
      </c>
      <c r="H70" s="45">
        <v>0</v>
      </c>
      <c r="I70" s="45">
        <v>0</v>
      </c>
      <c r="J70" s="45">
        <v>0</v>
      </c>
      <c r="K70" s="45">
        <v>0</v>
      </c>
      <c r="L70" s="45">
        <v>0</v>
      </c>
      <c r="M70" s="45">
        <v>0</v>
      </c>
      <c r="N70" s="45">
        <v>0</v>
      </c>
      <c r="O70" s="45">
        <v>0</v>
      </c>
      <c r="P70" s="45">
        <f t="shared" ref="P70:P106" si="11">SUM(D70:O70)</f>
        <v>2113170</v>
      </c>
      <c r="Q70" s="46">
        <f t="shared" si="10"/>
        <v>1.3411528162895388</v>
      </c>
      <c r="R70" s="9"/>
    </row>
    <row r="71" spans="1:18">
      <c r="A71" s="11"/>
      <c r="B71" s="24">
        <v>341.2</v>
      </c>
      <c r="C71" s="19" t="s">
        <v>215</v>
      </c>
      <c r="D71" s="45">
        <v>0</v>
      </c>
      <c r="E71" s="45">
        <v>0</v>
      </c>
      <c r="F71" s="45">
        <v>0</v>
      </c>
      <c r="G71" s="45">
        <v>0</v>
      </c>
      <c r="H71" s="45">
        <v>0</v>
      </c>
      <c r="I71" s="45">
        <v>-8189000</v>
      </c>
      <c r="J71" s="45">
        <v>235957967</v>
      </c>
      <c r="K71" s="45">
        <v>0</v>
      </c>
      <c r="L71" s="45">
        <v>0</v>
      </c>
      <c r="M71" s="45">
        <v>0</v>
      </c>
      <c r="N71" s="45">
        <v>0</v>
      </c>
      <c r="O71" s="45">
        <v>0</v>
      </c>
      <c r="P71" s="45">
        <f t="shared" si="11"/>
        <v>227768967</v>
      </c>
      <c r="Q71" s="46">
        <f t="shared" si="10"/>
        <v>144.55675196761692</v>
      </c>
      <c r="R71" s="9"/>
    </row>
    <row r="72" spans="1:18">
      <c r="A72" s="11"/>
      <c r="B72" s="24">
        <v>341.3</v>
      </c>
      <c r="C72" s="19" t="s">
        <v>216</v>
      </c>
      <c r="D72" s="45">
        <v>86726</v>
      </c>
      <c r="E72" s="45">
        <v>102</v>
      </c>
      <c r="F72" s="45">
        <v>0</v>
      </c>
      <c r="G72" s="45">
        <v>0</v>
      </c>
      <c r="H72" s="45">
        <v>0</v>
      </c>
      <c r="I72" s="45">
        <v>0</v>
      </c>
      <c r="J72" s="45">
        <v>0</v>
      </c>
      <c r="K72" s="45">
        <v>0</v>
      </c>
      <c r="L72" s="45">
        <v>0</v>
      </c>
      <c r="M72" s="45">
        <v>0</v>
      </c>
      <c r="N72" s="45">
        <v>0</v>
      </c>
      <c r="O72" s="45">
        <v>0</v>
      </c>
      <c r="P72" s="45">
        <f t="shared" si="11"/>
        <v>86828</v>
      </c>
      <c r="Q72" s="46">
        <f t="shared" si="10"/>
        <v>5.51066013301287E-2</v>
      </c>
      <c r="R72" s="9"/>
    </row>
    <row r="73" spans="1:18">
      <c r="A73" s="11"/>
      <c r="B73" s="24">
        <v>341.52</v>
      </c>
      <c r="C73" s="19" t="s">
        <v>217</v>
      </c>
      <c r="D73" s="45">
        <v>496296</v>
      </c>
      <c r="E73" s="45">
        <v>147211</v>
      </c>
      <c r="F73" s="45">
        <v>0</v>
      </c>
      <c r="G73" s="45">
        <v>0</v>
      </c>
      <c r="H73" s="45">
        <v>0</v>
      </c>
      <c r="I73" s="45">
        <v>0</v>
      </c>
      <c r="J73" s="45">
        <v>0</v>
      </c>
      <c r="K73" s="45">
        <v>0</v>
      </c>
      <c r="L73" s="45">
        <v>0</v>
      </c>
      <c r="M73" s="45">
        <v>0</v>
      </c>
      <c r="N73" s="45">
        <v>0</v>
      </c>
      <c r="O73" s="45">
        <v>0</v>
      </c>
      <c r="P73" s="45">
        <f t="shared" si="11"/>
        <v>643507</v>
      </c>
      <c r="Q73" s="46">
        <f t="shared" si="10"/>
        <v>0.40841069357980297</v>
      </c>
      <c r="R73" s="9"/>
    </row>
    <row r="74" spans="1:18">
      <c r="A74" s="11"/>
      <c r="B74" s="24">
        <v>341.55</v>
      </c>
      <c r="C74" s="19" t="s">
        <v>218</v>
      </c>
      <c r="D74" s="45">
        <v>118034</v>
      </c>
      <c r="E74" s="45">
        <v>0</v>
      </c>
      <c r="F74" s="45">
        <v>0</v>
      </c>
      <c r="G74" s="45">
        <v>0</v>
      </c>
      <c r="H74" s="45">
        <v>0</v>
      </c>
      <c r="I74" s="45">
        <v>0</v>
      </c>
      <c r="J74" s="45">
        <v>0</v>
      </c>
      <c r="K74" s="45">
        <v>0</v>
      </c>
      <c r="L74" s="45">
        <v>0</v>
      </c>
      <c r="M74" s="45">
        <v>0</v>
      </c>
      <c r="N74" s="45">
        <v>0</v>
      </c>
      <c r="O74" s="45">
        <v>0</v>
      </c>
      <c r="P74" s="45">
        <f t="shared" si="11"/>
        <v>118034</v>
      </c>
      <c r="Q74" s="46">
        <f t="shared" si="10"/>
        <v>7.4911924510531303E-2</v>
      </c>
      <c r="R74" s="9"/>
    </row>
    <row r="75" spans="1:18">
      <c r="A75" s="11"/>
      <c r="B75" s="24">
        <v>341.8</v>
      </c>
      <c r="C75" s="19" t="s">
        <v>219</v>
      </c>
      <c r="D75" s="45">
        <v>26952518</v>
      </c>
      <c r="E75" s="45">
        <v>0</v>
      </c>
      <c r="F75" s="45">
        <v>0</v>
      </c>
      <c r="G75" s="45">
        <v>0</v>
      </c>
      <c r="H75" s="45">
        <v>0</v>
      </c>
      <c r="I75" s="45">
        <v>0</v>
      </c>
      <c r="J75" s="45">
        <v>0</v>
      </c>
      <c r="K75" s="45">
        <v>0</v>
      </c>
      <c r="L75" s="45">
        <v>0</v>
      </c>
      <c r="M75" s="45">
        <v>0</v>
      </c>
      <c r="N75" s="45">
        <v>0</v>
      </c>
      <c r="O75" s="45">
        <v>0</v>
      </c>
      <c r="P75" s="45">
        <f t="shared" si="11"/>
        <v>26952518</v>
      </c>
      <c r="Q75" s="46">
        <f t="shared" si="10"/>
        <v>17.105791498930273</v>
      </c>
      <c r="R75" s="9"/>
    </row>
    <row r="76" spans="1:18">
      <c r="A76" s="11"/>
      <c r="B76" s="24">
        <v>341.9</v>
      </c>
      <c r="C76" s="19" t="s">
        <v>220</v>
      </c>
      <c r="D76" s="45">
        <v>82668006</v>
      </c>
      <c r="E76" s="45">
        <v>5927517</v>
      </c>
      <c r="F76" s="45">
        <v>0</v>
      </c>
      <c r="G76" s="45">
        <v>0</v>
      </c>
      <c r="H76" s="45">
        <v>0</v>
      </c>
      <c r="I76" s="45">
        <v>0</v>
      </c>
      <c r="J76" s="45">
        <v>11414452</v>
      </c>
      <c r="K76" s="45">
        <v>0</v>
      </c>
      <c r="L76" s="45">
        <v>0</v>
      </c>
      <c r="M76" s="45">
        <v>0</v>
      </c>
      <c r="N76" s="45">
        <v>0</v>
      </c>
      <c r="O76" s="45">
        <v>630989</v>
      </c>
      <c r="P76" s="45">
        <f t="shared" si="11"/>
        <v>100640964</v>
      </c>
      <c r="Q76" s="46">
        <f t="shared" si="10"/>
        <v>63.873191604411424</v>
      </c>
      <c r="R76" s="9"/>
    </row>
    <row r="77" spans="1:18">
      <c r="A77" s="11"/>
      <c r="B77" s="24">
        <v>342.1</v>
      </c>
      <c r="C77" s="19" t="s">
        <v>87</v>
      </c>
      <c r="D77" s="45">
        <v>1548319</v>
      </c>
      <c r="E77" s="45">
        <v>3168878</v>
      </c>
      <c r="F77" s="45">
        <v>0</v>
      </c>
      <c r="G77" s="45">
        <v>0</v>
      </c>
      <c r="H77" s="45">
        <v>0</v>
      </c>
      <c r="I77" s="45">
        <v>0</v>
      </c>
      <c r="J77" s="45">
        <v>0</v>
      </c>
      <c r="K77" s="45">
        <v>0</v>
      </c>
      <c r="L77" s="45">
        <v>0</v>
      </c>
      <c r="M77" s="45">
        <v>0</v>
      </c>
      <c r="N77" s="45">
        <v>0</v>
      </c>
      <c r="O77" s="45">
        <v>0</v>
      </c>
      <c r="P77" s="45">
        <f t="shared" si="11"/>
        <v>4717197</v>
      </c>
      <c r="Q77" s="46">
        <f t="shared" si="10"/>
        <v>2.993834874403178</v>
      </c>
      <c r="R77" s="9"/>
    </row>
    <row r="78" spans="1:18">
      <c r="A78" s="11"/>
      <c r="B78" s="24">
        <v>342.2</v>
      </c>
      <c r="C78" s="19" t="s">
        <v>88</v>
      </c>
      <c r="D78" s="45">
        <v>1762809</v>
      </c>
      <c r="E78" s="45">
        <v>0</v>
      </c>
      <c r="F78" s="45">
        <v>0</v>
      </c>
      <c r="G78" s="45">
        <v>0</v>
      </c>
      <c r="H78" s="45">
        <v>0</v>
      </c>
      <c r="I78" s="45">
        <v>0</v>
      </c>
      <c r="J78" s="45">
        <v>0</v>
      </c>
      <c r="K78" s="45">
        <v>0</v>
      </c>
      <c r="L78" s="45">
        <v>0</v>
      </c>
      <c r="M78" s="45">
        <v>0</v>
      </c>
      <c r="N78" s="45">
        <v>0</v>
      </c>
      <c r="O78" s="45">
        <v>0</v>
      </c>
      <c r="P78" s="45">
        <f t="shared" si="11"/>
        <v>1762809</v>
      </c>
      <c r="Q78" s="46">
        <f t="shared" si="10"/>
        <v>1.1187913205897044</v>
      </c>
      <c r="R78" s="9"/>
    </row>
    <row r="79" spans="1:18">
      <c r="A79" s="11"/>
      <c r="B79" s="24">
        <v>342.5</v>
      </c>
      <c r="C79" s="19" t="s">
        <v>90</v>
      </c>
      <c r="D79" s="45">
        <v>27743756</v>
      </c>
      <c r="E79" s="45">
        <v>0</v>
      </c>
      <c r="F79" s="45">
        <v>0</v>
      </c>
      <c r="G79" s="45">
        <v>0</v>
      </c>
      <c r="H79" s="45">
        <v>0</v>
      </c>
      <c r="I79" s="45">
        <v>0</v>
      </c>
      <c r="J79" s="45">
        <v>0</v>
      </c>
      <c r="K79" s="45">
        <v>0</v>
      </c>
      <c r="L79" s="45">
        <v>0</v>
      </c>
      <c r="M79" s="45">
        <v>0</v>
      </c>
      <c r="N79" s="45">
        <v>0</v>
      </c>
      <c r="O79" s="45">
        <v>0</v>
      </c>
      <c r="P79" s="45">
        <f t="shared" si="11"/>
        <v>27743756</v>
      </c>
      <c r="Q79" s="46">
        <f t="shared" si="10"/>
        <v>17.607961732302556</v>
      </c>
      <c r="R79" s="9"/>
    </row>
    <row r="80" spans="1:18">
      <c r="A80" s="11"/>
      <c r="B80" s="24">
        <v>342.6</v>
      </c>
      <c r="C80" s="19" t="s">
        <v>91</v>
      </c>
      <c r="D80" s="45">
        <v>9155393</v>
      </c>
      <c r="E80" s="45">
        <v>0</v>
      </c>
      <c r="F80" s="45">
        <v>0</v>
      </c>
      <c r="G80" s="45">
        <v>0</v>
      </c>
      <c r="H80" s="45">
        <v>0</v>
      </c>
      <c r="I80" s="45">
        <v>0</v>
      </c>
      <c r="J80" s="45">
        <v>0</v>
      </c>
      <c r="K80" s="45">
        <v>0</v>
      </c>
      <c r="L80" s="45">
        <v>0</v>
      </c>
      <c r="M80" s="45">
        <v>0</v>
      </c>
      <c r="N80" s="45">
        <v>0</v>
      </c>
      <c r="O80" s="45">
        <v>0</v>
      </c>
      <c r="P80" s="45">
        <f t="shared" si="11"/>
        <v>9155393</v>
      </c>
      <c r="Q80" s="46">
        <f t="shared" si="10"/>
        <v>5.8105978724795113</v>
      </c>
      <c r="R80" s="9"/>
    </row>
    <row r="81" spans="1:18">
      <c r="A81" s="11"/>
      <c r="B81" s="24">
        <v>342.9</v>
      </c>
      <c r="C81" s="19" t="s">
        <v>92</v>
      </c>
      <c r="D81" s="45">
        <v>12767121</v>
      </c>
      <c r="E81" s="45">
        <v>7310164</v>
      </c>
      <c r="F81" s="45">
        <v>0</v>
      </c>
      <c r="G81" s="45">
        <v>0</v>
      </c>
      <c r="H81" s="45">
        <v>0</v>
      </c>
      <c r="I81" s="45">
        <v>0</v>
      </c>
      <c r="J81" s="45">
        <v>0</v>
      </c>
      <c r="K81" s="45">
        <v>0</v>
      </c>
      <c r="L81" s="45">
        <v>0</v>
      </c>
      <c r="M81" s="45">
        <v>0</v>
      </c>
      <c r="N81" s="45">
        <v>0</v>
      </c>
      <c r="O81" s="45">
        <v>0</v>
      </c>
      <c r="P81" s="45">
        <f t="shared" si="11"/>
        <v>20077285</v>
      </c>
      <c r="Q81" s="46">
        <f t="shared" si="10"/>
        <v>12.742328975519108</v>
      </c>
      <c r="R81" s="9"/>
    </row>
    <row r="82" spans="1:18">
      <c r="A82" s="11"/>
      <c r="B82" s="24">
        <v>343.4</v>
      </c>
      <c r="C82" s="19" t="s">
        <v>93</v>
      </c>
      <c r="D82" s="45">
        <v>0</v>
      </c>
      <c r="E82" s="45">
        <v>0</v>
      </c>
      <c r="F82" s="45">
        <v>0</v>
      </c>
      <c r="G82" s="45">
        <v>0</v>
      </c>
      <c r="H82" s="45">
        <v>0</v>
      </c>
      <c r="I82" s="45">
        <v>219226795</v>
      </c>
      <c r="J82" s="45">
        <v>0</v>
      </c>
      <c r="K82" s="45">
        <v>0</v>
      </c>
      <c r="L82" s="45">
        <v>0</v>
      </c>
      <c r="M82" s="45">
        <v>0</v>
      </c>
      <c r="N82" s="45">
        <v>0</v>
      </c>
      <c r="O82" s="45">
        <v>0</v>
      </c>
      <c r="P82" s="45">
        <f t="shared" si="11"/>
        <v>219226795</v>
      </c>
      <c r="Q82" s="46">
        <f t="shared" si="10"/>
        <v>139.13534335636953</v>
      </c>
      <c r="R82" s="9"/>
    </row>
    <row r="83" spans="1:18">
      <c r="A83" s="11"/>
      <c r="B83" s="24">
        <v>343.6</v>
      </c>
      <c r="C83" s="19" t="s">
        <v>94</v>
      </c>
      <c r="D83" s="45">
        <v>0</v>
      </c>
      <c r="E83" s="45">
        <v>0</v>
      </c>
      <c r="F83" s="45">
        <v>0</v>
      </c>
      <c r="G83" s="45">
        <v>0</v>
      </c>
      <c r="H83" s="45">
        <v>0</v>
      </c>
      <c r="I83" s="45">
        <v>421768823</v>
      </c>
      <c r="J83" s="45">
        <v>0</v>
      </c>
      <c r="K83" s="45">
        <v>0</v>
      </c>
      <c r="L83" s="45">
        <v>0</v>
      </c>
      <c r="M83" s="45">
        <v>0</v>
      </c>
      <c r="N83" s="45">
        <v>0</v>
      </c>
      <c r="O83" s="45">
        <v>0</v>
      </c>
      <c r="P83" s="45">
        <f t="shared" si="11"/>
        <v>421768823</v>
      </c>
      <c r="Q83" s="46">
        <f t="shared" si="10"/>
        <v>267.68146660683902</v>
      </c>
      <c r="R83" s="9"/>
    </row>
    <row r="84" spans="1:18">
      <c r="A84" s="11"/>
      <c r="B84" s="24">
        <v>343.7</v>
      </c>
      <c r="C84" s="19" t="s">
        <v>95</v>
      </c>
      <c r="D84" s="45">
        <v>1820068</v>
      </c>
      <c r="E84" s="45">
        <v>2068009</v>
      </c>
      <c r="F84" s="45">
        <v>0</v>
      </c>
      <c r="G84" s="45">
        <v>0</v>
      </c>
      <c r="H84" s="45">
        <v>0</v>
      </c>
      <c r="I84" s="45">
        <v>0</v>
      </c>
      <c r="J84" s="45">
        <v>0</v>
      </c>
      <c r="K84" s="45">
        <v>0</v>
      </c>
      <c r="L84" s="45">
        <v>0</v>
      </c>
      <c r="M84" s="45">
        <v>0</v>
      </c>
      <c r="N84" s="45">
        <v>0</v>
      </c>
      <c r="O84" s="45">
        <v>378595</v>
      </c>
      <c r="P84" s="45">
        <f t="shared" si="11"/>
        <v>4266672</v>
      </c>
      <c r="Q84" s="46">
        <f t="shared" si="10"/>
        <v>2.7079028989545182</v>
      </c>
      <c r="R84" s="9"/>
    </row>
    <row r="85" spans="1:18">
      <c r="A85" s="11"/>
      <c r="B85" s="24">
        <v>343.9</v>
      </c>
      <c r="C85" s="19" t="s">
        <v>96</v>
      </c>
      <c r="D85" s="45">
        <v>1209801</v>
      </c>
      <c r="E85" s="45">
        <v>389940</v>
      </c>
      <c r="F85" s="45">
        <v>0</v>
      </c>
      <c r="G85" s="45">
        <v>0</v>
      </c>
      <c r="H85" s="45">
        <v>0</v>
      </c>
      <c r="I85" s="45">
        <v>0</v>
      </c>
      <c r="J85" s="45">
        <v>0</v>
      </c>
      <c r="K85" s="45">
        <v>0</v>
      </c>
      <c r="L85" s="45">
        <v>0</v>
      </c>
      <c r="M85" s="45">
        <v>0</v>
      </c>
      <c r="N85" s="45">
        <v>0</v>
      </c>
      <c r="O85" s="45">
        <v>0</v>
      </c>
      <c r="P85" s="45">
        <f t="shared" si="11"/>
        <v>1599741</v>
      </c>
      <c r="Q85" s="46">
        <f t="shared" si="10"/>
        <v>1.0152979398173565</v>
      </c>
      <c r="R85" s="9"/>
    </row>
    <row r="86" spans="1:18">
      <c r="A86" s="11"/>
      <c r="B86" s="24">
        <v>344.5</v>
      </c>
      <c r="C86" s="19" t="s">
        <v>221</v>
      </c>
      <c r="D86" s="45">
        <v>789705</v>
      </c>
      <c r="E86" s="45">
        <v>0</v>
      </c>
      <c r="F86" s="45">
        <v>0</v>
      </c>
      <c r="G86" s="45">
        <v>0</v>
      </c>
      <c r="H86" s="45">
        <v>0</v>
      </c>
      <c r="I86" s="45">
        <v>7644</v>
      </c>
      <c r="J86" s="45">
        <v>1233</v>
      </c>
      <c r="K86" s="45">
        <v>0</v>
      </c>
      <c r="L86" s="45">
        <v>0</v>
      </c>
      <c r="M86" s="45">
        <v>0</v>
      </c>
      <c r="N86" s="45">
        <v>0</v>
      </c>
      <c r="O86" s="45">
        <v>0</v>
      </c>
      <c r="P86" s="45">
        <f t="shared" si="11"/>
        <v>798582</v>
      </c>
      <c r="Q86" s="46">
        <f t="shared" si="10"/>
        <v>0.50683120541089099</v>
      </c>
      <c r="R86" s="9"/>
    </row>
    <row r="87" spans="1:18">
      <c r="A87" s="11"/>
      <c r="B87" s="24">
        <v>344.9</v>
      </c>
      <c r="C87" s="19" t="s">
        <v>222</v>
      </c>
      <c r="D87" s="45">
        <v>1987178</v>
      </c>
      <c r="E87" s="45">
        <v>2630851</v>
      </c>
      <c r="F87" s="45">
        <v>0</v>
      </c>
      <c r="G87" s="45">
        <v>0</v>
      </c>
      <c r="H87" s="45">
        <v>0</v>
      </c>
      <c r="I87" s="45">
        <v>0</v>
      </c>
      <c r="J87" s="45">
        <v>0</v>
      </c>
      <c r="K87" s="45">
        <v>0</v>
      </c>
      <c r="L87" s="45">
        <v>0</v>
      </c>
      <c r="M87" s="45">
        <v>0</v>
      </c>
      <c r="N87" s="45">
        <v>0</v>
      </c>
      <c r="O87" s="45">
        <v>0</v>
      </c>
      <c r="P87" s="45">
        <f t="shared" si="11"/>
        <v>4618029</v>
      </c>
      <c r="Q87" s="46">
        <f t="shared" si="10"/>
        <v>2.9308965199471704</v>
      </c>
      <c r="R87" s="9"/>
    </row>
    <row r="88" spans="1:18">
      <c r="A88" s="11"/>
      <c r="B88" s="24">
        <v>345.1</v>
      </c>
      <c r="C88" s="19" t="s">
        <v>99</v>
      </c>
      <c r="D88" s="45">
        <v>0</v>
      </c>
      <c r="E88" s="45">
        <v>0</v>
      </c>
      <c r="F88" s="45">
        <v>0</v>
      </c>
      <c r="G88" s="45">
        <v>0</v>
      </c>
      <c r="H88" s="45">
        <v>0</v>
      </c>
      <c r="I88" s="45">
        <v>0</v>
      </c>
      <c r="J88" s="45">
        <v>0</v>
      </c>
      <c r="K88" s="45">
        <v>0</v>
      </c>
      <c r="L88" s="45">
        <v>0</v>
      </c>
      <c r="M88" s="45">
        <v>0</v>
      </c>
      <c r="N88" s="45">
        <v>0</v>
      </c>
      <c r="O88" s="45">
        <v>2105579</v>
      </c>
      <c r="P88" s="45">
        <f t="shared" si="11"/>
        <v>2105579</v>
      </c>
      <c r="Q88" s="46">
        <f t="shared" si="10"/>
        <v>1.336335082255621</v>
      </c>
      <c r="R88" s="9"/>
    </row>
    <row r="89" spans="1:18">
      <c r="A89" s="11"/>
      <c r="B89" s="24">
        <v>345.9</v>
      </c>
      <c r="C89" s="19" t="s">
        <v>100</v>
      </c>
      <c r="D89" s="45">
        <v>81990</v>
      </c>
      <c r="E89" s="45">
        <v>0</v>
      </c>
      <c r="F89" s="45">
        <v>0</v>
      </c>
      <c r="G89" s="45">
        <v>0</v>
      </c>
      <c r="H89" s="45">
        <v>0</v>
      </c>
      <c r="I89" s="45">
        <v>0</v>
      </c>
      <c r="J89" s="45">
        <v>0</v>
      </c>
      <c r="K89" s="45">
        <v>0</v>
      </c>
      <c r="L89" s="45">
        <v>0</v>
      </c>
      <c r="M89" s="45">
        <v>0</v>
      </c>
      <c r="N89" s="45">
        <v>0</v>
      </c>
      <c r="O89" s="45">
        <v>0</v>
      </c>
      <c r="P89" s="45">
        <f t="shared" si="11"/>
        <v>81990</v>
      </c>
      <c r="Q89" s="46">
        <f t="shared" si="10"/>
        <v>5.2036097146741289E-2</v>
      </c>
      <c r="R89" s="9"/>
    </row>
    <row r="90" spans="1:18">
      <c r="A90" s="11"/>
      <c r="B90" s="24">
        <v>346.4</v>
      </c>
      <c r="C90" s="19" t="s">
        <v>101</v>
      </c>
      <c r="D90" s="45">
        <v>71620</v>
      </c>
      <c r="E90" s="45">
        <v>0</v>
      </c>
      <c r="F90" s="45">
        <v>0</v>
      </c>
      <c r="G90" s="45">
        <v>0</v>
      </c>
      <c r="H90" s="45">
        <v>0</v>
      </c>
      <c r="I90" s="45">
        <v>0</v>
      </c>
      <c r="J90" s="45">
        <v>0</v>
      </c>
      <c r="K90" s="45">
        <v>0</v>
      </c>
      <c r="L90" s="45">
        <v>0</v>
      </c>
      <c r="M90" s="45">
        <v>0</v>
      </c>
      <c r="N90" s="45">
        <v>0</v>
      </c>
      <c r="O90" s="45">
        <v>0</v>
      </c>
      <c r="P90" s="45">
        <f t="shared" si="11"/>
        <v>71620</v>
      </c>
      <c r="Q90" s="46">
        <f t="shared" si="10"/>
        <v>4.5454631999629354E-2</v>
      </c>
      <c r="R90" s="9"/>
    </row>
    <row r="91" spans="1:18">
      <c r="A91" s="11"/>
      <c r="B91" s="24">
        <v>346.9</v>
      </c>
      <c r="C91" s="19" t="s">
        <v>102</v>
      </c>
      <c r="D91" s="45">
        <v>98546</v>
      </c>
      <c r="E91" s="45">
        <v>756</v>
      </c>
      <c r="F91" s="45">
        <v>0</v>
      </c>
      <c r="G91" s="45">
        <v>0</v>
      </c>
      <c r="H91" s="45">
        <v>0</v>
      </c>
      <c r="I91" s="45">
        <v>0</v>
      </c>
      <c r="J91" s="45">
        <v>24412424</v>
      </c>
      <c r="K91" s="45">
        <v>0</v>
      </c>
      <c r="L91" s="45">
        <v>0</v>
      </c>
      <c r="M91" s="45">
        <v>0</v>
      </c>
      <c r="N91" s="45">
        <v>0</v>
      </c>
      <c r="O91" s="45">
        <v>0</v>
      </c>
      <c r="P91" s="45">
        <f t="shared" si="11"/>
        <v>24511726</v>
      </c>
      <c r="Q91" s="46">
        <f t="shared" si="10"/>
        <v>15.5567088104684</v>
      </c>
      <c r="R91" s="9"/>
    </row>
    <row r="92" spans="1:18">
      <c r="A92" s="11"/>
      <c r="B92" s="24">
        <v>347.1</v>
      </c>
      <c r="C92" s="19" t="s">
        <v>103</v>
      </c>
      <c r="D92" s="45">
        <v>0</v>
      </c>
      <c r="E92" s="45">
        <v>40563</v>
      </c>
      <c r="F92" s="45">
        <v>0</v>
      </c>
      <c r="G92" s="45">
        <v>0</v>
      </c>
      <c r="H92" s="45">
        <v>0</v>
      </c>
      <c r="I92" s="45">
        <v>0</v>
      </c>
      <c r="J92" s="45">
        <v>0</v>
      </c>
      <c r="K92" s="45">
        <v>0</v>
      </c>
      <c r="L92" s="45">
        <v>0</v>
      </c>
      <c r="M92" s="45">
        <v>0</v>
      </c>
      <c r="N92" s="45">
        <v>0</v>
      </c>
      <c r="O92" s="45">
        <v>0</v>
      </c>
      <c r="P92" s="45">
        <f t="shared" si="11"/>
        <v>40563</v>
      </c>
      <c r="Q92" s="46">
        <f t="shared" si="10"/>
        <v>2.5743873747570031E-2</v>
      </c>
      <c r="R92" s="9"/>
    </row>
    <row r="93" spans="1:18">
      <c r="A93" s="11"/>
      <c r="B93" s="24">
        <v>347.2</v>
      </c>
      <c r="C93" s="19" t="s">
        <v>104</v>
      </c>
      <c r="D93" s="45">
        <v>4095882</v>
      </c>
      <c r="E93" s="45">
        <v>0</v>
      </c>
      <c r="F93" s="45">
        <v>0</v>
      </c>
      <c r="G93" s="45">
        <v>0</v>
      </c>
      <c r="H93" s="45">
        <v>0</v>
      </c>
      <c r="I93" s="45">
        <v>0</v>
      </c>
      <c r="J93" s="45">
        <v>0</v>
      </c>
      <c r="K93" s="45">
        <v>0</v>
      </c>
      <c r="L93" s="45">
        <v>0</v>
      </c>
      <c r="M93" s="45">
        <v>0</v>
      </c>
      <c r="N93" s="45">
        <v>0</v>
      </c>
      <c r="O93" s="45">
        <v>0</v>
      </c>
      <c r="P93" s="45">
        <f t="shared" si="11"/>
        <v>4095882</v>
      </c>
      <c r="Q93" s="46">
        <f t="shared" si="10"/>
        <v>2.5995086431709842</v>
      </c>
      <c r="R93" s="9"/>
    </row>
    <row r="94" spans="1:18">
      <c r="A94" s="11"/>
      <c r="B94" s="24">
        <v>347.4</v>
      </c>
      <c r="C94" s="19" t="s">
        <v>105</v>
      </c>
      <c r="D94" s="45">
        <v>280</v>
      </c>
      <c r="E94" s="45">
        <v>6962</v>
      </c>
      <c r="F94" s="45">
        <v>0</v>
      </c>
      <c r="G94" s="45">
        <v>0</v>
      </c>
      <c r="H94" s="45">
        <v>0</v>
      </c>
      <c r="I94" s="45">
        <v>0</v>
      </c>
      <c r="J94" s="45">
        <v>0</v>
      </c>
      <c r="K94" s="45">
        <v>0</v>
      </c>
      <c r="L94" s="45">
        <v>0</v>
      </c>
      <c r="M94" s="45">
        <v>0</v>
      </c>
      <c r="N94" s="45">
        <v>0</v>
      </c>
      <c r="O94" s="45">
        <v>0</v>
      </c>
      <c r="P94" s="45">
        <f t="shared" si="11"/>
        <v>7242</v>
      </c>
      <c r="Q94" s="46">
        <f t="shared" si="10"/>
        <v>4.5962363158519376E-3</v>
      </c>
      <c r="R94" s="9"/>
    </row>
    <row r="95" spans="1:18">
      <c r="A95" s="11"/>
      <c r="B95" s="24">
        <v>347.5</v>
      </c>
      <c r="C95" s="19" t="s">
        <v>106</v>
      </c>
      <c r="D95" s="45">
        <v>184043</v>
      </c>
      <c r="E95" s="45">
        <v>0</v>
      </c>
      <c r="F95" s="45">
        <v>0</v>
      </c>
      <c r="G95" s="45">
        <v>0</v>
      </c>
      <c r="H95" s="45">
        <v>0</v>
      </c>
      <c r="I95" s="45">
        <v>0</v>
      </c>
      <c r="J95" s="45">
        <v>0</v>
      </c>
      <c r="K95" s="45">
        <v>0</v>
      </c>
      <c r="L95" s="45">
        <v>0</v>
      </c>
      <c r="M95" s="45">
        <v>0</v>
      </c>
      <c r="N95" s="45">
        <v>0</v>
      </c>
      <c r="O95" s="45">
        <v>0</v>
      </c>
      <c r="P95" s="45">
        <f t="shared" si="11"/>
        <v>184043</v>
      </c>
      <c r="Q95" s="46">
        <f t="shared" si="10"/>
        <v>0.11680545709449575</v>
      </c>
      <c r="R95" s="9"/>
    </row>
    <row r="96" spans="1:18">
      <c r="A96" s="11"/>
      <c r="B96" s="24">
        <v>347.9</v>
      </c>
      <c r="C96" s="19" t="s">
        <v>107</v>
      </c>
      <c r="D96" s="45">
        <v>27385</v>
      </c>
      <c r="E96" s="45">
        <v>0</v>
      </c>
      <c r="F96" s="45">
        <v>0</v>
      </c>
      <c r="G96" s="45">
        <v>0</v>
      </c>
      <c r="H96" s="45">
        <v>0</v>
      </c>
      <c r="I96" s="45">
        <v>0</v>
      </c>
      <c r="J96" s="45">
        <v>0</v>
      </c>
      <c r="K96" s="45">
        <v>0</v>
      </c>
      <c r="L96" s="45">
        <v>0</v>
      </c>
      <c r="M96" s="45">
        <v>0</v>
      </c>
      <c r="N96" s="45">
        <v>0</v>
      </c>
      <c r="O96" s="45">
        <v>0</v>
      </c>
      <c r="P96" s="45">
        <f t="shared" si="11"/>
        <v>27385</v>
      </c>
      <c r="Q96" s="46">
        <f t="shared" si="10"/>
        <v>1.7380272232754117E-2</v>
      </c>
      <c r="R96" s="9"/>
    </row>
    <row r="97" spans="1:18">
      <c r="A97" s="11"/>
      <c r="B97" s="24">
        <v>348.11</v>
      </c>
      <c r="C97" s="19" t="s">
        <v>244</v>
      </c>
      <c r="D97" s="45">
        <v>0</v>
      </c>
      <c r="E97" s="45">
        <v>27174178</v>
      </c>
      <c r="F97" s="45">
        <v>0</v>
      </c>
      <c r="G97" s="45">
        <v>0</v>
      </c>
      <c r="H97" s="45">
        <v>0</v>
      </c>
      <c r="I97" s="45">
        <v>0</v>
      </c>
      <c r="J97" s="45">
        <v>0</v>
      </c>
      <c r="K97" s="45">
        <v>0</v>
      </c>
      <c r="L97" s="45">
        <v>0</v>
      </c>
      <c r="M97" s="45">
        <v>0</v>
      </c>
      <c r="N97" s="45">
        <v>0</v>
      </c>
      <c r="O97" s="45">
        <v>0</v>
      </c>
      <c r="P97" s="45">
        <f>SUM(D97:O97)</f>
        <v>27174178</v>
      </c>
      <c r="Q97" s="46">
        <f t="shared" si="10"/>
        <v>17.246471109779726</v>
      </c>
      <c r="R97" s="9"/>
    </row>
    <row r="98" spans="1:18">
      <c r="A98" s="11"/>
      <c r="B98" s="24">
        <v>348.88</v>
      </c>
      <c r="C98" s="19" t="s">
        <v>223</v>
      </c>
      <c r="D98" s="45">
        <v>9310</v>
      </c>
      <c r="E98" s="45">
        <v>0</v>
      </c>
      <c r="F98" s="45">
        <v>0</v>
      </c>
      <c r="G98" s="45">
        <v>0</v>
      </c>
      <c r="H98" s="45">
        <v>0</v>
      </c>
      <c r="I98" s="45">
        <v>0</v>
      </c>
      <c r="J98" s="45">
        <v>0</v>
      </c>
      <c r="K98" s="45">
        <v>0</v>
      </c>
      <c r="L98" s="45">
        <v>0</v>
      </c>
      <c r="M98" s="45">
        <v>0</v>
      </c>
      <c r="N98" s="45">
        <v>0</v>
      </c>
      <c r="O98" s="45">
        <v>0</v>
      </c>
      <c r="P98" s="45">
        <f t="shared" si="11"/>
        <v>9310</v>
      </c>
      <c r="Q98" s="46">
        <f t="shared" si="10"/>
        <v>5.9087213615826488E-3</v>
      </c>
      <c r="R98" s="9"/>
    </row>
    <row r="99" spans="1:18">
      <c r="A99" s="11"/>
      <c r="B99" s="24">
        <v>348.92099999999999</v>
      </c>
      <c r="C99" s="19" t="s">
        <v>224</v>
      </c>
      <c r="D99" s="45">
        <v>0</v>
      </c>
      <c r="E99" s="45">
        <v>209937</v>
      </c>
      <c r="F99" s="45">
        <v>0</v>
      </c>
      <c r="G99" s="45">
        <v>0</v>
      </c>
      <c r="H99" s="45">
        <v>0</v>
      </c>
      <c r="I99" s="45">
        <v>0</v>
      </c>
      <c r="J99" s="45">
        <v>0</v>
      </c>
      <c r="K99" s="45">
        <v>0</v>
      </c>
      <c r="L99" s="45">
        <v>0</v>
      </c>
      <c r="M99" s="45">
        <v>0</v>
      </c>
      <c r="N99" s="45">
        <v>0</v>
      </c>
      <c r="O99" s="45">
        <v>0</v>
      </c>
      <c r="P99" s="45">
        <f t="shared" si="11"/>
        <v>209937</v>
      </c>
      <c r="Q99" s="46">
        <f t="shared" si="10"/>
        <v>0.13323944537986859</v>
      </c>
      <c r="R99" s="9"/>
    </row>
    <row r="100" spans="1:18">
      <c r="A100" s="11"/>
      <c r="B100" s="24">
        <v>348.92200000000003</v>
      </c>
      <c r="C100" s="19" t="s">
        <v>225</v>
      </c>
      <c r="D100" s="45">
        <v>0</v>
      </c>
      <c r="E100" s="45">
        <v>209937</v>
      </c>
      <c r="F100" s="45">
        <v>0</v>
      </c>
      <c r="G100" s="45">
        <v>0</v>
      </c>
      <c r="H100" s="45">
        <v>0</v>
      </c>
      <c r="I100" s="45">
        <v>0</v>
      </c>
      <c r="J100" s="45">
        <v>0</v>
      </c>
      <c r="K100" s="45">
        <v>0</v>
      </c>
      <c r="L100" s="45">
        <v>0</v>
      </c>
      <c r="M100" s="45">
        <v>0</v>
      </c>
      <c r="N100" s="45">
        <v>0</v>
      </c>
      <c r="O100" s="45">
        <v>0</v>
      </c>
      <c r="P100" s="45">
        <f t="shared" si="11"/>
        <v>209937</v>
      </c>
      <c r="Q100" s="46">
        <f t="shared" si="10"/>
        <v>0.13323944537986859</v>
      </c>
      <c r="R100" s="9"/>
    </row>
    <row r="101" spans="1:18">
      <c r="A101" s="11"/>
      <c r="B101" s="24">
        <v>348.923</v>
      </c>
      <c r="C101" s="19" t="s">
        <v>226</v>
      </c>
      <c r="D101" s="45">
        <v>0</v>
      </c>
      <c r="E101" s="45">
        <v>209966</v>
      </c>
      <c r="F101" s="45">
        <v>0</v>
      </c>
      <c r="G101" s="45">
        <v>0</v>
      </c>
      <c r="H101" s="45">
        <v>0</v>
      </c>
      <c r="I101" s="45">
        <v>0</v>
      </c>
      <c r="J101" s="45">
        <v>0</v>
      </c>
      <c r="K101" s="45">
        <v>0</v>
      </c>
      <c r="L101" s="45">
        <v>0</v>
      </c>
      <c r="M101" s="45">
        <v>0</v>
      </c>
      <c r="N101" s="45">
        <v>0</v>
      </c>
      <c r="O101" s="45">
        <v>0</v>
      </c>
      <c r="P101" s="45">
        <f t="shared" si="11"/>
        <v>209966</v>
      </c>
      <c r="Q101" s="46">
        <f t="shared" ref="Q101:Q132" si="12">(P101/Q$136)</f>
        <v>0.13325785063437834</v>
      </c>
      <c r="R101" s="9"/>
    </row>
    <row r="102" spans="1:18">
      <c r="A102" s="11"/>
      <c r="B102" s="24">
        <v>348.92399999999998</v>
      </c>
      <c r="C102" s="19" t="s">
        <v>227</v>
      </c>
      <c r="D102" s="45">
        <v>0</v>
      </c>
      <c r="E102" s="45">
        <v>209937</v>
      </c>
      <c r="F102" s="45">
        <v>0</v>
      </c>
      <c r="G102" s="45">
        <v>0</v>
      </c>
      <c r="H102" s="45">
        <v>0</v>
      </c>
      <c r="I102" s="45">
        <v>0</v>
      </c>
      <c r="J102" s="45">
        <v>0</v>
      </c>
      <c r="K102" s="45">
        <v>0</v>
      </c>
      <c r="L102" s="45">
        <v>0</v>
      </c>
      <c r="M102" s="45">
        <v>0</v>
      </c>
      <c r="N102" s="45">
        <v>0</v>
      </c>
      <c r="O102" s="45">
        <v>0</v>
      </c>
      <c r="P102" s="45">
        <f t="shared" si="11"/>
        <v>209937</v>
      </c>
      <c r="Q102" s="46">
        <f t="shared" si="12"/>
        <v>0.13323944537986859</v>
      </c>
      <c r="R102" s="9"/>
    </row>
    <row r="103" spans="1:18">
      <c r="A103" s="11"/>
      <c r="B103" s="24">
        <v>348.93</v>
      </c>
      <c r="C103" s="19" t="s">
        <v>228</v>
      </c>
      <c r="D103" s="45">
        <v>0</v>
      </c>
      <c r="E103" s="45">
        <v>2671692</v>
      </c>
      <c r="F103" s="45">
        <v>0</v>
      </c>
      <c r="G103" s="45">
        <v>0</v>
      </c>
      <c r="H103" s="45">
        <v>0</v>
      </c>
      <c r="I103" s="45">
        <v>0</v>
      </c>
      <c r="J103" s="45">
        <v>0</v>
      </c>
      <c r="K103" s="45">
        <v>0</v>
      </c>
      <c r="L103" s="45">
        <v>0</v>
      </c>
      <c r="M103" s="45">
        <v>0</v>
      </c>
      <c r="N103" s="45">
        <v>0</v>
      </c>
      <c r="O103" s="45">
        <v>0</v>
      </c>
      <c r="P103" s="45">
        <f t="shared" si="11"/>
        <v>2671692</v>
      </c>
      <c r="Q103" s="46">
        <f t="shared" si="12"/>
        <v>1.6956265941965059</v>
      </c>
      <c r="R103" s="9"/>
    </row>
    <row r="104" spans="1:18">
      <c r="A104" s="11"/>
      <c r="B104" s="24">
        <v>348.93200000000002</v>
      </c>
      <c r="C104" s="19" t="s">
        <v>229</v>
      </c>
      <c r="D104" s="45">
        <v>82922</v>
      </c>
      <c r="E104" s="45">
        <v>0</v>
      </c>
      <c r="F104" s="45">
        <v>0</v>
      </c>
      <c r="G104" s="45">
        <v>0</v>
      </c>
      <c r="H104" s="45">
        <v>0</v>
      </c>
      <c r="I104" s="45">
        <v>0</v>
      </c>
      <c r="J104" s="45">
        <v>0</v>
      </c>
      <c r="K104" s="45">
        <v>0</v>
      </c>
      <c r="L104" s="45">
        <v>0</v>
      </c>
      <c r="M104" s="45">
        <v>0</v>
      </c>
      <c r="N104" s="45">
        <v>0</v>
      </c>
      <c r="O104" s="45">
        <v>0</v>
      </c>
      <c r="P104" s="45">
        <f t="shared" si="11"/>
        <v>82922</v>
      </c>
      <c r="Q104" s="46">
        <f t="shared" si="12"/>
        <v>5.2627603946848164E-2</v>
      </c>
      <c r="R104" s="9"/>
    </row>
    <row r="105" spans="1:18">
      <c r="A105" s="11"/>
      <c r="B105" s="24">
        <v>348.99</v>
      </c>
      <c r="C105" s="19" t="s">
        <v>231</v>
      </c>
      <c r="D105" s="45">
        <v>0</v>
      </c>
      <c r="E105" s="45">
        <v>754212</v>
      </c>
      <c r="F105" s="45">
        <v>0</v>
      </c>
      <c r="G105" s="45">
        <v>0</v>
      </c>
      <c r="H105" s="45">
        <v>0</v>
      </c>
      <c r="I105" s="45">
        <v>0</v>
      </c>
      <c r="J105" s="45">
        <v>0</v>
      </c>
      <c r="K105" s="45">
        <v>0</v>
      </c>
      <c r="L105" s="45">
        <v>0</v>
      </c>
      <c r="M105" s="45">
        <v>0</v>
      </c>
      <c r="N105" s="45">
        <v>0</v>
      </c>
      <c r="O105" s="45">
        <v>0</v>
      </c>
      <c r="P105" s="45">
        <f t="shared" si="11"/>
        <v>754212</v>
      </c>
      <c r="Q105" s="46">
        <f t="shared" si="12"/>
        <v>0.47867116601095305</v>
      </c>
      <c r="R105" s="9"/>
    </row>
    <row r="106" spans="1:18">
      <c r="A106" s="11"/>
      <c r="B106" s="24">
        <v>349</v>
      </c>
      <c r="C106" s="19" t="s">
        <v>321</v>
      </c>
      <c r="D106" s="45">
        <v>29452</v>
      </c>
      <c r="E106" s="45">
        <v>0</v>
      </c>
      <c r="F106" s="45">
        <v>0</v>
      </c>
      <c r="G106" s="45">
        <v>0</v>
      </c>
      <c r="H106" s="45">
        <v>0</v>
      </c>
      <c r="I106" s="45">
        <v>0</v>
      </c>
      <c r="J106" s="45">
        <v>0</v>
      </c>
      <c r="K106" s="45">
        <v>0</v>
      </c>
      <c r="L106" s="45">
        <v>0</v>
      </c>
      <c r="M106" s="45">
        <v>0</v>
      </c>
      <c r="N106" s="45">
        <v>0</v>
      </c>
      <c r="O106" s="45">
        <v>0</v>
      </c>
      <c r="P106" s="45">
        <f t="shared" si="11"/>
        <v>29452</v>
      </c>
      <c r="Q106" s="46">
        <f t="shared" si="12"/>
        <v>1.8692122614536216E-2</v>
      </c>
      <c r="R106" s="9"/>
    </row>
    <row r="107" spans="1:18" ht="15.75">
      <c r="A107" s="28" t="s">
        <v>76</v>
      </c>
      <c r="B107" s="29"/>
      <c r="C107" s="30"/>
      <c r="D107" s="31">
        <f t="shared" ref="D107:O107" si="13">SUM(D108:D115)</f>
        <v>3583559</v>
      </c>
      <c r="E107" s="31">
        <f t="shared" si="13"/>
        <v>9898392</v>
      </c>
      <c r="F107" s="31">
        <f t="shared" si="13"/>
        <v>0</v>
      </c>
      <c r="G107" s="31">
        <f t="shared" si="13"/>
        <v>0</v>
      </c>
      <c r="H107" s="31">
        <f t="shared" si="13"/>
        <v>0</v>
      </c>
      <c r="I107" s="31">
        <f t="shared" si="13"/>
        <v>159391</v>
      </c>
      <c r="J107" s="31">
        <f t="shared" si="13"/>
        <v>1128</v>
      </c>
      <c r="K107" s="31">
        <f t="shared" si="13"/>
        <v>0</v>
      </c>
      <c r="L107" s="31">
        <f t="shared" si="13"/>
        <v>0</v>
      </c>
      <c r="M107" s="31">
        <f t="shared" si="13"/>
        <v>0</v>
      </c>
      <c r="N107" s="31">
        <f t="shared" si="13"/>
        <v>0</v>
      </c>
      <c r="O107" s="31">
        <f t="shared" si="13"/>
        <v>0</v>
      </c>
      <c r="P107" s="31">
        <f>SUM(D107:O107)</f>
        <v>13642470</v>
      </c>
      <c r="Q107" s="44">
        <f t="shared" si="12"/>
        <v>8.6583838790279746</v>
      </c>
      <c r="R107" s="10"/>
    </row>
    <row r="108" spans="1:18">
      <c r="A108" s="12"/>
      <c r="B108" s="38">
        <v>351.1</v>
      </c>
      <c r="C108" s="20" t="s">
        <v>134</v>
      </c>
      <c r="D108" s="45">
        <v>0</v>
      </c>
      <c r="E108" s="45">
        <v>6466</v>
      </c>
      <c r="F108" s="45">
        <v>0</v>
      </c>
      <c r="G108" s="45">
        <v>0</v>
      </c>
      <c r="H108" s="45">
        <v>0</v>
      </c>
      <c r="I108" s="45">
        <v>0</v>
      </c>
      <c r="J108" s="45">
        <v>0</v>
      </c>
      <c r="K108" s="45">
        <v>0</v>
      </c>
      <c r="L108" s="45">
        <v>0</v>
      </c>
      <c r="M108" s="45">
        <v>0</v>
      </c>
      <c r="N108" s="45">
        <v>0</v>
      </c>
      <c r="O108" s="45">
        <v>0</v>
      </c>
      <c r="P108" s="45">
        <f>SUM(D108:O108)</f>
        <v>6466</v>
      </c>
      <c r="Q108" s="46">
        <f t="shared" si="12"/>
        <v>4.1037370917286148E-3</v>
      </c>
      <c r="R108" s="9"/>
    </row>
    <row r="109" spans="1:18">
      <c r="A109" s="12"/>
      <c r="B109" s="38">
        <v>351.5</v>
      </c>
      <c r="C109" s="20" t="s">
        <v>137</v>
      </c>
      <c r="D109" s="45">
        <v>372039</v>
      </c>
      <c r="E109" s="45">
        <v>0</v>
      </c>
      <c r="F109" s="45">
        <v>0</v>
      </c>
      <c r="G109" s="45">
        <v>0</v>
      </c>
      <c r="H109" s="45">
        <v>0</v>
      </c>
      <c r="I109" s="45">
        <v>0</v>
      </c>
      <c r="J109" s="45">
        <v>0</v>
      </c>
      <c r="K109" s="45">
        <v>0</v>
      </c>
      <c r="L109" s="45">
        <v>0</v>
      </c>
      <c r="M109" s="45">
        <v>0</v>
      </c>
      <c r="N109" s="45">
        <v>0</v>
      </c>
      <c r="O109" s="45">
        <v>0</v>
      </c>
      <c r="P109" s="45">
        <f t="shared" ref="P109:P115" si="14">SUM(D109:O109)</f>
        <v>372039</v>
      </c>
      <c r="Q109" s="46">
        <f t="shared" si="12"/>
        <v>0.23611974077785683</v>
      </c>
      <c r="R109" s="9"/>
    </row>
    <row r="110" spans="1:18">
      <c r="A110" s="12"/>
      <c r="B110" s="38">
        <v>351.6</v>
      </c>
      <c r="C110" s="20" t="s">
        <v>277</v>
      </c>
      <c r="D110" s="45">
        <v>0</v>
      </c>
      <c r="E110" s="45">
        <v>288</v>
      </c>
      <c r="F110" s="45">
        <v>0</v>
      </c>
      <c r="G110" s="45">
        <v>0</v>
      </c>
      <c r="H110" s="45">
        <v>0</v>
      </c>
      <c r="I110" s="45">
        <v>0</v>
      </c>
      <c r="J110" s="45">
        <v>0</v>
      </c>
      <c r="K110" s="45">
        <v>0</v>
      </c>
      <c r="L110" s="45">
        <v>0</v>
      </c>
      <c r="M110" s="45">
        <v>0</v>
      </c>
      <c r="N110" s="45">
        <v>0</v>
      </c>
      <c r="O110" s="45">
        <v>0</v>
      </c>
      <c r="P110" s="45">
        <f t="shared" si="14"/>
        <v>288</v>
      </c>
      <c r="Q110" s="46">
        <f t="shared" si="12"/>
        <v>1.8278321720040846E-4</v>
      </c>
      <c r="R110" s="9"/>
    </row>
    <row r="111" spans="1:18">
      <c r="A111" s="12"/>
      <c r="B111" s="38">
        <v>351.7</v>
      </c>
      <c r="C111" s="20" t="s">
        <v>232</v>
      </c>
      <c r="D111" s="45">
        <v>0</v>
      </c>
      <c r="E111" s="45">
        <v>463878</v>
      </c>
      <c r="F111" s="45">
        <v>0</v>
      </c>
      <c r="G111" s="45">
        <v>0</v>
      </c>
      <c r="H111" s="45">
        <v>0</v>
      </c>
      <c r="I111" s="45">
        <v>0</v>
      </c>
      <c r="J111" s="45">
        <v>0</v>
      </c>
      <c r="K111" s="45">
        <v>0</v>
      </c>
      <c r="L111" s="45">
        <v>0</v>
      </c>
      <c r="M111" s="45">
        <v>0</v>
      </c>
      <c r="N111" s="45">
        <v>0</v>
      </c>
      <c r="O111" s="45">
        <v>0</v>
      </c>
      <c r="P111" s="45">
        <f t="shared" si="14"/>
        <v>463878</v>
      </c>
      <c r="Q111" s="46">
        <f t="shared" si="12"/>
        <v>0.29440664315448289</v>
      </c>
      <c r="R111" s="9"/>
    </row>
    <row r="112" spans="1:18">
      <c r="A112" s="12"/>
      <c r="B112" s="38">
        <v>351.9</v>
      </c>
      <c r="C112" s="20" t="s">
        <v>322</v>
      </c>
      <c r="D112" s="45">
        <v>1894</v>
      </c>
      <c r="E112" s="45">
        <v>0</v>
      </c>
      <c r="F112" s="45">
        <v>0</v>
      </c>
      <c r="G112" s="45">
        <v>0</v>
      </c>
      <c r="H112" s="45">
        <v>0</v>
      </c>
      <c r="I112" s="45">
        <v>0</v>
      </c>
      <c r="J112" s="45">
        <v>0</v>
      </c>
      <c r="K112" s="45">
        <v>0</v>
      </c>
      <c r="L112" s="45">
        <v>0</v>
      </c>
      <c r="M112" s="45">
        <v>0</v>
      </c>
      <c r="N112" s="45">
        <v>0</v>
      </c>
      <c r="O112" s="45">
        <v>0</v>
      </c>
      <c r="P112" s="45">
        <f t="shared" si="14"/>
        <v>1894</v>
      </c>
      <c r="Q112" s="46">
        <f t="shared" si="12"/>
        <v>1.2020535186721307E-3</v>
      </c>
      <c r="R112" s="9"/>
    </row>
    <row r="113" spans="1:18">
      <c r="A113" s="12"/>
      <c r="B113" s="38">
        <v>353</v>
      </c>
      <c r="C113" s="20" t="s">
        <v>139</v>
      </c>
      <c r="D113" s="45">
        <v>0</v>
      </c>
      <c r="E113" s="45">
        <v>591924</v>
      </c>
      <c r="F113" s="45">
        <v>0</v>
      </c>
      <c r="G113" s="45">
        <v>0</v>
      </c>
      <c r="H113" s="45">
        <v>0</v>
      </c>
      <c r="I113" s="45">
        <v>0</v>
      </c>
      <c r="J113" s="45">
        <v>0</v>
      </c>
      <c r="K113" s="45">
        <v>0</v>
      </c>
      <c r="L113" s="45">
        <v>0</v>
      </c>
      <c r="M113" s="45">
        <v>0</v>
      </c>
      <c r="N113" s="45">
        <v>0</v>
      </c>
      <c r="O113" s="45">
        <v>0</v>
      </c>
      <c r="P113" s="45">
        <f t="shared" si="14"/>
        <v>591924</v>
      </c>
      <c r="Q113" s="46">
        <f t="shared" si="12"/>
        <v>0.37567282311852285</v>
      </c>
      <c r="R113" s="9"/>
    </row>
    <row r="114" spans="1:18">
      <c r="A114" s="12"/>
      <c r="B114" s="38">
        <v>354</v>
      </c>
      <c r="C114" s="20" t="s">
        <v>140</v>
      </c>
      <c r="D114" s="45">
        <v>3192233</v>
      </c>
      <c r="E114" s="45">
        <v>63597</v>
      </c>
      <c r="F114" s="45">
        <v>0</v>
      </c>
      <c r="G114" s="45">
        <v>0</v>
      </c>
      <c r="H114" s="45">
        <v>0</v>
      </c>
      <c r="I114" s="45">
        <v>159391</v>
      </c>
      <c r="J114" s="45">
        <v>1128</v>
      </c>
      <c r="K114" s="45">
        <v>0</v>
      </c>
      <c r="L114" s="45">
        <v>0</v>
      </c>
      <c r="M114" s="45">
        <v>0</v>
      </c>
      <c r="N114" s="45">
        <v>0</v>
      </c>
      <c r="O114" s="45">
        <v>0</v>
      </c>
      <c r="P114" s="45">
        <f t="shared" si="14"/>
        <v>3416349</v>
      </c>
      <c r="Q114" s="46">
        <f t="shared" si="12"/>
        <v>2.1682335461784663</v>
      </c>
      <c r="R114" s="9"/>
    </row>
    <row r="115" spans="1:18">
      <c r="A115" s="12"/>
      <c r="B115" s="38">
        <v>359</v>
      </c>
      <c r="C115" s="20" t="s">
        <v>141</v>
      </c>
      <c r="D115" s="45">
        <v>17393</v>
      </c>
      <c r="E115" s="45">
        <v>8772239</v>
      </c>
      <c r="F115" s="45">
        <v>0</v>
      </c>
      <c r="G115" s="45">
        <v>0</v>
      </c>
      <c r="H115" s="45">
        <v>0</v>
      </c>
      <c r="I115" s="45">
        <v>0</v>
      </c>
      <c r="J115" s="45">
        <v>0</v>
      </c>
      <c r="K115" s="45">
        <v>0</v>
      </c>
      <c r="L115" s="45">
        <v>0</v>
      </c>
      <c r="M115" s="45">
        <v>0</v>
      </c>
      <c r="N115" s="45">
        <v>0</v>
      </c>
      <c r="O115" s="45">
        <v>0</v>
      </c>
      <c r="P115" s="45">
        <f t="shared" si="14"/>
        <v>8789632</v>
      </c>
      <c r="Q115" s="46">
        <f t="shared" si="12"/>
        <v>5.578462551971044</v>
      </c>
      <c r="R115" s="9"/>
    </row>
    <row r="116" spans="1:18" ht="15.75">
      <c r="A116" s="28" t="s">
        <v>5</v>
      </c>
      <c r="B116" s="29"/>
      <c r="C116" s="30"/>
      <c r="D116" s="31">
        <f t="shared" ref="D116:O116" si="15">SUM(D117:D126)</f>
        <v>91361050</v>
      </c>
      <c r="E116" s="31">
        <f t="shared" si="15"/>
        <v>202011007</v>
      </c>
      <c r="F116" s="31">
        <f t="shared" si="15"/>
        <v>2858436</v>
      </c>
      <c r="G116" s="31">
        <f t="shared" si="15"/>
        <v>2508141</v>
      </c>
      <c r="H116" s="31">
        <f t="shared" si="15"/>
        <v>0</v>
      </c>
      <c r="I116" s="31">
        <f t="shared" si="15"/>
        <v>7111578</v>
      </c>
      <c r="J116" s="31">
        <f t="shared" si="15"/>
        <v>3718166</v>
      </c>
      <c r="K116" s="31">
        <f t="shared" si="15"/>
        <v>4128975000</v>
      </c>
      <c r="L116" s="31">
        <f t="shared" si="15"/>
        <v>0</v>
      </c>
      <c r="M116" s="31">
        <f t="shared" si="15"/>
        <v>0</v>
      </c>
      <c r="N116" s="31">
        <f t="shared" si="15"/>
        <v>0</v>
      </c>
      <c r="O116" s="31">
        <f t="shared" si="15"/>
        <v>239709</v>
      </c>
      <c r="P116" s="31">
        <f>SUM(D116:O116)</f>
        <v>4438783087</v>
      </c>
      <c r="Q116" s="44">
        <f t="shared" si="12"/>
        <v>2817.1356010299328</v>
      </c>
      <c r="R116" s="10"/>
    </row>
    <row r="117" spans="1:18">
      <c r="A117" s="11"/>
      <c r="B117" s="24">
        <v>361.1</v>
      </c>
      <c r="C117" s="19" t="s">
        <v>142</v>
      </c>
      <c r="D117" s="45">
        <v>65145648</v>
      </c>
      <c r="E117" s="45">
        <v>93297153</v>
      </c>
      <c r="F117" s="45">
        <v>2295945</v>
      </c>
      <c r="G117" s="45">
        <v>2471527</v>
      </c>
      <c r="H117" s="45">
        <v>0</v>
      </c>
      <c r="I117" s="45">
        <v>0</v>
      </c>
      <c r="J117" s="45">
        <v>0</v>
      </c>
      <c r="K117" s="45">
        <v>2458303</v>
      </c>
      <c r="L117" s="45">
        <v>0</v>
      </c>
      <c r="M117" s="45">
        <v>0</v>
      </c>
      <c r="N117" s="45">
        <v>0</v>
      </c>
      <c r="O117" s="45">
        <v>568154</v>
      </c>
      <c r="P117" s="45">
        <f>SUM(D117:O117)</f>
        <v>166236730</v>
      </c>
      <c r="Q117" s="46">
        <f t="shared" si="12"/>
        <v>105.50445946623492</v>
      </c>
      <c r="R117" s="9"/>
    </row>
    <row r="118" spans="1:18">
      <c r="A118" s="11"/>
      <c r="B118" s="24">
        <v>361.3</v>
      </c>
      <c r="C118" s="19" t="s">
        <v>143</v>
      </c>
      <c r="D118" s="45">
        <v>-1048714</v>
      </c>
      <c r="E118" s="45">
        <v>-3991826</v>
      </c>
      <c r="F118" s="45">
        <v>-192141</v>
      </c>
      <c r="G118" s="45">
        <v>-169060</v>
      </c>
      <c r="H118" s="45">
        <v>0</v>
      </c>
      <c r="I118" s="45">
        <v>-2397000</v>
      </c>
      <c r="J118" s="45">
        <v>-1232063</v>
      </c>
      <c r="K118" s="45">
        <v>0</v>
      </c>
      <c r="L118" s="45">
        <v>0</v>
      </c>
      <c r="M118" s="45">
        <v>0</v>
      </c>
      <c r="N118" s="45">
        <v>0</v>
      </c>
      <c r="O118" s="45">
        <v>415</v>
      </c>
      <c r="P118" s="45">
        <f t="shared" ref="P118:P126" si="16">SUM(D118:O118)</f>
        <v>-9030389</v>
      </c>
      <c r="Q118" s="46">
        <f t="shared" si="12"/>
        <v>-5.7312623402471505</v>
      </c>
      <c r="R118" s="9"/>
    </row>
    <row r="119" spans="1:18">
      <c r="A119" s="11"/>
      <c r="B119" s="24">
        <v>361.4</v>
      </c>
      <c r="C119" s="19" t="s">
        <v>261</v>
      </c>
      <c r="D119" s="45">
        <v>0</v>
      </c>
      <c r="E119" s="45">
        <v>0</v>
      </c>
      <c r="F119" s="45">
        <v>0</v>
      </c>
      <c r="G119" s="45">
        <v>0</v>
      </c>
      <c r="H119" s="45">
        <v>0</v>
      </c>
      <c r="I119" s="45">
        <v>0</v>
      </c>
      <c r="J119" s="45">
        <v>0</v>
      </c>
      <c r="K119" s="45">
        <v>0</v>
      </c>
      <c r="L119" s="45">
        <v>0</v>
      </c>
      <c r="M119" s="45">
        <v>0</v>
      </c>
      <c r="N119" s="45">
        <v>0</v>
      </c>
      <c r="O119" s="45">
        <v>-367638</v>
      </c>
      <c r="P119" s="45">
        <f t="shared" si="16"/>
        <v>-367638</v>
      </c>
      <c r="Q119" s="46">
        <f t="shared" si="12"/>
        <v>-0.23332658474001308</v>
      </c>
      <c r="R119" s="9"/>
    </row>
    <row r="120" spans="1:18">
      <c r="A120" s="11"/>
      <c r="B120" s="24">
        <v>362</v>
      </c>
      <c r="C120" s="19" t="s">
        <v>145</v>
      </c>
      <c r="D120" s="45">
        <v>2431027</v>
      </c>
      <c r="E120" s="45">
        <v>10494</v>
      </c>
      <c r="F120" s="45">
        <v>754632</v>
      </c>
      <c r="G120" s="45">
        <v>204674</v>
      </c>
      <c r="H120" s="45">
        <v>0</v>
      </c>
      <c r="I120" s="45">
        <v>112558</v>
      </c>
      <c r="J120" s="45">
        <v>0</v>
      </c>
      <c r="K120" s="45">
        <v>0</v>
      </c>
      <c r="L120" s="45">
        <v>0</v>
      </c>
      <c r="M120" s="45">
        <v>0</v>
      </c>
      <c r="N120" s="45">
        <v>0</v>
      </c>
      <c r="O120" s="45">
        <v>0</v>
      </c>
      <c r="P120" s="45">
        <f t="shared" si="16"/>
        <v>3513385</v>
      </c>
      <c r="Q120" s="46">
        <f t="shared" si="12"/>
        <v>2.2298187970960317</v>
      </c>
      <c r="R120" s="9"/>
    </row>
    <row r="121" spans="1:18">
      <c r="A121" s="11"/>
      <c r="B121" s="24">
        <v>364</v>
      </c>
      <c r="C121" s="19" t="s">
        <v>237</v>
      </c>
      <c r="D121" s="45">
        <v>18029729</v>
      </c>
      <c r="E121" s="45">
        <v>80550</v>
      </c>
      <c r="F121" s="45">
        <v>0</v>
      </c>
      <c r="G121" s="45">
        <v>0</v>
      </c>
      <c r="H121" s="45">
        <v>0</v>
      </c>
      <c r="I121" s="45">
        <v>6625532</v>
      </c>
      <c r="J121" s="45">
        <v>1352892</v>
      </c>
      <c r="K121" s="45">
        <v>0</v>
      </c>
      <c r="L121" s="45">
        <v>0</v>
      </c>
      <c r="M121" s="45">
        <v>0</v>
      </c>
      <c r="N121" s="45">
        <v>0</v>
      </c>
      <c r="O121" s="45">
        <v>0</v>
      </c>
      <c r="P121" s="45">
        <f t="shared" si="16"/>
        <v>26088703</v>
      </c>
      <c r="Q121" s="46">
        <f t="shared" si="12"/>
        <v>16.557559260159543</v>
      </c>
      <c r="R121" s="9"/>
    </row>
    <row r="122" spans="1:18">
      <c r="A122" s="11"/>
      <c r="B122" s="24">
        <v>365</v>
      </c>
      <c r="C122" s="19" t="s">
        <v>238</v>
      </c>
      <c r="D122" s="45">
        <v>60262</v>
      </c>
      <c r="E122" s="45">
        <v>18802</v>
      </c>
      <c r="F122" s="45">
        <v>0</v>
      </c>
      <c r="G122" s="45">
        <v>0</v>
      </c>
      <c r="H122" s="45">
        <v>0</v>
      </c>
      <c r="I122" s="45">
        <v>237373</v>
      </c>
      <c r="J122" s="45">
        <v>5044</v>
      </c>
      <c r="K122" s="45">
        <v>0</v>
      </c>
      <c r="L122" s="45">
        <v>0</v>
      </c>
      <c r="M122" s="45">
        <v>0</v>
      </c>
      <c r="N122" s="45">
        <v>0</v>
      </c>
      <c r="O122" s="45">
        <v>0</v>
      </c>
      <c r="P122" s="45">
        <f t="shared" si="16"/>
        <v>321481</v>
      </c>
      <c r="Q122" s="46">
        <f t="shared" si="12"/>
        <v>0.20403240086390456</v>
      </c>
      <c r="R122" s="9"/>
    </row>
    <row r="123" spans="1:18">
      <c r="A123" s="11"/>
      <c r="B123" s="24">
        <v>366</v>
      </c>
      <c r="C123" s="19" t="s">
        <v>148</v>
      </c>
      <c r="D123" s="45">
        <v>105852</v>
      </c>
      <c r="E123" s="45">
        <v>277993</v>
      </c>
      <c r="F123" s="45">
        <v>0</v>
      </c>
      <c r="G123" s="45">
        <v>0</v>
      </c>
      <c r="H123" s="45">
        <v>0</v>
      </c>
      <c r="I123" s="45">
        <v>0</v>
      </c>
      <c r="J123" s="45">
        <v>0</v>
      </c>
      <c r="K123" s="45">
        <v>0</v>
      </c>
      <c r="L123" s="45">
        <v>0</v>
      </c>
      <c r="M123" s="45">
        <v>0</v>
      </c>
      <c r="N123" s="45">
        <v>0</v>
      </c>
      <c r="O123" s="45">
        <v>37747</v>
      </c>
      <c r="P123" s="45">
        <f t="shared" si="16"/>
        <v>421592</v>
      </c>
      <c r="Q123" s="46">
        <f t="shared" si="12"/>
        <v>0.26756924342345351</v>
      </c>
      <c r="R123" s="9"/>
    </row>
    <row r="124" spans="1:18">
      <c r="A124" s="11"/>
      <c r="B124" s="24">
        <v>367</v>
      </c>
      <c r="C124" s="19" t="s">
        <v>149</v>
      </c>
      <c r="D124" s="45">
        <v>2485953</v>
      </c>
      <c r="E124" s="45">
        <v>183050</v>
      </c>
      <c r="F124" s="45">
        <v>0</v>
      </c>
      <c r="G124" s="45">
        <v>0</v>
      </c>
      <c r="H124" s="45">
        <v>0</v>
      </c>
      <c r="I124" s="45">
        <v>0</v>
      </c>
      <c r="J124" s="45">
        <v>0</v>
      </c>
      <c r="K124" s="45">
        <v>0</v>
      </c>
      <c r="L124" s="45">
        <v>0</v>
      </c>
      <c r="M124" s="45">
        <v>0</v>
      </c>
      <c r="N124" s="45">
        <v>0</v>
      </c>
      <c r="O124" s="45">
        <v>0</v>
      </c>
      <c r="P124" s="45">
        <f t="shared" si="16"/>
        <v>2669003</v>
      </c>
      <c r="Q124" s="46">
        <f t="shared" si="12"/>
        <v>1.6939199828386868</v>
      </c>
      <c r="R124" s="9"/>
    </row>
    <row r="125" spans="1:18">
      <c r="A125" s="11"/>
      <c r="B125" s="24">
        <v>369.3</v>
      </c>
      <c r="C125" s="19" t="s">
        <v>150</v>
      </c>
      <c r="D125" s="45">
        <v>50465</v>
      </c>
      <c r="E125" s="45">
        <v>6829770</v>
      </c>
      <c r="F125" s="45">
        <v>0</v>
      </c>
      <c r="G125" s="45">
        <v>0</v>
      </c>
      <c r="H125" s="45">
        <v>0</v>
      </c>
      <c r="I125" s="45">
        <v>19517</v>
      </c>
      <c r="J125" s="45">
        <v>3586464</v>
      </c>
      <c r="K125" s="45">
        <v>0</v>
      </c>
      <c r="L125" s="45">
        <v>0</v>
      </c>
      <c r="M125" s="45">
        <v>0</v>
      </c>
      <c r="N125" s="45">
        <v>0</v>
      </c>
      <c r="O125" s="45">
        <v>0</v>
      </c>
      <c r="P125" s="45">
        <f t="shared" si="16"/>
        <v>10486216</v>
      </c>
      <c r="Q125" s="46">
        <f t="shared" si="12"/>
        <v>6.6552232525638839</v>
      </c>
      <c r="R125" s="9"/>
    </row>
    <row r="126" spans="1:18">
      <c r="A126" s="11"/>
      <c r="B126" s="24">
        <v>369.9</v>
      </c>
      <c r="C126" s="19" t="s">
        <v>151</v>
      </c>
      <c r="D126" s="45">
        <v>4100828</v>
      </c>
      <c r="E126" s="45">
        <v>105305021</v>
      </c>
      <c r="F126" s="45">
        <v>0</v>
      </c>
      <c r="G126" s="45">
        <v>1000</v>
      </c>
      <c r="H126" s="45">
        <v>0</v>
      </c>
      <c r="I126" s="45">
        <v>2513598</v>
      </c>
      <c r="J126" s="45">
        <v>5829</v>
      </c>
      <c r="K126" s="45">
        <v>4126516697</v>
      </c>
      <c r="L126" s="45">
        <v>0</v>
      </c>
      <c r="M126" s="45">
        <v>0</v>
      </c>
      <c r="N126" s="45">
        <v>0</v>
      </c>
      <c r="O126" s="45">
        <v>1031</v>
      </c>
      <c r="P126" s="45">
        <f t="shared" si="16"/>
        <v>4238444004</v>
      </c>
      <c r="Q126" s="46">
        <f t="shared" si="12"/>
        <v>2689.9876075517395</v>
      </c>
      <c r="R126" s="9"/>
    </row>
    <row r="127" spans="1:18" ht="15.75">
      <c r="A127" s="28" t="s">
        <v>77</v>
      </c>
      <c r="B127" s="29"/>
      <c r="C127" s="30"/>
      <c r="D127" s="31">
        <f t="shared" ref="D127:O127" si="17">SUM(D128:D133)</f>
        <v>181323504</v>
      </c>
      <c r="E127" s="31">
        <f t="shared" si="17"/>
        <v>396088097</v>
      </c>
      <c r="F127" s="31">
        <f t="shared" si="17"/>
        <v>155402834</v>
      </c>
      <c r="G127" s="31">
        <f t="shared" si="17"/>
        <v>207379051</v>
      </c>
      <c r="H127" s="31">
        <f t="shared" si="17"/>
        <v>0</v>
      </c>
      <c r="I127" s="31">
        <f t="shared" si="17"/>
        <v>123982542</v>
      </c>
      <c r="J127" s="31">
        <f t="shared" si="17"/>
        <v>57173583</v>
      </c>
      <c r="K127" s="31">
        <f t="shared" si="17"/>
        <v>0</v>
      </c>
      <c r="L127" s="31">
        <f t="shared" si="17"/>
        <v>0</v>
      </c>
      <c r="M127" s="31">
        <f t="shared" si="17"/>
        <v>0</v>
      </c>
      <c r="N127" s="31">
        <f t="shared" si="17"/>
        <v>0</v>
      </c>
      <c r="O127" s="31">
        <f t="shared" si="17"/>
        <v>0</v>
      </c>
      <c r="P127" s="31">
        <f>SUM(D127:O127)</f>
        <v>1121349611</v>
      </c>
      <c r="Q127" s="44">
        <f t="shared" si="12"/>
        <v>711.6801718923839</v>
      </c>
      <c r="R127" s="9"/>
    </row>
    <row r="128" spans="1:18">
      <c r="A128" s="11"/>
      <c r="B128" s="24">
        <v>381</v>
      </c>
      <c r="C128" s="19" t="s">
        <v>152</v>
      </c>
      <c r="D128" s="45">
        <v>156858926</v>
      </c>
      <c r="E128" s="45">
        <v>396088097</v>
      </c>
      <c r="F128" s="45">
        <v>131030334</v>
      </c>
      <c r="G128" s="45">
        <v>188079051</v>
      </c>
      <c r="H128" s="45">
        <v>0</v>
      </c>
      <c r="I128" s="45">
        <v>0</v>
      </c>
      <c r="J128" s="45">
        <v>38699382</v>
      </c>
      <c r="K128" s="45">
        <v>0</v>
      </c>
      <c r="L128" s="45">
        <v>0</v>
      </c>
      <c r="M128" s="45">
        <v>0</v>
      </c>
      <c r="N128" s="45">
        <v>0</v>
      </c>
      <c r="O128" s="45">
        <v>0</v>
      </c>
      <c r="P128" s="45">
        <f>SUM(D128:O128)</f>
        <v>910755790</v>
      </c>
      <c r="Q128" s="46">
        <f t="shared" si="12"/>
        <v>578.02386590312358</v>
      </c>
      <c r="R128" s="9"/>
    </row>
    <row r="129" spans="1:121">
      <c r="A129" s="11"/>
      <c r="B129" s="24">
        <v>383.1</v>
      </c>
      <c r="C129" s="19" t="s">
        <v>325</v>
      </c>
      <c r="D129" s="45">
        <v>24316500</v>
      </c>
      <c r="E129" s="45">
        <v>0</v>
      </c>
      <c r="F129" s="45">
        <v>0</v>
      </c>
      <c r="G129" s="45">
        <v>0</v>
      </c>
      <c r="H129" s="45">
        <v>0</v>
      </c>
      <c r="I129" s="45">
        <v>0</v>
      </c>
      <c r="J129" s="45">
        <v>0</v>
      </c>
      <c r="K129" s="45">
        <v>0</v>
      </c>
      <c r="L129" s="45">
        <v>0</v>
      </c>
      <c r="M129" s="45">
        <v>0</v>
      </c>
      <c r="N129" s="45">
        <v>0</v>
      </c>
      <c r="O129" s="45">
        <v>0</v>
      </c>
      <c r="P129" s="45">
        <f t="shared" ref="P129:P133" si="18">SUM(D129:O129)</f>
        <v>24316500</v>
      </c>
      <c r="Q129" s="46">
        <f t="shared" si="12"/>
        <v>15.432805906436572</v>
      </c>
      <c r="R129" s="9"/>
    </row>
    <row r="130" spans="1:121">
      <c r="A130" s="11"/>
      <c r="B130" s="24">
        <v>383.2</v>
      </c>
      <c r="C130" s="19" t="s">
        <v>199</v>
      </c>
      <c r="D130" s="45">
        <v>148078</v>
      </c>
      <c r="E130" s="45">
        <v>0</v>
      </c>
      <c r="F130" s="45">
        <v>0</v>
      </c>
      <c r="G130" s="45">
        <v>0</v>
      </c>
      <c r="H130" s="45">
        <v>0</v>
      </c>
      <c r="I130" s="45">
        <v>0</v>
      </c>
      <c r="J130" s="45">
        <v>0</v>
      </c>
      <c r="K130" s="45">
        <v>0</v>
      </c>
      <c r="L130" s="45">
        <v>0</v>
      </c>
      <c r="M130" s="45">
        <v>0</v>
      </c>
      <c r="N130" s="45">
        <v>0</v>
      </c>
      <c r="O130" s="45">
        <v>0</v>
      </c>
      <c r="P130" s="45">
        <f>SUM(D130:O130)</f>
        <v>148078</v>
      </c>
      <c r="Q130" s="46">
        <f t="shared" si="12"/>
        <v>9.3979768182646126E-2</v>
      </c>
      <c r="R130" s="9"/>
    </row>
    <row r="131" spans="1:121">
      <c r="A131" s="11"/>
      <c r="B131" s="24">
        <v>384</v>
      </c>
      <c r="C131" s="19" t="s">
        <v>153</v>
      </c>
      <c r="D131" s="45">
        <v>0</v>
      </c>
      <c r="E131" s="45">
        <v>0</v>
      </c>
      <c r="F131" s="45">
        <v>24372500</v>
      </c>
      <c r="G131" s="45">
        <v>19300000</v>
      </c>
      <c r="H131" s="45">
        <v>0</v>
      </c>
      <c r="I131" s="45">
        <v>0</v>
      </c>
      <c r="J131" s="45">
        <v>0</v>
      </c>
      <c r="K131" s="45">
        <v>0</v>
      </c>
      <c r="L131" s="45">
        <v>0</v>
      </c>
      <c r="M131" s="45">
        <v>0</v>
      </c>
      <c r="N131" s="45">
        <v>0</v>
      </c>
      <c r="O131" s="45">
        <v>0</v>
      </c>
      <c r="P131" s="45">
        <f t="shared" si="18"/>
        <v>43672500</v>
      </c>
      <c r="Q131" s="46">
        <f t="shared" si="12"/>
        <v>27.717361295780691</v>
      </c>
      <c r="R131" s="9"/>
    </row>
    <row r="132" spans="1:121">
      <c r="A132" s="11"/>
      <c r="B132" s="24">
        <v>389.1</v>
      </c>
      <c r="C132" s="19" t="s">
        <v>154</v>
      </c>
      <c r="D132" s="45">
        <v>0</v>
      </c>
      <c r="E132" s="45">
        <v>0</v>
      </c>
      <c r="F132" s="45">
        <v>0</v>
      </c>
      <c r="G132" s="45">
        <v>0</v>
      </c>
      <c r="H132" s="45">
        <v>0</v>
      </c>
      <c r="I132" s="45">
        <v>57489786</v>
      </c>
      <c r="J132" s="45">
        <v>18474201</v>
      </c>
      <c r="K132" s="45">
        <v>0</v>
      </c>
      <c r="L132" s="45">
        <v>0</v>
      </c>
      <c r="M132" s="45">
        <v>0</v>
      </c>
      <c r="N132" s="45">
        <v>0</v>
      </c>
      <c r="O132" s="45">
        <v>0</v>
      </c>
      <c r="P132" s="45">
        <f t="shared" si="18"/>
        <v>75963987</v>
      </c>
      <c r="Q132" s="46">
        <f t="shared" si="12"/>
        <v>48.211603941770854</v>
      </c>
      <c r="R132" s="9"/>
    </row>
    <row r="133" spans="1:121" ht="15.75" thickBot="1">
      <c r="A133" s="11"/>
      <c r="B133" s="24">
        <v>389.4</v>
      </c>
      <c r="C133" s="19" t="s">
        <v>156</v>
      </c>
      <c r="D133" s="45">
        <v>0</v>
      </c>
      <c r="E133" s="45">
        <v>0</v>
      </c>
      <c r="F133" s="45">
        <v>0</v>
      </c>
      <c r="G133" s="45">
        <v>0</v>
      </c>
      <c r="H133" s="45">
        <v>0</v>
      </c>
      <c r="I133" s="45">
        <v>66492756</v>
      </c>
      <c r="J133" s="45">
        <v>0</v>
      </c>
      <c r="K133" s="45">
        <v>0</v>
      </c>
      <c r="L133" s="45">
        <v>0</v>
      </c>
      <c r="M133" s="45">
        <v>0</v>
      </c>
      <c r="N133" s="45">
        <v>0</v>
      </c>
      <c r="O133" s="45">
        <v>0</v>
      </c>
      <c r="P133" s="45">
        <f t="shared" si="18"/>
        <v>66492756</v>
      </c>
      <c r="Q133" s="46">
        <f t="shared" ref="Q133:Q164" si="19">(P133/Q$136)</f>
        <v>42.200555077089454</v>
      </c>
      <c r="R133" s="9"/>
    </row>
    <row r="134" spans="1:121" ht="16.5" thickBot="1">
      <c r="A134" s="13" t="s">
        <v>114</v>
      </c>
      <c r="B134" s="22"/>
      <c r="C134" s="21"/>
      <c r="D134" s="14">
        <f t="shared" ref="D134:O134" si="20">SUM(D5,D14,D26,D68,D107,D116,D127)</f>
        <v>1945685304</v>
      </c>
      <c r="E134" s="14">
        <f t="shared" si="20"/>
        <v>2030053741</v>
      </c>
      <c r="F134" s="14">
        <f t="shared" si="20"/>
        <v>170557665</v>
      </c>
      <c r="G134" s="14">
        <f t="shared" si="20"/>
        <v>209887192</v>
      </c>
      <c r="H134" s="14">
        <f t="shared" si="20"/>
        <v>0</v>
      </c>
      <c r="I134" s="14">
        <f t="shared" si="20"/>
        <v>766882548</v>
      </c>
      <c r="J134" s="14">
        <f t="shared" si="20"/>
        <v>332729405</v>
      </c>
      <c r="K134" s="14">
        <f t="shared" si="20"/>
        <v>4128975000</v>
      </c>
      <c r="L134" s="14">
        <f t="shared" si="20"/>
        <v>0</v>
      </c>
      <c r="M134" s="14">
        <f t="shared" si="20"/>
        <v>0</v>
      </c>
      <c r="N134" s="14">
        <f t="shared" si="20"/>
        <v>0</v>
      </c>
      <c r="O134" s="14">
        <f t="shared" si="20"/>
        <v>12536279</v>
      </c>
      <c r="P134" s="14">
        <f>SUM(D134:O134)</f>
        <v>9597307134</v>
      </c>
      <c r="Q134" s="37">
        <f t="shared" si="19"/>
        <v>6091.0648417116381</v>
      </c>
      <c r="R134" s="6"/>
      <c r="S134" s="2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</row>
    <row r="135" spans="1:121">
      <c r="A135" s="15"/>
      <c r="B135" s="17"/>
      <c r="C135" s="17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8"/>
    </row>
    <row r="136" spans="1:121">
      <c r="A136" s="39"/>
      <c r="B136" s="40"/>
      <c r="C136" s="40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8" t="s">
        <v>341</v>
      </c>
      <c r="O136" s="48"/>
      <c r="P136" s="48"/>
      <c r="Q136" s="42">
        <v>1575637</v>
      </c>
    </row>
    <row r="137" spans="1:121">
      <c r="A137" s="49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1"/>
    </row>
    <row r="138" spans="1:121" ht="15.75" customHeight="1" thickBot="1">
      <c r="A138" s="52" t="s">
        <v>178</v>
      </c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4"/>
    </row>
  </sheetData>
  <mergeCells count="10">
    <mergeCell ref="N136:P136"/>
    <mergeCell ref="A137:Q137"/>
    <mergeCell ref="A138:Q138"/>
    <mergeCell ref="A1:Q1"/>
    <mergeCell ref="A2:Q2"/>
    <mergeCell ref="A3:C4"/>
    <mergeCell ref="D3:H3"/>
    <mergeCell ref="I3:J3"/>
    <mergeCell ref="K3:N3"/>
    <mergeCell ref="Q3:Q4"/>
  </mergeCells>
  <printOptions horizontalCentered="1"/>
  <pageMargins left="0.5" right="0.5" top="0.5" bottom="0.5" header="0.3" footer="0.3"/>
  <pageSetup paperSize="5" scale="49" fitToHeight="0" orientation="landscape" verticalDpi="0" r:id="rId1"/>
  <headerFooter>
    <oddFooter>&amp;L&amp;14Office of Economic and Demographic Research&amp;R&amp;14Page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38B07-D3AB-4249-AAD4-82AB59E231A6}">
  <sheetPr>
    <pageSetUpPr fitToPage="1"/>
  </sheetPr>
  <dimension ref="A1:EE133"/>
  <sheetViews>
    <sheetView workbookViewId="0">
      <selection sqref="A1:Q1"/>
    </sheetView>
  </sheetViews>
  <sheetFormatPr defaultColWidth="9.77734375" defaultRowHeight="15"/>
  <cols>
    <col min="1" max="1" width="1.77734375" style="3" customWidth="1"/>
    <col min="2" max="2" width="6.77734375" style="3" customWidth="1"/>
    <col min="3" max="3" width="65.77734375" style="3" customWidth="1"/>
    <col min="4" max="11" width="14.77734375" style="4" customWidth="1"/>
    <col min="12" max="15" width="13.77734375" style="4" customWidth="1"/>
    <col min="16" max="16" width="16.77734375" style="4" customWidth="1"/>
    <col min="17" max="17" width="13.77734375" style="3" customWidth="1"/>
    <col min="18" max="19" width="9.77734375" style="3"/>
  </cols>
  <sheetData>
    <row r="1" spans="1:135" ht="27.75">
      <c r="A1" s="55" t="s">
        <v>165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7"/>
      <c r="R1" s="7"/>
      <c r="S1"/>
    </row>
    <row r="2" spans="1:135" ht="24" thickBot="1">
      <c r="A2" s="58" t="s">
        <v>333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60"/>
      <c r="R2" s="7"/>
      <c r="S2"/>
    </row>
    <row r="3" spans="1:135" ht="18" customHeight="1">
      <c r="A3" s="61" t="s">
        <v>158</v>
      </c>
      <c r="B3" s="62"/>
      <c r="C3" s="63"/>
      <c r="D3" s="67" t="s">
        <v>71</v>
      </c>
      <c r="E3" s="68"/>
      <c r="F3" s="68"/>
      <c r="G3" s="68"/>
      <c r="H3" s="69"/>
      <c r="I3" s="67" t="s">
        <v>72</v>
      </c>
      <c r="J3" s="69"/>
      <c r="K3" s="67" t="s">
        <v>74</v>
      </c>
      <c r="L3" s="68"/>
      <c r="M3" s="68"/>
      <c r="N3" s="69"/>
      <c r="O3" s="35"/>
      <c r="P3" s="36"/>
      <c r="Q3" s="70" t="s">
        <v>298</v>
      </c>
      <c r="R3" s="5"/>
      <c r="S3"/>
    </row>
    <row r="4" spans="1:135" ht="32.25" customHeight="1" thickBot="1">
      <c r="A4" s="64"/>
      <c r="B4" s="65"/>
      <c r="C4" s="66"/>
      <c r="D4" s="33" t="s">
        <v>6</v>
      </c>
      <c r="E4" s="33" t="s">
        <v>159</v>
      </c>
      <c r="F4" s="33" t="s">
        <v>160</v>
      </c>
      <c r="G4" s="33" t="s">
        <v>161</v>
      </c>
      <c r="H4" s="33" t="s">
        <v>7</v>
      </c>
      <c r="I4" s="33" t="s">
        <v>8</v>
      </c>
      <c r="J4" s="34" t="s">
        <v>162</v>
      </c>
      <c r="K4" s="34" t="s">
        <v>299</v>
      </c>
      <c r="L4" s="34" t="s">
        <v>9</v>
      </c>
      <c r="M4" s="34" t="s">
        <v>10</v>
      </c>
      <c r="N4" s="34" t="s">
        <v>336</v>
      </c>
      <c r="O4" s="34" t="s">
        <v>11</v>
      </c>
      <c r="P4" s="34" t="s">
        <v>300</v>
      </c>
      <c r="Q4" s="71"/>
      <c r="R4" s="8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</row>
    <row r="5" spans="1:135" ht="15.75">
      <c r="A5" s="23" t="s">
        <v>301</v>
      </c>
      <c r="B5" s="25"/>
      <c r="C5" s="25"/>
      <c r="D5" s="26">
        <f t="shared" ref="D5:O5" si="0">SUM(D6:D13)</f>
        <v>1273274204</v>
      </c>
      <c r="E5" s="26">
        <f t="shared" si="0"/>
        <v>586753041</v>
      </c>
      <c r="F5" s="26">
        <f t="shared" si="0"/>
        <v>11486811</v>
      </c>
      <c r="G5" s="26">
        <f t="shared" si="0"/>
        <v>0</v>
      </c>
      <c r="H5" s="26">
        <f t="shared" si="0"/>
        <v>0</v>
      </c>
      <c r="I5" s="26">
        <f t="shared" si="0"/>
        <v>0</v>
      </c>
      <c r="J5" s="26">
        <f t="shared" si="0"/>
        <v>0</v>
      </c>
      <c r="K5" s="26">
        <f t="shared" ref="K5" si="1">SUM(K6:K13)</f>
        <v>2219989146</v>
      </c>
      <c r="L5" s="26">
        <f t="shared" ref="L5" si="2">SUM(L6:L13)</f>
        <v>0</v>
      </c>
      <c r="M5" s="26">
        <f t="shared" si="0"/>
        <v>0</v>
      </c>
      <c r="N5" s="26">
        <f t="shared" ref="N5" si="3">SUM(N6:N13)</f>
        <v>0</v>
      </c>
      <c r="O5" s="26">
        <f t="shared" si="0"/>
        <v>0</v>
      </c>
      <c r="P5" s="27">
        <f>SUM(D5:O5)</f>
        <v>4091503202</v>
      </c>
      <c r="Q5" s="32">
        <f t="shared" ref="Q5:Q36" si="4">(P5/Q$131)</f>
        <v>2622.0037963432319</v>
      </c>
      <c r="R5" s="6"/>
    </row>
    <row r="6" spans="1:135">
      <c r="A6" s="11"/>
      <c r="B6" s="24">
        <v>311</v>
      </c>
      <c r="C6" s="19" t="s">
        <v>3</v>
      </c>
      <c r="D6" s="45">
        <v>1271504471</v>
      </c>
      <c r="E6" s="45">
        <v>80720364</v>
      </c>
      <c r="F6" s="45">
        <v>11486811</v>
      </c>
      <c r="G6" s="45">
        <v>0</v>
      </c>
      <c r="H6" s="45">
        <v>0</v>
      </c>
      <c r="I6" s="45">
        <v>0</v>
      </c>
      <c r="J6" s="45">
        <v>0</v>
      </c>
      <c r="K6" s="45">
        <v>2219989146</v>
      </c>
      <c r="L6" s="45">
        <v>0</v>
      </c>
      <c r="M6" s="45">
        <v>0</v>
      </c>
      <c r="N6" s="45">
        <v>0</v>
      </c>
      <c r="O6" s="45">
        <v>0</v>
      </c>
      <c r="P6" s="45">
        <f>SUM(D6:O6)</f>
        <v>3583700792</v>
      </c>
      <c r="Q6" s="46">
        <f t="shared" si="4"/>
        <v>2296.5830937121304</v>
      </c>
      <c r="R6" s="9"/>
    </row>
    <row r="7" spans="1:135">
      <c r="A7" s="11"/>
      <c r="B7" s="24">
        <v>312.13</v>
      </c>
      <c r="C7" s="19" t="s">
        <v>302</v>
      </c>
      <c r="D7" s="45">
        <v>0</v>
      </c>
      <c r="E7" s="45">
        <v>65194031</v>
      </c>
      <c r="F7" s="45">
        <v>0</v>
      </c>
      <c r="G7" s="45">
        <v>0</v>
      </c>
      <c r="H7" s="45">
        <v>0</v>
      </c>
      <c r="I7" s="45">
        <v>0</v>
      </c>
      <c r="J7" s="45">
        <v>0</v>
      </c>
      <c r="K7" s="45">
        <v>0</v>
      </c>
      <c r="L7" s="45">
        <v>0</v>
      </c>
      <c r="M7" s="45">
        <v>0</v>
      </c>
      <c r="N7" s="45">
        <v>0</v>
      </c>
      <c r="O7" s="45">
        <v>0</v>
      </c>
      <c r="P7" s="45">
        <f t="shared" ref="P7:P13" si="5">SUM(D7:O7)</f>
        <v>65194031</v>
      </c>
      <c r="Q7" s="46">
        <f t="shared" si="4"/>
        <v>41.779020653670834</v>
      </c>
      <c r="R7" s="9"/>
    </row>
    <row r="8" spans="1:135">
      <c r="A8" s="11"/>
      <c r="B8" s="24">
        <v>312.3</v>
      </c>
      <c r="C8" s="19" t="s">
        <v>13</v>
      </c>
      <c r="D8" s="45">
        <v>0</v>
      </c>
      <c r="E8" s="45">
        <v>7500528</v>
      </c>
      <c r="F8" s="45">
        <v>0</v>
      </c>
      <c r="G8" s="45">
        <v>0</v>
      </c>
      <c r="H8" s="45">
        <v>0</v>
      </c>
      <c r="I8" s="45">
        <v>0</v>
      </c>
      <c r="J8" s="45">
        <v>0</v>
      </c>
      <c r="K8" s="45">
        <v>0</v>
      </c>
      <c r="L8" s="45">
        <v>0</v>
      </c>
      <c r="M8" s="45">
        <v>0</v>
      </c>
      <c r="N8" s="45">
        <v>0</v>
      </c>
      <c r="O8" s="45">
        <v>0</v>
      </c>
      <c r="P8" s="45">
        <f t="shared" si="5"/>
        <v>7500528</v>
      </c>
      <c r="Q8" s="46">
        <f t="shared" si="4"/>
        <v>4.8066473175348889</v>
      </c>
      <c r="R8" s="9"/>
    </row>
    <row r="9" spans="1:135">
      <c r="A9" s="11"/>
      <c r="B9" s="24">
        <v>312.41000000000003</v>
      </c>
      <c r="C9" s="19" t="s">
        <v>303</v>
      </c>
      <c r="D9" s="45">
        <v>0</v>
      </c>
      <c r="E9" s="45">
        <v>29058156</v>
      </c>
      <c r="F9" s="45">
        <v>0</v>
      </c>
      <c r="G9" s="45">
        <v>0</v>
      </c>
      <c r="H9" s="45">
        <v>0</v>
      </c>
      <c r="I9" s="45">
        <v>0</v>
      </c>
      <c r="J9" s="45">
        <v>0</v>
      </c>
      <c r="K9" s="45">
        <v>0</v>
      </c>
      <c r="L9" s="45">
        <v>0</v>
      </c>
      <c r="M9" s="45">
        <v>0</v>
      </c>
      <c r="N9" s="45">
        <v>0</v>
      </c>
      <c r="O9" s="45">
        <v>0</v>
      </c>
      <c r="P9" s="45">
        <f t="shared" si="5"/>
        <v>29058156</v>
      </c>
      <c r="Q9" s="46">
        <f t="shared" si="4"/>
        <v>18.62166338021941</v>
      </c>
      <c r="R9" s="9"/>
    </row>
    <row r="10" spans="1:135">
      <c r="A10" s="11"/>
      <c r="B10" s="24">
        <v>312.63</v>
      </c>
      <c r="C10" s="19" t="s">
        <v>305</v>
      </c>
      <c r="D10" s="45">
        <v>0</v>
      </c>
      <c r="E10" s="45">
        <v>192054564</v>
      </c>
      <c r="F10" s="45">
        <v>0</v>
      </c>
      <c r="G10" s="45">
        <v>0</v>
      </c>
      <c r="H10" s="45">
        <v>0</v>
      </c>
      <c r="I10" s="45">
        <v>0</v>
      </c>
      <c r="J10" s="45">
        <v>0</v>
      </c>
      <c r="K10" s="45">
        <v>0</v>
      </c>
      <c r="L10" s="45">
        <v>0</v>
      </c>
      <c r="M10" s="45">
        <v>0</v>
      </c>
      <c r="N10" s="45">
        <v>0</v>
      </c>
      <c r="O10" s="45">
        <v>0</v>
      </c>
      <c r="P10" s="45">
        <f t="shared" si="5"/>
        <v>192054564</v>
      </c>
      <c r="Q10" s="46">
        <f t="shared" si="4"/>
        <v>123.07647606554268</v>
      </c>
      <c r="R10" s="9"/>
    </row>
    <row r="11" spans="1:135">
      <c r="A11" s="11"/>
      <c r="B11" s="24">
        <v>312.64999999999998</v>
      </c>
      <c r="C11" s="19" t="s">
        <v>306</v>
      </c>
      <c r="D11" s="45">
        <v>0</v>
      </c>
      <c r="E11" s="45">
        <v>192054187</v>
      </c>
      <c r="F11" s="45">
        <v>0</v>
      </c>
      <c r="G11" s="45">
        <v>0</v>
      </c>
      <c r="H11" s="45">
        <v>0</v>
      </c>
      <c r="I11" s="45">
        <v>0</v>
      </c>
      <c r="J11" s="45">
        <v>0</v>
      </c>
      <c r="K11" s="45">
        <v>0</v>
      </c>
      <c r="L11" s="45">
        <v>0</v>
      </c>
      <c r="M11" s="45">
        <v>0</v>
      </c>
      <c r="N11" s="45">
        <v>0</v>
      </c>
      <c r="O11" s="45">
        <v>0</v>
      </c>
      <c r="P11" s="45">
        <f t="shared" si="5"/>
        <v>192054187</v>
      </c>
      <c r="Q11" s="46">
        <f t="shared" si="4"/>
        <v>123.07623446841262</v>
      </c>
      <c r="R11" s="9"/>
    </row>
    <row r="12" spans="1:135">
      <c r="A12" s="11"/>
      <c r="B12" s="24">
        <v>315.10000000000002</v>
      </c>
      <c r="C12" s="19" t="s">
        <v>307</v>
      </c>
      <c r="D12" s="45">
        <v>0</v>
      </c>
      <c r="E12" s="45">
        <v>20106996</v>
      </c>
      <c r="F12" s="45">
        <v>0</v>
      </c>
      <c r="G12" s="45">
        <v>0</v>
      </c>
      <c r="H12" s="45">
        <v>0</v>
      </c>
      <c r="I12" s="45">
        <v>0</v>
      </c>
      <c r="J12" s="45">
        <v>0</v>
      </c>
      <c r="K12" s="45">
        <v>0</v>
      </c>
      <c r="L12" s="45">
        <v>0</v>
      </c>
      <c r="M12" s="45">
        <v>0</v>
      </c>
      <c r="N12" s="45">
        <v>0</v>
      </c>
      <c r="O12" s="45">
        <v>0</v>
      </c>
      <c r="P12" s="45">
        <f t="shared" si="5"/>
        <v>20106996</v>
      </c>
      <c r="Q12" s="46">
        <f t="shared" si="4"/>
        <v>12.885391320062366</v>
      </c>
      <c r="R12" s="9"/>
    </row>
    <row r="13" spans="1:135">
      <c r="A13" s="11"/>
      <c r="B13" s="24">
        <v>316</v>
      </c>
      <c r="C13" s="19" t="s">
        <v>203</v>
      </c>
      <c r="D13" s="45">
        <v>1769733</v>
      </c>
      <c r="E13" s="45">
        <v>64215</v>
      </c>
      <c r="F13" s="45">
        <v>0</v>
      </c>
      <c r="G13" s="45">
        <v>0</v>
      </c>
      <c r="H13" s="45">
        <v>0</v>
      </c>
      <c r="I13" s="45">
        <v>0</v>
      </c>
      <c r="J13" s="45">
        <v>0</v>
      </c>
      <c r="K13" s="45">
        <v>0</v>
      </c>
      <c r="L13" s="45">
        <v>0</v>
      </c>
      <c r="M13" s="45">
        <v>0</v>
      </c>
      <c r="N13" s="45">
        <v>0</v>
      </c>
      <c r="O13" s="45">
        <v>0</v>
      </c>
      <c r="P13" s="45">
        <f t="shared" si="5"/>
        <v>1833948</v>
      </c>
      <c r="Q13" s="46">
        <f t="shared" si="4"/>
        <v>1.1752694256588969</v>
      </c>
      <c r="R13" s="9"/>
    </row>
    <row r="14" spans="1:135" ht="15.75">
      <c r="A14" s="28" t="s">
        <v>18</v>
      </c>
      <c r="B14" s="29"/>
      <c r="C14" s="30"/>
      <c r="D14" s="31">
        <f t="shared" ref="D14:O14" si="6">SUM(D15:D24)</f>
        <v>665149</v>
      </c>
      <c r="E14" s="31">
        <f t="shared" si="6"/>
        <v>292338240</v>
      </c>
      <c r="F14" s="31">
        <f t="shared" si="6"/>
        <v>0</v>
      </c>
      <c r="G14" s="31">
        <f t="shared" si="6"/>
        <v>0</v>
      </c>
      <c r="H14" s="31">
        <f t="shared" si="6"/>
        <v>0</v>
      </c>
      <c r="I14" s="31">
        <f t="shared" si="6"/>
        <v>203187</v>
      </c>
      <c r="J14" s="31">
        <f t="shared" si="6"/>
        <v>0</v>
      </c>
      <c r="K14" s="31">
        <f t="shared" ref="K14" si="7">SUM(K15:K24)</f>
        <v>0</v>
      </c>
      <c r="L14" s="31">
        <f t="shared" ref="L14" si="8">SUM(L15:L24)</f>
        <v>0</v>
      </c>
      <c r="M14" s="31">
        <f t="shared" si="6"/>
        <v>0</v>
      </c>
      <c r="N14" s="31">
        <f t="shared" ref="N14" si="9">SUM(N15:N24)</f>
        <v>0</v>
      </c>
      <c r="O14" s="31">
        <f t="shared" si="6"/>
        <v>0</v>
      </c>
      <c r="P14" s="43">
        <f>SUM(D14:O14)</f>
        <v>293206576</v>
      </c>
      <c r="Q14" s="44">
        <f t="shared" si="4"/>
        <v>187.89885218933782</v>
      </c>
      <c r="R14" s="10"/>
    </row>
    <row r="15" spans="1:135">
      <c r="A15" s="11"/>
      <c r="B15" s="24">
        <v>322</v>
      </c>
      <c r="C15" s="19" t="s">
        <v>308</v>
      </c>
      <c r="D15" s="45">
        <v>0</v>
      </c>
      <c r="E15" s="45">
        <v>15017563</v>
      </c>
      <c r="F15" s="45">
        <v>0</v>
      </c>
      <c r="G15" s="45">
        <v>0</v>
      </c>
      <c r="H15" s="45">
        <v>0</v>
      </c>
      <c r="I15" s="45">
        <v>0</v>
      </c>
      <c r="J15" s="45">
        <v>0</v>
      </c>
      <c r="K15" s="45">
        <v>0</v>
      </c>
      <c r="L15" s="45">
        <v>0</v>
      </c>
      <c r="M15" s="45">
        <v>0</v>
      </c>
      <c r="N15" s="45">
        <v>0</v>
      </c>
      <c r="O15" s="45">
        <v>0</v>
      </c>
      <c r="P15" s="45">
        <f>SUM(D15:O15)</f>
        <v>15017563</v>
      </c>
      <c r="Q15" s="46">
        <f t="shared" si="4"/>
        <v>9.6238730006555802</v>
      </c>
      <c r="R15" s="9"/>
    </row>
    <row r="16" spans="1:135">
      <c r="A16" s="11"/>
      <c r="B16" s="24">
        <v>324.11</v>
      </c>
      <c r="C16" s="19" t="s">
        <v>21</v>
      </c>
      <c r="D16" s="45">
        <v>0</v>
      </c>
      <c r="E16" s="45">
        <v>1621361</v>
      </c>
      <c r="F16" s="45">
        <v>0</v>
      </c>
      <c r="G16" s="45">
        <v>0</v>
      </c>
      <c r="H16" s="45">
        <v>0</v>
      </c>
      <c r="I16" s="45">
        <v>0</v>
      </c>
      <c r="J16" s="45">
        <v>0</v>
      </c>
      <c r="K16" s="45">
        <v>0</v>
      </c>
      <c r="L16" s="45">
        <v>0</v>
      </c>
      <c r="M16" s="45">
        <v>0</v>
      </c>
      <c r="N16" s="45">
        <v>0</v>
      </c>
      <c r="O16" s="45">
        <v>0</v>
      </c>
      <c r="P16" s="45">
        <f t="shared" ref="P16:P24" si="10">SUM(D16:O16)</f>
        <v>1621361</v>
      </c>
      <c r="Q16" s="46">
        <f t="shared" si="4"/>
        <v>1.0390349187958081</v>
      </c>
      <c r="R16" s="9"/>
    </row>
    <row r="17" spans="1:18">
      <c r="A17" s="11"/>
      <c r="B17" s="24">
        <v>324.12</v>
      </c>
      <c r="C17" s="19" t="s">
        <v>180</v>
      </c>
      <c r="D17" s="45">
        <v>0</v>
      </c>
      <c r="E17" s="45">
        <v>240401</v>
      </c>
      <c r="F17" s="45">
        <v>0</v>
      </c>
      <c r="G17" s="45">
        <v>0</v>
      </c>
      <c r="H17" s="45">
        <v>0</v>
      </c>
      <c r="I17" s="45">
        <v>0</v>
      </c>
      <c r="J17" s="45">
        <v>0</v>
      </c>
      <c r="K17" s="45">
        <v>0</v>
      </c>
      <c r="L17" s="45">
        <v>0</v>
      </c>
      <c r="M17" s="45">
        <v>0</v>
      </c>
      <c r="N17" s="45">
        <v>0</v>
      </c>
      <c r="O17" s="45">
        <v>0</v>
      </c>
      <c r="P17" s="45">
        <f t="shared" si="10"/>
        <v>240401</v>
      </c>
      <c r="Q17" s="46">
        <f t="shared" si="4"/>
        <v>0.15405886382701389</v>
      </c>
      <c r="R17" s="9"/>
    </row>
    <row r="18" spans="1:18">
      <c r="A18" s="11"/>
      <c r="B18" s="24">
        <v>324.31</v>
      </c>
      <c r="C18" s="19" t="s">
        <v>23</v>
      </c>
      <c r="D18" s="45">
        <v>0</v>
      </c>
      <c r="E18" s="45">
        <v>39802456</v>
      </c>
      <c r="F18" s="45">
        <v>0</v>
      </c>
      <c r="G18" s="45">
        <v>0</v>
      </c>
      <c r="H18" s="45">
        <v>0</v>
      </c>
      <c r="I18" s="45">
        <v>0</v>
      </c>
      <c r="J18" s="45">
        <v>0</v>
      </c>
      <c r="K18" s="45">
        <v>0</v>
      </c>
      <c r="L18" s="45">
        <v>0</v>
      </c>
      <c r="M18" s="45">
        <v>0</v>
      </c>
      <c r="N18" s="45">
        <v>0</v>
      </c>
      <c r="O18" s="45">
        <v>0</v>
      </c>
      <c r="P18" s="45">
        <f t="shared" si="10"/>
        <v>39802456</v>
      </c>
      <c r="Q18" s="46">
        <f t="shared" si="4"/>
        <v>25.507053418599391</v>
      </c>
      <c r="R18" s="9"/>
    </row>
    <row r="19" spans="1:18">
      <c r="A19" s="11"/>
      <c r="B19" s="24">
        <v>324.32</v>
      </c>
      <c r="C19" s="19" t="s">
        <v>167</v>
      </c>
      <c r="D19" s="45">
        <v>0</v>
      </c>
      <c r="E19" s="45">
        <v>12200999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5">
        <v>0</v>
      </c>
      <c r="L19" s="45">
        <v>0</v>
      </c>
      <c r="M19" s="45">
        <v>0</v>
      </c>
      <c r="N19" s="45">
        <v>0</v>
      </c>
      <c r="O19" s="45">
        <v>0</v>
      </c>
      <c r="P19" s="45">
        <f t="shared" si="10"/>
        <v>12200999</v>
      </c>
      <c r="Q19" s="46">
        <f t="shared" si="4"/>
        <v>7.8189027645248261</v>
      </c>
      <c r="R19" s="9"/>
    </row>
    <row r="20" spans="1:18">
      <c r="A20" s="11"/>
      <c r="B20" s="24">
        <v>324.61</v>
      </c>
      <c r="C20" s="19" t="s">
        <v>24</v>
      </c>
      <c r="D20" s="45">
        <v>0</v>
      </c>
      <c r="E20" s="45">
        <v>11101033</v>
      </c>
      <c r="F20" s="45">
        <v>0</v>
      </c>
      <c r="G20" s="45">
        <v>0</v>
      </c>
      <c r="H20" s="45">
        <v>0</v>
      </c>
      <c r="I20" s="45">
        <v>0</v>
      </c>
      <c r="J20" s="45">
        <v>0</v>
      </c>
      <c r="K20" s="45">
        <v>0</v>
      </c>
      <c r="L20" s="45">
        <v>0</v>
      </c>
      <c r="M20" s="45">
        <v>0</v>
      </c>
      <c r="N20" s="45">
        <v>0</v>
      </c>
      <c r="O20" s="45">
        <v>0</v>
      </c>
      <c r="P20" s="45">
        <f t="shared" si="10"/>
        <v>11101033</v>
      </c>
      <c r="Q20" s="46">
        <f t="shared" si="4"/>
        <v>7.113999239962344</v>
      </c>
      <c r="R20" s="9"/>
    </row>
    <row r="21" spans="1:18">
      <c r="A21" s="11"/>
      <c r="B21" s="24">
        <v>324.81</v>
      </c>
      <c r="C21" s="19" t="s">
        <v>309</v>
      </c>
      <c r="D21" s="45">
        <v>0</v>
      </c>
      <c r="E21" s="45">
        <v>47904158</v>
      </c>
      <c r="F21" s="45">
        <v>0</v>
      </c>
      <c r="G21" s="45">
        <v>0</v>
      </c>
      <c r="H21" s="45">
        <v>0</v>
      </c>
      <c r="I21" s="45">
        <v>0</v>
      </c>
      <c r="J21" s="45">
        <v>0</v>
      </c>
      <c r="K21" s="45">
        <v>0</v>
      </c>
      <c r="L21" s="45">
        <v>0</v>
      </c>
      <c r="M21" s="45">
        <v>0</v>
      </c>
      <c r="N21" s="45">
        <v>0</v>
      </c>
      <c r="O21" s="45">
        <v>0</v>
      </c>
      <c r="P21" s="45">
        <f t="shared" si="10"/>
        <v>47904158</v>
      </c>
      <c r="Q21" s="46">
        <f t="shared" si="4"/>
        <v>30.698957799966546</v>
      </c>
      <c r="R21" s="9"/>
    </row>
    <row r="22" spans="1:18">
      <c r="A22" s="11"/>
      <c r="B22" s="24">
        <v>325.10000000000002</v>
      </c>
      <c r="C22" s="19" t="s">
        <v>25</v>
      </c>
      <c r="D22" s="45">
        <v>0</v>
      </c>
      <c r="E22" s="45">
        <v>35776354</v>
      </c>
      <c r="F22" s="45">
        <v>0</v>
      </c>
      <c r="G22" s="45">
        <v>0</v>
      </c>
      <c r="H22" s="45">
        <v>0</v>
      </c>
      <c r="I22" s="45">
        <v>203187</v>
      </c>
      <c r="J22" s="45">
        <v>0</v>
      </c>
      <c r="K22" s="45">
        <v>0</v>
      </c>
      <c r="L22" s="45">
        <v>0</v>
      </c>
      <c r="M22" s="45">
        <v>0</v>
      </c>
      <c r="N22" s="45">
        <v>0</v>
      </c>
      <c r="O22" s="45">
        <v>0</v>
      </c>
      <c r="P22" s="45">
        <f t="shared" si="10"/>
        <v>35979541</v>
      </c>
      <c r="Q22" s="46">
        <f t="shared" si="4"/>
        <v>23.057172006262299</v>
      </c>
      <c r="R22" s="9"/>
    </row>
    <row r="23" spans="1:18">
      <c r="A23" s="11"/>
      <c r="B23" s="24">
        <v>325.2</v>
      </c>
      <c r="C23" s="19" t="s">
        <v>26</v>
      </c>
      <c r="D23" s="45">
        <v>0</v>
      </c>
      <c r="E23" s="45">
        <v>128125960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45">
        <v>0</v>
      </c>
      <c r="L23" s="45">
        <v>0</v>
      </c>
      <c r="M23" s="45">
        <v>0</v>
      </c>
      <c r="N23" s="45">
        <v>0</v>
      </c>
      <c r="O23" s="45">
        <v>0</v>
      </c>
      <c r="P23" s="45">
        <f t="shared" si="10"/>
        <v>128125960</v>
      </c>
      <c r="Q23" s="46">
        <f t="shared" si="4"/>
        <v>82.108393161199118</v>
      </c>
      <c r="R23" s="9"/>
    </row>
    <row r="24" spans="1:18">
      <c r="A24" s="11"/>
      <c r="B24" s="24">
        <v>329.5</v>
      </c>
      <c r="C24" s="19" t="s">
        <v>310</v>
      </c>
      <c r="D24" s="45">
        <v>665149</v>
      </c>
      <c r="E24" s="45">
        <v>547955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5">
        <v>0</v>
      </c>
      <c r="L24" s="45">
        <v>0</v>
      </c>
      <c r="M24" s="45">
        <v>0</v>
      </c>
      <c r="N24" s="45">
        <v>0</v>
      </c>
      <c r="O24" s="45">
        <v>0</v>
      </c>
      <c r="P24" s="45">
        <f t="shared" si="10"/>
        <v>1213104</v>
      </c>
      <c r="Q24" s="46">
        <f t="shared" si="4"/>
        <v>0.77740701554488478</v>
      </c>
      <c r="R24" s="9"/>
    </row>
    <row r="25" spans="1:18" ht="15.75">
      <c r="A25" s="28" t="s">
        <v>311</v>
      </c>
      <c r="B25" s="29"/>
      <c r="C25" s="30"/>
      <c r="D25" s="31">
        <f t="shared" ref="D25:O25" si="11">SUM(D26:D64)</f>
        <v>62074491</v>
      </c>
      <c r="E25" s="31">
        <f t="shared" si="11"/>
        <v>258214281</v>
      </c>
      <c r="F25" s="31">
        <f t="shared" si="11"/>
        <v>0</v>
      </c>
      <c r="G25" s="31">
        <f t="shared" si="11"/>
        <v>0</v>
      </c>
      <c r="H25" s="31">
        <f t="shared" si="11"/>
        <v>0</v>
      </c>
      <c r="I25" s="31">
        <f t="shared" si="11"/>
        <v>-1312746</v>
      </c>
      <c r="J25" s="31">
        <f t="shared" si="11"/>
        <v>0</v>
      </c>
      <c r="K25" s="31">
        <f t="shared" ref="K25" si="12">SUM(K26:K64)</f>
        <v>0</v>
      </c>
      <c r="L25" s="31">
        <f t="shared" ref="L25" si="13">SUM(L26:L64)</f>
        <v>0</v>
      </c>
      <c r="M25" s="31">
        <f t="shared" si="11"/>
        <v>0</v>
      </c>
      <c r="N25" s="31">
        <f t="shared" ref="N25" si="14">SUM(N26:N64)</f>
        <v>0</v>
      </c>
      <c r="O25" s="31">
        <f t="shared" si="11"/>
        <v>7866032</v>
      </c>
      <c r="P25" s="43">
        <f>SUM(D25:O25)</f>
        <v>326842058</v>
      </c>
      <c r="Q25" s="44">
        <f t="shared" si="4"/>
        <v>209.45385462773856</v>
      </c>
      <c r="R25" s="10"/>
    </row>
    <row r="26" spans="1:18">
      <c r="A26" s="11"/>
      <c r="B26" s="24">
        <v>331.1</v>
      </c>
      <c r="C26" s="19" t="s">
        <v>28</v>
      </c>
      <c r="D26" s="45">
        <v>0</v>
      </c>
      <c r="E26" s="45">
        <v>49794735</v>
      </c>
      <c r="F26" s="45">
        <v>0</v>
      </c>
      <c r="G26" s="45">
        <v>0</v>
      </c>
      <c r="H26" s="45">
        <v>0</v>
      </c>
      <c r="I26" s="45">
        <v>0</v>
      </c>
      <c r="J26" s="45">
        <v>0</v>
      </c>
      <c r="K26" s="45">
        <v>0</v>
      </c>
      <c r="L26" s="45">
        <v>0</v>
      </c>
      <c r="M26" s="45">
        <v>0</v>
      </c>
      <c r="N26" s="45">
        <v>0</v>
      </c>
      <c r="O26" s="45">
        <v>0</v>
      </c>
      <c r="P26" s="45">
        <f>SUM(D26:O26)</f>
        <v>49794735</v>
      </c>
      <c r="Q26" s="46">
        <f t="shared" si="4"/>
        <v>31.910517421588274</v>
      </c>
      <c r="R26" s="9"/>
    </row>
    <row r="27" spans="1:18">
      <c r="A27" s="11"/>
      <c r="B27" s="24">
        <v>331.2</v>
      </c>
      <c r="C27" s="19" t="s">
        <v>29</v>
      </c>
      <c r="D27" s="45">
        <v>0</v>
      </c>
      <c r="E27" s="45">
        <v>9580351</v>
      </c>
      <c r="F27" s="45">
        <v>0</v>
      </c>
      <c r="G27" s="45">
        <v>0</v>
      </c>
      <c r="H27" s="45">
        <v>0</v>
      </c>
      <c r="I27" s="45">
        <v>0</v>
      </c>
      <c r="J27" s="45">
        <v>0</v>
      </c>
      <c r="K27" s="45">
        <v>0</v>
      </c>
      <c r="L27" s="45">
        <v>0</v>
      </c>
      <c r="M27" s="45">
        <v>0</v>
      </c>
      <c r="N27" s="45">
        <v>0</v>
      </c>
      <c r="O27" s="45">
        <v>0</v>
      </c>
      <c r="P27" s="45">
        <f>SUM(D27:O27)</f>
        <v>9580351</v>
      </c>
      <c r="Q27" s="46">
        <f t="shared" si="4"/>
        <v>6.1394835717155765</v>
      </c>
      <c r="R27" s="9"/>
    </row>
    <row r="28" spans="1:18">
      <c r="A28" s="11"/>
      <c r="B28" s="24">
        <v>331.39</v>
      </c>
      <c r="C28" s="19" t="s">
        <v>35</v>
      </c>
      <c r="D28" s="45">
        <v>0</v>
      </c>
      <c r="E28" s="45">
        <v>1687301</v>
      </c>
      <c r="F28" s="45">
        <v>0</v>
      </c>
      <c r="G28" s="45">
        <v>0</v>
      </c>
      <c r="H28" s="45">
        <v>0</v>
      </c>
      <c r="I28" s="45">
        <v>0</v>
      </c>
      <c r="J28" s="45">
        <v>0</v>
      </c>
      <c r="K28" s="45">
        <v>0</v>
      </c>
      <c r="L28" s="45">
        <v>0</v>
      </c>
      <c r="M28" s="45">
        <v>0</v>
      </c>
      <c r="N28" s="45">
        <v>0</v>
      </c>
      <c r="O28" s="45">
        <v>0</v>
      </c>
      <c r="P28" s="45">
        <f t="shared" ref="P28:P54" si="15">SUM(D28:O28)</f>
        <v>1687301</v>
      </c>
      <c r="Q28" s="46">
        <f t="shared" si="4"/>
        <v>1.0812919871139652</v>
      </c>
      <c r="R28" s="9"/>
    </row>
    <row r="29" spans="1:18">
      <c r="A29" s="11"/>
      <c r="B29" s="24">
        <v>331.49</v>
      </c>
      <c r="C29" s="19" t="s">
        <v>36</v>
      </c>
      <c r="D29" s="45">
        <v>0</v>
      </c>
      <c r="E29" s="45">
        <v>4187463</v>
      </c>
      <c r="F29" s="45">
        <v>0</v>
      </c>
      <c r="G29" s="45">
        <v>0</v>
      </c>
      <c r="H29" s="45">
        <v>0</v>
      </c>
      <c r="I29" s="45">
        <v>0</v>
      </c>
      <c r="J29" s="45">
        <v>0</v>
      </c>
      <c r="K29" s="45">
        <v>0</v>
      </c>
      <c r="L29" s="45">
        <v>0</v>
      </c>
      <c r="M29" s="45">
        <v>0</v>
      </c>
      <c r="N29" s="45">
        <v>0</v>
      </c>
      <c r="O29" s="45">
        <v>0</v>
      </c>
      <c r="P29" s="45">
        <f t="shared" si="15"/>
        <v>4187463</v>
      </c>
      <c r="Q29" s="46">
        <f t="shared" si="4"/>
        <v>2.6834987878488819</v>
      </c>
      <c r="R29" s="9"/>
    </row>
    <row r="30" spans="1:18">
      <c r="A30" s="11"/>
      <c r="B30" s="24">
        <v>331.5</v>
      </c>
      <c r="C30" s="19" t="s">
        <v>31</v>
      </c>
      <c r="D30" s="45">
        <v>0</v>
      </c>
      <c r="E30" s="45">
        <v>12790422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v>0</v>
      </c>
      <c r="O30" s="45">
        <v>0</v>
      </c>
      <c r="P30" s="45">
        <f t="shared" si="15"/>
        <v>12790422</v>
      </c>
      <c r="Q30" s="46">
        <f t="shared" si="4"/>
        <v>8.1966293034889315</v>
      </c>
      <c r="R30" s="9"/>
    </row>
    <row r="31" spans="1:18">
      <c r="A31" s="11"/>
      <c r="B31" s="24">
        <v>331.51</v>
      </c>
      <c r="C31" s="19" t="s">
        <v>329</v>
      </c>
      <c r="D31" s="45">
        <v>0</v>
      </c>
      <c r="E31" s="45">
        <v>89769</v>
      </c>
      <c r="F31" s="45">
        <v>0</v>
      </c>
      <c r="G31" s="45">
        <v>0</v>
      </c>
      <c r="H31" s="45">
        <v>0</v>
      </c>
      <c r="I31" s="45">
        <v>0</v>
      </c>
      <c r="J31" s="45">
        <v>0</v>
      </c>
      <c r="K31" s="45">
        <v>0</v>
      </c>
      <c r="L31" s="45">
        <v>0</v>
      </c>
      <c r="M31" s="45">
        <v>0</v>
      </c>
      <c r="N31" s="45">
        <v>0</v>
      </c>
      <c r="O31" s="45">
        <v>0</v>
      </c>
      <c r="P31" s="45">
        <f t="shared" si="15"/>
        <v>89769</v>
      </c>
      <c r="Q31" s="46">
        <f t="shared" si="4"/>
        <v>5.7527673124850603E-2</v>
      </c>
      <c r="R31" s="9"/>
    </row>
    <row r="32" spans="1:18">
      <c r="A32" s="11"/>
      <c r="B32" s="24">
        <v>331.61</v>
      </c>
      <c r="C32" s="19" t="s">
        <v>37</v>
      </c>
      <c r="D32" s="45">
        <v>0</v>
      </c>
      <c r="E32" s="45">
        <v>4765979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45">
        <v>0</v>
      </c>
      <c r="O32" s="45">
        <v>0</v>
      </c>
      <c r="P32" s="45">
        <f t="shared" si="15"/>
        <v>4765979</v>
      </c>
      <c r="Q32" s="46">
        <f t="shared" si="4"/>
        <v>3.0542356719123789</v>
      </c>
      <c r="R32" s="9"/>
    </row>
    <row r="33" spans="1:18">
      <c r="A33" s="11"/>
      <c r="B33" s="24">
        <v>331.69</v>
      </c>
      <c r="C33" s="19" t="s">
        <v>39</v>
      </c>
      <c r="D33" s="45">
        <v>0</v>
      </c>
      <c r="E33" s="45">
        <v>62492179</v>
      </c>
      <c r="F33" s="45">
        <v>0</v>
      </c>
      <c r="G33" s="45">
        <v>0</v>
      </c>
      <c r="H33" s="45">
        <v>0</v>
      </c>
      <c r="I33" s="45">
        <v>0</v>
      </c>
      <c r="J33" s="45">
        <v>0</v>
      </c>
      <c r="K33" s="45">
        <v>0</v>
      </c>
      <c r="L33" s="45">
        <v>0</v>
      </c>
      <c r="M33" s="45">
        <v>0</v>
      </c>
      <c r="N33" s="45">
        <v>0</v>
      </c>
      <c r="O33" s="45">
        <v>0</v>
      </c>
      <c r="P33" s="45">
        <f t="shared" si="15"/>
        <v>62492179</v>
      </c>
      <c r="Q33" s="46">
        <f t="shared" si="4"/>
        <v>40.047562592561498</v>
      </c>
      <c r="R33" s="9"/>
    </row>
    <row r="34" spans="1:18">
      <c r="A34" s="11"/>
      <c r="B34" s="24">
        <v>333</v>
      </c>
      <c r="C34" s="19" t="s">
        <v>4</v>
      </c>
      <c r="D34" s="45">
        <v>1282</v>
      </c>
      <c r="E34" s="45">
        <v>0</v>
      </c>
      <c r="F34" s="45">
        <v>0</v>
      </c>
      <c r="G34" s="45">
        <v>0</v>
      </c>
      <c r="H34" s="45">
        <v>0</v>
      </c>
      <c r="I34" s="45">
        <v>0</v>
      </c>
      <c r="J34" s="45">
        <v>0</v>
      </c>
      <c r="K34" s="45">
        <v>0</v>
      </c>
      <c r="L34" s="45">
        <v>0</v>
      </c>
      <c r="M34" s="45">
        <v>0</v>
      </c>
      <c r="N34" s="45">
        <v>0</v>
      </c>
      <c r="O34" s="45">
        <v>0</v>
      </c>
      <c r="P34" s="45">
        <f t="shared" si="15"/>
        <v>1282</v>
      </c>
      <c r="Q34" s="46">
        <f t="shared" si="4"/>
        <v>8.2155841043186927E-4</v>
      </c>
      <c r="R34" s="9"/>
    </row>
    <row r="35" spans="1:18">
      <c r="A35" s="11"/>
      <c r="B35" s="24">
        <v>334.1</v>
      </c>
      <c r="C35" s="19" t="s">
        <v>189</v>
      </c>
      <c r="D35" s="45">
        <v>0</v>
      </c>
      <c r="E35" s="45">
        <v>2868279</v>
      </c>
      <c r="F35" s="45">
        <v>0</v>
      </c>
      <c r="G35" s="45">
        <v>0</v>
      </c>
      <c r="H35" s="45">
        <v>0</v>
      </c>
      <c r="I35" s="45">
        <v>-1312746</v>
      </c>
      <c r="J35" s="45">
        <v>0</v>
      </c>
      <c r="K35" s="45">
        <v>0</v>
      </c>
      <c r="L35" s="45">
        <v>0</v>
      </c>
      <c r="M35" s="45">
        <v>0</v>
      </c>
      <c r="N35" s="45">
        <v>0</v>
      </c>
      <c r="O35" s="45">
        <v>0</v>
      </c>
      <c r="P35" s="45">
        <f t="shared" si="15"/>
        <v>1555533</v>
      </c>
      <c r="Q35" s="46">
        <f t="shared" si="4"/>
        <v>0.99684962469135485</v>
      </c>
      <c r="R35" s="9"/>
    </row>
    <row r="36" spans="1:18">
      <c r="A36" s="11"/>
      <c r="B36" s="24">
        <v>334.2</v>
      </c>
      <c r="C36" s="19" t="s">
        <v>33</v>
      </c>
      <c r="D36" s="45">
        <v>0</v>
      </c>
      <c r="E36" s="45">
        <v>4646448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5">
        <v>0</v>
      </c>
      <c r="P36" s="45">
        <f t="shared" si="15"/>
        <v>4646448</v>
      </c>
      <c r="Q36" s="46">
        <f t="shared" si="4"/>
        <v>2.977635283178111</v>
      </c>
      <c r="R36" s="9"/>
    </row>
    <row r="37" spans="1:18">
      <c r="A37" s="11"/>
      <c r="B37" s="24">
        <v>334.39</v>
      </c>
      <c r="C37" s="19" t="s">
        <v>40</v>
      </c>
      <c r="D37" s="45">
        <v>85539</v>
      </c>
      <c r="E37" s="45">
        <v>2639744</v>
      </c>
      <c r="F37" s="45">
        <v>0</v>
      </c>
      <c r="G37" s="45">
        <v>0</v>
      </c>
      <c r="H37" s="45">
        <v>0</v>
      </c>
      <c r="I37" s="45">
        <v>0</v>
      </c>
      <c r="J37" s="45">
        <v>0</v>
      </c>
      <c r="K37" s="45">
        <v>0</v>
      </c>
      <c r="L37" s="45">
        <v>0</v>
      </c>
      <c r="M37" s="45">
        <v>0</v>
      </c>
      <c r="N37" s="45">
        <v>0</v>
      </c>
      <c r="O37" s="45">
        <v>0</v>
      </c>
      <c r="P37" s="45">
        <f t="shared" si="15"/>
        <v>2725283</v>
      </c>
      <c r="Q37" s="46">
        <f t="shared" ref="Q37:Q68" si="16">(P37/Q$131)</f>
        <v>1.7464736111209018</v>
      </c>
      <c r="R37" s="9"/>
    </row>
    <row r="38" spans="1:18">
      <c r="A38" s="11"/>
      <c r="B38" s="24">
        <v>334.49</v>
      </c>
      <c r="C38" s="19" t="s">
        <v>41</v>
      </c>
      <c r="D38" s="45">
        <v>0</v>
      </c>
      <c r="E38" s="45">
        <v>529838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5">
        <v>0</v>
      </c>
      <c r="L38" s="45">
        <v>0</v>
      </c>
      <c r="M38" s="45">
        <v>0</v>
      </c>
      <c r="N38" s="45">
        <v>0</v>
      </c>
      <c r="O38" s="45">
        <v>0</v>
      </c>
      <c r="P38" s="45">
        <f t="shared" si="15"/>
        <v>529838</v>
      </c>
      <c r="Q38" s="46">
        <f t="shared" si="16"/>
        <v>0.33954201643244991</v>
      </c>
      <c r="R38" s="9"/>
    </row>
    <row r="39" spans="1:18">
      <c r="A39" s="11"/>
      <c r="B39" s="24">
        <v>334.5</v>
      </c>
      <c r="C39" s="19" t="s">
        <v>42</v>
      </c>
      <c r="D39" s="45">
        <v>0</v>
      </c>
      <c r="E39" s="45">
        <v>-121846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f t="shared" si="15"/>
        <v>-121846</v>
      </c>
      <c r="Q39" s="46">
        <f t="shared" si="16"/>
        <v>-7.8083936097879517E-2</v>
      </c>
      <c r="R39" s="9"/>
    </row>
    <row r="40" spans="1:18">
      <c r="A40" s="11"/>
      <c r="B40" s="24">
        <v>334.61</v>
      </c>
      <c r="C40" s="19" t="s">
        <v>43</v>
      </c>
      <c r="D40" s="45">
        <v>0</v>
      </c>
      <c r="E40" s="45">
        <v>97576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5">
        <v>0</v>
      </c>
      <c r="L40" s="45">
        <v>0</v>
      </c>
      <c r="M40" s="45">
        <v>0</v>
      </c>
      <c r="N40" s="45">
        <v>0</v>
      </c>
      <c r="O40" s="45">
        <v>0</v>
      </c>
      <c r="P40" s="45">
        <f t="shared" si="15"/>
        <v>97576</v>
      </c>
      <c r="Q40" s="46">
        <f t="shared" si="16"/>
        <v>6.2530720324727049E-2</v>
      </c>
      <c r="R40" s="9"/>
    </row>
    <row r="41" spans="1:18">
      <c r="A41" s="11"/>
      <c r="B41" s="24">
        <v>334.69</v>
      </c>
      <c r="C41" s="19" t="s">
        <v>44</v>
      </c>
      <c r="D41" s="45">
        <v>0</v>
      </c>
      <c r="E41" s="45">
        <v>11252048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f t="shared" si="15"/>
        <v>11252048</v>
      </c>
      <c r="Q41" s="46">
        <f t="shared" si="16"/>
        <v>7.2107758728417268</v>
      </c>
      <c r="R41" s="9"/>
    </row>
    <row r="42" spans="1:18">
      <c r="A42" s="11"/>
      <c r="B42" s="24">
        <v>334.7</v>
      </c>
      <c r="C42" s="19" t="s">
        <v>45</v>
      </c>
      <c r="D42" s="45">
        <v>0</v>
      </c>
      <c r="E42" s="45">
        <v>1487867</v>
      </c>
      <c r="F42" s="45">
        <v>0</v>
      </c>
      <c r="G42" s="45">
        <v>0</v>
      </c>
      <c r="H42" s="45">
        <v>0</v>
      </c>
      <c r="I42" s="45">
        <v>0</v>
      </c>
      <c r="J42" s="45">
        <v>0</v>
      </c>
      <c r="K42" s="45">
        <v>0</v>
      </c>
      <c r="L42" s="45">
        <v>0</v>
      </c>
      <c r="M42" s="45">
        <v>0</v>
      </c>
      <c r="N42" s="45">
        <v>0</v>
      </c>
      <c r="O42" s="45">
        <v>0</v>
      </c>
      <c r="P42" s="45">
        <f t="shared" si="15"/>
        <v>1487867</v>
      </c>
      <c r="Q42" s="46">
        <f t="shared" si="16"/>
        <v>0.95348646447272545</v>
      </c>
      <c r="R42" s="9"/>
    </row>
    <row r="43" spans="1:18">
      <c r="A43" s="11"/>
      <c r="B43" s="24">
        <v>334.89</v>
      </c>
      <c r="C43" s="19" t="s">
        <v>46</v>
      </c>
      <c r="D43" s="45">
        <v>0</v>
      </c>
      <c r="E43" s="45">
        <v>5906</v>
      </c>
      <c r="F43" s="45">
        <v>0</v>
      </c>
      <c r="G43" s="45">
        <v>0</v>
      </c>
      <c r="H43" s="45">
        <v>0</v>
      </c>
      <c r="I43" s="45">
        <v>0</v>
      </c>
      <c r="J43" s="45">
        <v>0</v>
      </c>
      <c r="K43" s="45">
        <v>0</v>
      </c>
      <c r="L43" s="45">
        <v>0</v>
      </c>
      <c r="M43" s="45">
        <v>0</v>
      </c>
      <c r="N43" s="45">
        <v>0</v>
      </c>
      <c r="O43" s="45">
        <v>0</v>
      </c>
      <c r="P43" s="45">
        <f t="shared" si="15"/>
        <v>5906</v>
      </c>
      <c r="Q43" s="46">
        <f t="shared" si="16"/>
        <v>3.7848080904919032E-3</v>
      </c>
      <c r="R43" s="9"/>
    </row>
    <row r="44" spans="1:18">
      <c r="A44" s="11"/>
      <c r="B44" s="24">
        <v>335.12099999999998</v>
      </c>
      <c r="C44" s="19" t="s">
        <v>313</v>
      </c>
      <c r="D44" s="45">
        <v>59333881</v>
      </c>
      <c r="E44" s="45">
        <v>6752474</v>
      </c>
      <c r="F44" s="45">
        <v>0</v>
      </c>
      <c r="G44" s="45">
        <v>0</v>
      </c>
      <c r="H44" s="45">
        <v>0</v>
      </c>
      <c r="I44" s="45">
        <v>0</v>
      </c>
      <c r="J44" s="45">
        <v>0</v>
      </c>
      <c r="K44" s="45">
        <v>0</v>
      </c>
      <c r="L44" s="45">
        <v>0</v>
      </c>
      <c r="M44" s="45">
        <v>0</v>
      </c>
      <c r="N44" s="45">
        <v>0</v>
      </c>
      <c r="O44" s="45">
        <v>0</v>
      </c>
      <c r="P44" s="45">
        <f t="shared" si="15"/>
        <v>66086355</v>
      </c>
      <c r="Q44" s="46">
        <f t="shared" si="16"/>
        <v>42.350858631073493</v>
      </c>
      <c r="R44" s="9"/>
    </row>
    <row r="45" spans="1:18">
      <c r="A45" s="11"/>
      <c r="B45" s="24">
        <v>335.13</v>
      </c>
      <c r="C45" s="19" t="s">
        <v>205</v>
      </c>
      <c r="D45" s="45">
        <v>627649</v>
      </c>
      <c r="E45" s="45">
        <v>0</v>
      </c>
      <c r="F45" s="45">
        <v>0</v>
      </c>
      <c r="G45" s="45">
        <v>0</v>
      </c>
      <c r="H45" s="45">
        <v>0</v>
      </c>
      <c r="I45" s="45">
        <v>0</v>
      </c>
      <c r="J45" s="45">
        <v>0</v>
      </c>
      <c r="K45" s="45">
        <v>0</v>
      </c>
      <c r="L45" s="45">
        <v>0</v>
      </c>
      <c r="M45" s="45">
        <v>0</v>
      </c>
      <c r="N45" s="45">
        <v>0</v>
      </c>
      <c r="O45" s="45">
        <v>0</v>
      </c>
      <c r="P45" s="45">
        <f t="shared" si="15"/>
        <v>627649</v>
      </c>
      <c r="Q45" s="46">
        <f t="shared" si="16"/>
        <v>0.40222333443771635</v>
      </c>
      <c r="R45" s="9"/>
    </row>
    <row r="46" spans="1:18">
      <c r="A46" s="11"/>
      <c r="B46" s="24">
        <v>335.14</v>
      </c>
      <c r="C46" s="19" t="s">
        <v>206</v>
      </c>
      <c r="D46" s="45">
        <v>385300</v>
      </c>
      <c r="E46" s="45">
        <v>0</v>
      </c>
      <c r="F46" s="45">
        <v>0</v>
      </c>
      <c r="G46" s="45">
        <v>0</v>
      </c>
      <c r="H46" s="45">
        <v>0</v>
      </c>
      <c r="I46" s="45">
        <v>0</v>
      </c>
      <c r="J46" s="45">
        <v>0</v>
      </c>
      <c r="K46" s="45">
        <v>0</v>
      </c>
      <c r="L46" s="45">
        <v>0</v>
      </c>
      <c r="M46" s="45">
        <v>0</v>
      </c>
      <c r="N46" s="45">
        <v>0</v>
      </c>
      <c r="O46" s="45">
        <v>0</v>
      </c>
      <c r="P46" s="45">
        <f t="shared" si="15"/>
        <v>385300</v>
      </c>
      <c r="Q46" s="46">
        <f t="shared" si="16"/>
        <v>0.24691611196521002</v>
      </c>
      <c r="R46" s="9"/>
    </row>
    <row r="47" spans="1:18">
      <c r="A47" s="11"/>
      <c r="B47" s="24">
        <v>335.15</v>
      </c>
      <c r="C47" s="19" t="s">
        <v>207</v>
      </c>
      <c r="D47" s="45">
        <v>617685</v>
      </c>
      <c r="E47" s="45">
        <v>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v>0</v>
      </c>
      <c r="O47" s="45">
        <v>0</v>
      </c>
      <c r="P47" s="45">
        <f t="shared" si="15"/>
        <v>617685</v>
      </c>
      <c r="Q47" s="46">
        <f t="shared" si="16"/>
        <v>0.39583799278284648</v>
      </c>
      <c r="R47" s="9"/>
    </row>
    <row r="48" spans="1:18">
      <c r="A48" s="11"/>
      <c r="B48" s="24">
        <v>335.16</v>
      </c>
      <c r="C48" s="19" t="s">
        <v>314</v>
      </c>
      <c r="D48" s="45">
        <v>446500</v>
      </c>
      <c r="E48" s="45">
        <v>0</v>
      </c>
      <c r="F48" s="45">
        <v>0</v>
      </c>
      <c r="G48" s="45">
        <v>0</v>
      </c>
      <c r="H48" s="45">
        <v>0</v>
      </c>
      <c r="I48" s="45">
        <v>0</v>
      </c>
      <c r="J48" s="45">
        <v>0</v>
      </c>
      <c r="K48" s="45">
        <v>0</v>
      </c>
      <c r="L48" s="45">
        <v>0</v>
      </c>
      <c r="M48" s="45">
        <v>0</v>
      </c>
      <c r="N48" s="45">
        <v>0</v>
      </c>
      <c r="O48" s="45">
        <v>0</v>
      </c>
      <c r="P48" s="45">
        <f t="shared" si="15"/>
        <v>446500</v>
      </c>
      <c r="Q48" s="46">
        <f t="shared" si="16"/>
        <v>0.28613559302482811</v>
      </c>
      <c r="R48" s="9"/>
    </row>
    <row r="49" spans="1:18">
      <c r="A49" s="11"/>
      <c r="B49" s="24">
        <v>335.17</v>
      </c>
      <c r="C49" s="19" t="s">
        <v>209</v>
      </c>
      <c r="D49" s="45">
        <v>117286</v>
      </c>
      <c r="E49" s="45">
        <v>0</v>
      </c>
      <c r="F49" s="45">
        <v>0</v>
      </c>
      <c r="G49" s="45">
        <v>0</v>
      </c>
      <c r="H49" s="45">
        <v>0</v>
      </c>
      <c r="I49" s="45">
        <v>0</v>
      </c>
      <c r="J49" s="45">
        <v>0</v>
      </c>
      <c r="K49" s="45">
        <v>0</v>
      </c>
      <c r="L49" s="45">
        <v>0</v>
      </c>
      <c r="M49" s="45">
        <v>0</v>
      </c>
      <c r="N49" s="45">
        <v>0</v>
      </c>
      <c r="O49" s="45">
        <v>0</v>
      </c>
      <c r="P49" s="45">
        <f t="shared" si="15"/>
        <v>117286</v>
      </c>
      <c r="Q49" s="46">
        <f t="shared" si="16"/>
        <v>7.5161700254221697E-2</v>
      </c>
      <c r="R49" s="9"/>
    </row>
    <row r="50" spans="1:18">
      <c r="A50" s="11"/>
      <c r="B50" s="24">
        <v>335.18</v>
      </c>
      <c r="C50" s="19" t="s">
        <v>315</v>
      </c>
      <c r="D50" s="45">
        <v>0</v>
      </c>
      <c r="E50" s="45">
        <v>36824953</v>
      </c>
      <c r="F50" s="45">
        <v>0</v>
      </c>
      <c r="G50" s="45">
        <v>0</v>
      </c>
      <c r="H50" s="45">
        <v>0</v>
      </c>
      <c r="I50" s="45">
        <v>0</v>
      </c>
      <c r="J50" s="45">
        <v>0</v>
      </c>
      <c r="K50" s="45">
        <v>0</v>
      </c>
      <c r="L50" s="45">
        <v>0</v>
      </c>
      <c r="M50" s="45">
        <v>0</v>
      </c>
      <c r="N50" s="45">
        <v>0</v>
      </c>
      <c r="O50" s="45">
        <v>0</v>
      </c>
      <c r="P50" s="45">
        <f t="shared" si="15"/>
        <v>36824953</v>
      </c>
      <c r="Q50" s="46">
        <f t="shared" si="16"/>
        <v>23.598946841582134</v>
      </c>
      <c r="R50" s="9"/>
    </row>
    <row r="51" spans="1:18">
      <c r="A51" s="11"/>
      <c r="B51" s="24">
        <v>335.21</v>
      </c>
      <c r="C51" s="19" t="s">
        <v>55</v>
      </c>
      <c r="D51" s="45">
        <v>304450</v>
      </c>
      <c r="E51" s="45">
        <v>0</v>
      </c>
      <c r="F51" s="45">
        <v>0</v>
      </c>
      <c r="G51" s="45">
        <v>0</v>
      </c>
      <c r="H51" s="45">
        <v>0</v>
      </c>
      <c r="I51" s="45">
        <v>0</v>
      </c>
      <c r="J51" s="45">
        <v>0</v>
      </c>
      <c r="K51" s="45">
        <v>0</v>
      </c>
      <c r="L51" s="45">
        <v>0</v>
      </c>
      <c r="M51" s="45">
        <v>0</v>
      </c>
      <c r="N51" s="45">
        <v>0</v>
      </c>
      <c r="O51" s="45">
        <v>0</v>
      </c>
      <c r="P51" s="45">
        <f t="shared" si="15"/>
        <v>304450</v>
      </c>
      <c r="Q51" s="46">
        <f t="shared" si="16"/>
        <v>0.19510410144772433</v>
      </c>
      <c r="R51" s="9"/>
    </row>
    <row r="52" spans="1:18">
      <c r="A52" s="11"/>
      <c r="B52" s="24">
        <v>335.22</v>
      </c>
      <c r="C52" s="19" t="s">
        <v>56</v>
      </c>
      <c r="D52" s="45">
        <v>0</v>
      </c>
      <c r="E52" s="45">
        <v>8684990</v>
      </c>
      <c r="F52" s="45">
        <v>0</v>
      </c>
      <c r="G52" s="45">
        <v>0</v>
      </c>
      <c r="H52" s="45">
        <v>0</v>
      </c>
      <c r="I52" s="45">
        <v>0</v>
      </c>
      <c r="J52" s="45">
        <v>0</v>
      </c>
      <c r="K52" s="45">
        <v>0</v>
      </c>
      <c r="L52" s="45">
        <v>0</v>
      </c>
      <c r="M52" s="45">
        <v>0</v>
      </c>
      <c r="N52" s="45">
        <v>0</v>
      </c>
      <c r="O52" s="45">
        <v>0</v>
      </c>
      <c r="P52" s="45">
        <f t="shared" si="15"/>
        <v>8684990</v>
      </c>
      <c r="Q52" s="46">
        <f t="shared" si="16"/>
        <v>5.5656993596073949</v>
      </c>
      <c r="R52" s="9"/>
    </row>
    <row r="53" spans="1:18">
      <c r="A53" s="11"/>
      <c r="B53" s="24">
        <v>335.23</v>
      </c>
      <c r="C53" s="19" t="s">
        <v>171</v>
      </c>
      <c r="D53" s="45">
        <v>136449</v>
      </c>
      <c r="E53" s="45">
        <v>198041</v>
      </c>
      <c r="F53" s="45">
        <v>0</v>
      </c>
      <c r="G53" s="45">
        <v>0</v>
      </c>
      <c r="H53" s="45">
        <v>0</v>
      </c>
      <c r="I53" s="45">
        <v>0</v>
      </c>
      <c r="J53" s="45">
        <v>0</v>
      </c>
      <c r="K53" s="45">
        <v>0</v>
      </c>
      <c r="L53" s="45">
        <v>0</v>
      </c>
      <c r="M53" s="45">
        <v>0</v>
      </c>
      <c r="N53" s="45">
        <v>0</v>
      </c>
      <c r="O53" s="45">
        <v>0</v>
      </c>
      <c r="P53" s="45">
        <f t="shared" si="15"/>
        <v>334490</v>
      </c>
      <c r="Q53" s="46">
        <f t="shared" si="16"/>
        <v>0.21435497090901401</v>
      </c>
      <c r="R53" s="9"/>
    </row>
    <row r="54" spans="1:18">
      <c r="A54" s="11"/>
      <c r="B54" s="24">
        <v>335.29</v>
      </c>
      <c r="C54" s="19" t="s">
        <v>57</v>
      </c>
      <c r="D54" s="45">
        <v>17316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f t="shared" si="15"/>
        <v>17316</v>
      </c>
      <c r="Q54" s="46">
        <f t="shared" si="16"/>
        <v>1.1096806111574297E-2</v>
      </c>
      <c r="R54" s="9"/>
    </row>
    <row r="55" spans="1:18">
      <c r="A55" s="11"/>
      <c r="B55" s="24">
        <v>335.38</v>
      </c>
      <c r="C55" s="19" t="s">
        <v>58</v>
      </c>
      <c r="D55" s="45">
        <v>0</v>
      </c>
      <c r="E55" s="45">
        <v>1412411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v>0</v>
      </c>
      <c r="O55" s="45">
        <v>0</v>
      </c>
      <c r="P55" s="45">
        <f t="shared" ref="P55:P64" si="17">SUM(D55:O55)</f>
        <v>1412411</v>
      </c>
      <c r="Q55" s="46">
        <f t="shared" si="16"/>
        <v>0.90513115135451394</v>
      </c>
      <c r="R55" s="9"/>
    </row>
    <row r="56" spans="1:18">
      <c r="A56" s="11"/>
      <c r="B56" s="24">
        <v>335.43</v>
      </c>
      <c r="C56" s="19" t="s">
        <v>316</v>
      </c>
      <c r="D56" s="45">
        <v>0</v>
      </c>
      <c r="E56" s="45">
        <v>14053041</v>
      </c>
      <c r="F56" s="45">
        <v>0</v>
      </c>
      <c r="G56" s="45">
        <v>0</v>
      </c>
      <c r="H56" s="45">
        <v>0</v>
      </c>
      <c r="I56" s="45">
        <v>0</v>
      </c>
      <c r="J56" s="45">
        <v>0</v>
      </c>
      <c r="K56" s="45">
        <v>0</v>
      </c>
      <c r="L56" s="45">
        <v>0</v>
      </c>
      <c r="M56" s="45">
        <v>0</v>
      </c>
      <c r="N56" s="45">
        <v>0</v>
      </c>
      <c r="O56" s="45">
        <v>0</v>
      </c>
      <c r="P56" s="45">
        <f t="shared" si="17"/>
        <v>14053041</v>
      </c>
      <c r="Q56" s="46">
        <f t="shared" si="16"/>
        <v>9.0057675707440623</v>
      </c>
      <c r="R56" s="9"/>
    </row>
    <row r="57" spans="1:18">
      <c r="A57" s="11"/>
      <c r="B57" s="24">
        <v>335.44</v>
      </c>
      <c r="C57" s="19" t="s">
        <v>317</v>
      </c>
      <c r="D57" s="45">
        <v>0</v>
      </c>
      <c r="E57" s="45">
        <v>5682217</v>
      </c>
      <c r="F57" s="45">
        <v>0</v>
      </c>
      <c r="G57" s="45">
        <v>0</v>
      </c>
      <c r="H57" s="45">
        <v>0</v>
      </c>
      <c r="I57" s="45">
        <v>0</v>
      </c>
      <c r="J57" s="45">
        <v>0</v>
      </c>
      <c r="K57" s="45">
        <v>0</v>
      </c>
      <c r="L57" s="45">
        <v>0</v>
      </c>
      <c r="M57" s="45">
        <v>0</v>
      </c>
      <c r="N57" s="45">
        <v>0</v>
      </c>
      <c r="O57" s="45">
        <v>0</v>
      </c>
      <c r="P57" s="45">
        <f t="shared" si="17"/>
        <v>5682217</v>
      </c>
      <c r="Q57" s="46">
        <f t="shared" si="16"/>
        <v>3.6413987256232021</v>
      </c>
      <c r="R57" s="9"/>
    </row>
    <row r="58" spans="1:18">
      <c r="A58" s="11"/>
      <c r="B58" s="24">
        <v>335.48</v>
      </c>
      <c r="C58" s="19" t="s">
        <v>59</v>
      </c>
      <c r="D58" s="45">
        <v>0</v>
      </c>
      <c r="E58" s="45">
        <v>809692</v>
      </c>
      <c r="F58" s="45">
        <v>0</v>
      </c>
      <c r="G58" s="45">
        <v>0</v>
      </c>
      <c r="H58" s="45">
        <v>0</v>
      </c>
      <c r="I58" s="45">
        <v>0</v>
      </c>
      <c r="J58" s="45">
        <v>0</v>
      </c>
      <c r="K58" s="45">
        <v>0</v>
      </c>
      <c r="L58" s="45">
        <v>0</v>
      </c>
      <c r="M58" s="45">
        <v>0</v>
      </c>
      <c r="N58" s="45">
        <v>0</v>
      </c>
      <c r="O58" s="45">
        <v>0</v>
      </c>
      <c r="P58" s="45">
        <f t="shared" si="17"/>
        <v>809692</v>
      </c>
      <c r="Q58" s="46">
        <f t="shared" si="16"/>
        <v>0.51888398787784795</v>
      </c>
      <c r="R58" s="9"/>
    </row>
    <row r="59" spans="1:18">
      <c r="A59" s="11"/>
      <c r="B59" s="24">
        <v>335.5</v>
      </c>
      <c r="C59" s="19" t="s">
        <v>60</v>
      </c>
      <c r="D59" s="45">
        <v>0</v>
      </c>
      <c r="E59" s="45">
        <v>10430099</v>
      </c>
      <c r="F59" s="45">
        <v>0</v>
      </c>
      <c r="G59" s="45">
        <v>0</v>
      </c>
      <c r="H59" s="45">
        <v>0</v>
      </c>
      <c r="I59" s="45">
        <v>0</v>
      </c>
      <c r="J59" s="45">
        <v>0</v>
      </c>
      <c r="K59" s="45">
        <v>0</v>
      </c>
      <c r="L59" s="45">
        <v>0</v>
      </c>
      <c r="M59" s="45">
        <v>0</v>
      </c>
      <c r="N59" s="45">
        <v>0</v>
      </c>
      <c r="O59" s="45">
        <v>0</v>
      </c>
      <c r="P59" s="45">
        <f t="shared" si="17"/>
        <v>10430099</v>
      </c>
      <c r="Q59" s="46">
        <f t="shared" si="16"/>
        <v>6.6840370944516607</v>
      </c>
      <c r="R59" s="9"/>
    </row>
    <row r="60" spans="1:18">
      <c r="A60" s="11"/>
      <c r="B60" s="24">
        <v>335.7</v>
      </c>
      <c r="C60" s="19" t="s">
        <v>62</v>
      </c>
      <c r="D60" s="45">
        <v>0</v>
      </c>
      <c r="E60" s="45">
        <v>2649468</v>
      </c>
      <c r="F60" s="45">
        <v>0</v>
      </c>
      <c r="G60" s="45">
        <v>0</v>
      </c>
      <c r="H60" s="45">
        <v>0</v>
      </c>
      <c r="I60" s="45">
        <v>0</v>
      </c>
      <c r="J60" s="45">
        <v>0</v>
      </c>
      <c r="K60" s="45">
        <v>0</v>
      </c>
      <c r="L60" s="45">
        <v>0</v>
      </c>
      <c r="M60" s="45">
        <v>0</v>
      </c>
      <c r="N60" s="45">
        <v>0</v>
      </c>
      <c r="O60" s="45">
        <v>0</v>
      </c>
      <c r="P60" s="45">
        <f t="shared" si="17"/>
        <v>2649468</v>
      </c>
      <c r="Q60" s="46">
        <f t="shared" si="16"/>
        <v>1.6978882360141216</v>
      </c>
      <c r="R60" s="9"/>
    </row>
    <row r="61" spans="1:18">
      <c r="A61" s="11"/>
      <c r="B61" s="24">
        <v>337.1</v>
      </c>
      <c r="C61" s="19" t="s">
        <v>64</v>
      </c>
      <c r="D61" s="45">
        <v>0</v>
      </c>
      <c r="E61" s="45">
        <v>16446</v>
      </c>
      <c r="F61" s="45">
        <v>0</v>
      </c>
      <c r="G61" s="45">
        <v>0</v>
      </c>
      <c r="H61" s="45">
        <v>0</v>
      </c>
      <c r="I61" s="45">
        <v>0</v>
      </c>
      <c r="J61" s="45">
        <v>0</v>
      </c>
      <c r="K61" s="45">
        <v>0</v>
      </c>
      <c r="L61" s="45">
        <v>0</v>
      </c>
      <c r="M61" s="45">
        <v>0</v>
      </c>
      <c r="N61" s="45">
        <v>0</v>
      </c>
      <c r="O61" s="45">
        <v>5661032</v>
      </c>
      <c r="P61" s="45">
        <f t="shared" si="17"/>
        <v>5677478</v>
      </c>
      <c r="Q61" s="46">
        <f t="shared" si="16"/>
        <v>3.6383617792058569</v>
      </c>
      <c r="R61" s="9"/>
    </row>
    <row r="62" spans="1:18">
      <c r="A62" s="11"/>
      <c r="B62" s="24">
        <v>337.3</v>
      </c>
      <c r="C62" s="19" t="s">
        <v>66</v>
      </c>
      <c r="D62" s="45">
        <v>1154</v>
      </c>
      <c r="E62" s="45">
        <v>1305617</v>
      </c>
      <c r="F62" s="45">
        <v>0</v>
      </c>
      <c r="G62" s="45">
        <v>0</v>
      </c>
      <c r="H62" s="45">
        <v>0</v>
      </c>
      <c r="I62" s="45">
        <v>0</v>
      </c>
      <c r="J62" s="45">
        <v>0</v>
      </c>
      <c r="K62" s="45">
        <v>0</v>
      </c>
      <c r="L62" s="45">
        <v>0</v>
      </c>
      <c r="M62" s="45">
        <v>0</v>
      </c>
      <c r="N62" s="45">
        <v>0</v>
      </c>
      <c r="O62" s="45">
        <v>0</v>
      </c>
      <c r="P62" s="45">
        <f t="shared" si="17"/>
        <v>1306771</v>
      </c>
      <c r="Q62" s="46">
        <f t="shared" si="16"/>
        <v>0.83743268764310785</v>
      </c>
      <c r="R62" s="9"/>
    </row>
    <row r="63" spans="1:18">
      <c r="A63" s="11"/>
      <c r="B63" s="24">
        <v>337.4</v>
      </c>
      <c r="C63" s="19" t="s">
        <v>172</v>
      </c>
      <c r="D63" s="45">
        <v>0</v>
      </c>
      <c r="E63" s="45">
        <v>389438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0</v>
      </c>
      <c r="N63" s="45">
        <v>0</v>
      </c>
      <c r="O63" s="45">
        <v>0</v>
      </c>
      <c r="P63" s="45">
        <f t="shared" si="17"/>
        <v>389438</v>
      </c>
      <c r="Q63" s="46">
        <f t="shared" si="16"/>
        <v>0.24956791282509072</v>
      </c>
      <c r="R63" s="9"/>
    </row>
    <row r="64" spans="1:18">
      <c r="A64" s="11"/>
      <c r="B64" s="24">
        <v>337.5</v>
      </c>
      <c r="C64" s="19" t="s">
        <v>67</v>
      </c>
      <c r="D64" s="45">
        <v>0</v>
      </c>
      <c r="E64" s="45">
        <v>211335</v>
      </c>
      <c r="F64" s="45">
        <v>0</v>
      </c>
      <c r="G64" s="45">
        <v>0</v>
      </c>
      <c r="H64" s="45">
        <v>0</v>
      </c>
      <c r="I64" s="45">
        <v>0</v>
      </c>
      <c r="J64" s="45">
        <v>0</v>
      </c>
      <c r="K64" s="45">
        <v>0</v>
      </c>
      <c r="L64" s="45">
        <v>0</v>
      </c>
      <c r="M64" s="45">
        <v>0</v>
      </c>
      <c r="N64" s="45">
        <v>0</v>
      </c>
      <c r="O64" s="45">
        <v>2205000</v>
      </c>
      <c r="P64" s="45">
        <f t="shared" si="17"/>
        <v>2416335</v>
      </c>
      <c r="Q64" s="46">
        <f t="shared" si="16"/>
        <v>1.5484870059835343</v>
      </c>
      <c r="R64" s="9"/>
    </row>
    <row r="65" spans="1:18" ht="15.75">
      <c r="A65" s="28" t="s">
        <v>75</v>
      </c>
      <c r="B65" s="29"/>
      <c r="C65" s="30"/>
      <c r="D65" s="31">
        <f t="shared" ref="D65:O65" si="18">SUM(D66:D100)</f>
        <v>121497872</v>
      </c>
      <c r="E65" s="31">
        <f t="shared" si="18"/>
        <v>18705706</v>
      </c>
      <c r="F65" s="31">
        <f t="shared" si="18"/>
        <v>565141</v>
      </c>
      <c r="G65" s="31">
        <f t="shared" si="18"/>
        <v>0</v>
      </c>
      <c r="H65" s="31">
        <f t="shared" si="18"/>
        <v>0</v>
      </c>
      <c r="I65" s="31">
        <f t="shared" si="18"/>
        <v>604609230</v>
      </c>
      <c r="J65" s="31">
        <f t="shared" si="18"/>
        <v>261050882</v>
      </c>
      <c r="K65" s="31">
        <f t="shared" ref="K65" si="19">SUM(K66:K100)</f>
        <v>0</v>
      </c>
      <c r="L65" s="31">
        <f t="shared" ref="L65" si="20">SUM(L66:L100)</f>
        <v>0</v>
      </c>
      <c r="M65" s="31">
        <f t="shared" si="18"/>
        <v>0</v>
      </c>
      <c r="N65" s="31">
        <f t="shared" ref="N65" si="21">SUM(N66:N100)</f>
        <v>0</v>
      </c>
      <c r="O65" s="31">
        <f t="shared" si="18"/>
        <v>2554881</v>
      </c>
      <c r="P65" s="31">
        <f>SUM(D65:O65)</f>
        <v>1008983712</v>
      </c>
      <c r="Q65" s="44">
        <f t="shared" si="16"/>
        <v>646.59832650730652</v>
      </c>
      <c r="R65" s="10"/>
    </row>
    <row r="66" spans="1:18">
      <c r="A66" s="11"/>
      <c r="B66" s="24">
        <v>341.16</v>
      </c>
      <c r="C66" s="19" t="s">
        <v>214</v>
      </c>
      <c r="D66" s="45">
        <v>0</v>
      </c>
      <c r="E66" s="45">
        <v>1964387</v>
      </c>
      <c r="F66" s="45">
        <v>0</v>
      </c>
      <c r="G66" s="45">
        <v>0</v>
      </c>
      <c r="H66" s="45">
        <v>0</v>
      </c>
      <c r="I66" s="45">
        <v>0</v>
      </c>
      <c r="J66" s="45">
        <v>0</v>
      </c>
      <c r="K66" s="45">
        <v>0</v>
      </c>
      <c r="L66" s="45">
        <v>0</v>
      </c>
      <c r="M66" s="45">
        <v>0</v>
      </c>
      <c r="N66" s="45">
        <v>0</v>
      </c>
      <c r="O66" s="45">
        <v>0</v>
      </c>
      <c r="P66" s="45">
        <f t="shared" ref="P66:P100" si="22">SUM(D66:O66)</f>
        <v>1964387</v>
      </c>
      <c r="Q66" s="46">
        <f t="shared" si="16"/>
        <v>1.2588601101349675</v>
      </c>
      <c r="R66" s="9"/>
    </row>
    <row r="67" spans="1:18">
      <c r="A67" s="11"/>
      <c r="B67" s="24">
        <v>341.2</v>
      </c>
      <c r="C67" s="19" t="s">
        <v>215</v>
      </c>
      <c r="D67" s="45">
        <v>0</v>
      </c>
      <c r="E67" s="45">
        <v>0</v>
      </c>
      <c r="F67" s="45">
        <v>0</v>
      </c>
      <c r="G67" s="45">
        <v>0</v>
      </c>
      <c r="H67" s="45">
        <v>0</v>
      </c>
      <c r="I67" s="45">
        <v>0</v>
      </c>
      <c r="J67" s="45">
        <v>225044608</v>
      </c>
      <c r="K67" s="45">
        <v>0</v>
      </c>
      <c r="L67" s="45">
        <v>0</v>
      </c>
      <c r="M67" s="45">
        <v>0</v>
      </c>
      <c r="N67" s="45">
        <v>0</v>
      </c>
      <c r="O67" s="45">
        <v>0</v>
      </c>
      <c r="P67" s="45">
        <f t="shared" si="22"/>
        <v>225044608</v>
      </c>
      <c r="Q67" s="46">
        <f t="shared" si="16"/>
        <v>144.21785524550947</v>
      </c>
      <c r="R67" s="9"/>
    </row>
    <row r="68" spans="1:18">
      <c r="A68" s="11"/>
      <c r="B68" s="24">
        <v>341.3</v>
      </c>
      <c r="C68" s="19" t="s">
        <v>216</v>
      </c>
      <c r="D68" s="45">
        <v>87372</v>
      </c>
      <c r="E68" s="45">
        <v>489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</v>
      </c>
      <c r="L68" s="45">
        <v>0</v>
      </c>
      <c r="M68" s="45">
        <v>0</v>
      </c>
      <c r="N68" s="45">
        <v>0</v>
      </c>
      <c r="O68" s="45">
        <v>0</v>
      </c>
      <c r="P68" s="45">
        <f t="shared" si="22"/>
        <v>87861</v>
      </c>
      <c r="Q68" s="46">
        <f t="shared" si="16"/>
        <v>5.6304948127109566E-2</v>
      </c>
      <c r="R68" s="9"/>
    </row>
    <row r="69" spans="1:18">
      <c r="A69" s="11"/>
      <c r="B69" s="24">
        <v>341.52</v>
      </c>
      <c r="C69" s="19" t="s">
        <v>217</v>
      </c>
      <c r="D69" s="45">
        <v>500347</v>
      </c>
      <c r="E69" s="45">
        <v>148699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5">
        <v>0</v>
      </c>
      <c r="L69" s="45">
        <v>0</v>
      </c>
      <c r="M69" s="45">
        <v>0</v>
      </c>
      <c r="N69" s="45">
        <v>0</v>
      </c>
      <c r="O69" s="45">
        <v>0</v>
      </c>
      <c r="P69" s="45">
        <f t="shared" si="22"/>
        <v>649046</v>
      </c>
      <c r="Q69" s="46">
        <f t="shared" ref="Q69:Q100" si="23">(P69/Q$131)</f>
        <v>0.41593541346112561</v>
      </c>
      <c r="R69" s="9"/>
    </row>
    <row r="70" spans="1:18">
      <c r="A70" s="11"/>
      <c r="B70" s="24">
        <v>341.55</v>
      </c>
      <c r="C70" s="19" t="s">
        <v>218</v>
      </c>
      <c r="D70" s="45">
        <v>47865</v>
      </c>
      <c r="E70" s="45">
        <v>0</v>
      </c>
      <c r="F70" s="45">
        <v>0</v>
      </c>
      <c r="G70" s="45">
        <v>0</v>
      </c>
      <c r="H70" s="45">
        <v>0</v>
      </c>
      <c r="I70" s="45">
        <v>0</v>
      </c>
      <c r="J70" s="45">
        <v>0</v>
      </c>
      <c r="K70" s="45">
        <v>0</v>
      </c>
      <c r="L70" s="45">
        <v>0</v>
      </c>
      <c r="M70" s="45">
        <v>0</v>
      </c>
      <c r="N70" s="45">
        <v>0</v>
      </c>
      <c r="O70" s="45">
        <v>0</v>
      </c>
      <c r="P70" s="45">
        <f t="shared" si="22"/>
        <v>47865</v>
      </c>
      <c r="Q70" s="46">
        <f t="shared" si="23"/>
        <v>3.067386374050033E-2</v>
      </c>
      <c r="R70" s="9"/>
    </row>
    <row r="71" spans="1:18">
      <c r="A71" s="11"/>
      <c r="B71" s="24">
        <v>341.9</v>
      </c>
      <c r="C71" s="19" t="s">
        <v>220</v>
      </c>
      <c r="D71" s="45">
        <v>70867689</v>
      </c>
      <c r="E71" s="45">
        <v>4029036</v>
      </c>
      <c r="F71" s="45">
        <v>0</v>
      </c>
      <c r="G71" s="45">
        <v>0</v>
      </c>
      <c r="H71" s="45">
        <v>0</v>
      </c>
      <c r="I71" s="45">
        <v>0</v>
      </c>
      <c r="J71" s="45">
        <v>12131835</v>
      </c>
      <c r="K71" s="45">
        <v>0</v>
      </c>
      <c r="L71" s="45">
        <v>0</v>
      </c>
      <c r="M71" s="45">
        <v>0</v>
      </c>
      <c r="N71" s="45">
        <v>0</v>
      </c>
      <c r="O71" s="45">
        <v>714700</v>
      </c>
      <c r="P71" s="45">
        <f t="shared" si="22"/>
        <v>87743260</v>
      </c>
      <c r="Q71" s="46">
        <f t="shared" si="23"/>
        <v>56.229495484953368</v>
      </c>
      <c r="R71" s="9"/>
    </row>
    <row r="72" spans="1:18">
      <c r="A72" s="11"/>
      <c r="B72" s="24">
        <v>342.1</v>
      </c>
      <c r="C72" s="19" t="s">
        <v>87</v>
      </c>
      <c r="D72" s="45">
        <v>1469780</v>
      </c>
      <c r="E72" s="45">
        <v>0</v>
      </c>
      <c r="F72" s="45">
        <v>0</v>
      </c>
      <c r="G72" s="45">
        <v>0</v>
      </c>
      <c r="H72" s="45">
        <v>0</v>
      </c>
      <c r="I72" s="45">
        <v>0</v>
      </c>
      <c r="J72" s="45">
        <v>0</v>
      </c>
      <c r="K72" s="45">
        <v>0</v>
      </c>
      <c r="L72" s="45">
        <v>0</v>
      </c>
      <c r="M72" s="45">
        <v>0</v>
      </c>
      <c r="N72" s="45">
        <v>0</v>
      </c>
      <c r="O72" s="45">
        <v>0</v>
      </c>
      <c r="P72" s="45">
        <f t="shared" si="22"/>
        <v>1469780</v>
      </c>
      <c r="Q72" s="46">
        <f t="shared" si="23"/>
        <v>0.94189556980074329</v>
      </c>
      <c r="R72" s="9"/>
    </row>
    <row r="73" spans="1:18">
      <c r="A73" s="11"/>
      <c r="B73" s="24">
        <v>342.2</v>
      </c>
      <c r="C73" s="19" t="s">
        <v>88</v>
      </c>
      <c r="D73" s="45">
        <v>1804522</v>
      </c>
      <c r="E73" s="45">
        <v>0</v>
      </c>
      <c r="F73" s="45">
        <v>0</v>
      </c>
      <c r="G73" s="45">
        <v>0</v>
      </c>
      <c r="H73" s="45">
        <v>0</v>
      </c>
      <c r="I73" s="45">
        <v>0</v>
      </c>
      <c r="J73" s="45">
        <v>0</v>
      </c>
      <c r="K73" s="45">
        <v>0</v>
      </c>
      <c r="L73" s="45">
        <v>0</v>
      </c>
      <c r="M73" s="45">
        <v>0</v>
      </c>
      <c r="N73" s="45">
        <v>0</v>
      </c>
      <c r="O73" s="45">
        <v>0</v>
      </c>
      <c r="P73" s="45">
        <f t="shared" si="22"/>
        <v>1804522</v>
      </c>
      <c r="Q73" s="46">
        <f t="shared" si="23"/>
        <v>1.1564120326905909</v>
      </c>
      <c r="R73" s="9"/>
    </row>
    <row r="74" spans="1:18">
      <c r="A74" s="11"/>
      <c r="B74" s="24">
        <v>342.5</v>
      </c>
      <c r="C74" s="19" t="s">
        <v>90</v>
      </c>
      <c r="D74" s="45">
        <v>27902908</v>
      </c>
      <c r="E74" s="45">
        <v>0</v>
      </c>
      <c r="F74" s="45">
        <v>0</v>
      </c>
      <c r="G74" s="45">
        <v>0</v>
      </c>
      <c r="H74" s="45">
        <v>0</v>
      </c>
      <c r="I74" s="45">
        <v>0</v>
      </c>
      <c r="J74" s="45">
        <v>0</v>
      </c>
      <c r="K74" s="45">
        <v>0</v>
      </c>
      <c r="L74" s="45">
        <v>0</v>
      </c>
      <c r="M74" s="45">
        <v>0</v>
      </c>
      <c r="N74" s="45">
        <v>0</v>
      </c>
      <c r="O74" s="45">
        <v>0</v>
      </c>
      <c r="P74" s="45">
        <f t="shared" si="22"/>
        <v>27902908</v>
      </c>
      <c r="Q74" s="46">
        <f t="shared" si="23"/>
        <v>17.881332872782128</v>
      </c>
      <c r="R74" s="9"/>
    </row>
    <row r="75" spans="1:18">
      <c r="A75" s="11"/>
      <c r="B75" s="24">
        <v>342.6</v>
      </c>
      <c r="C75" s="19" t="s">
        <v>91</v>
      </c>
      <c r="D75" s="45">
        <v>7001320</v>
      </c>
      <c r="E75" s="45">
        <v>0</v>
      </c>
      <c r="F75" s="45">
        <v>0</v>
      </c>
      <c r="G75" s="45">
        <v>0</v>
      </c>
      <c r="H75" s="45">
        <v>0</v>
      </c>
      <c r="I75" s="45">
        <v>0</v>
      </c>
      <c r="J75" s="45">
        <v>0</v>
      </c>
      <c r="K75" s="45">
        <v>0</v>
      </c>
      <c r="L75" s="45">
        <v>0</v>
      </c>
      <c r="M75" s="45">
        <v>0</v>
      </c>
      <c r="N75" s="45">
        <v>0</v>
      </c>
      <c r="O75" s="45">
        <v>0</v>
      </c>
      <c r="P75" s="45">
        <f t="shared" si="22"/>
        <v>7001320</v>
      </c>
      <c r="Q75" s="46">
        <f t="shared" si="23"/>
        <v>4.4867342668680621</v>
      </c>
      <c r="R75" s="9"/>
    </row>
    <row r="76" spans="1:18">
      <c r="A76" s="11"/>
      <c r="B76" s="24">
        <v>342.9</v>
      </c>
      <c r="C76" s="19" t="s">
        <v>92</v>
      </c>
      <c r="D76" s="45">
        <v>519460</v>
      </c>
      <c r="E76" s="45">
        <v>682295</v>
      </c>
      <c r="F76" s="45">
        <v>0</v>
      </c>
      <c r="G76" s="45">
        <v>0</v>
      </c>
      <c r="H76" s="45">
        <v>0</v>
      </c>
      <c r="I76" s="45">
        <v>0</v>
      </c>
      <c r="J76" s="45">
        <v>0</v>
      </c>
      <c r="K76" s="45">
        <v>0</v>
      </c>
      <c r="L76" s="45">
        <v>0</v>
      </c>
      <c r="M76" s="45">
        <v>0</v>
      </c>
      <c r="N76" s="45">
        <v>0</v>
      </c>
      <c r="O76" s="45">
        <v>0</v>
      </c>
      <c r="P76" s="45">
        <f t="shared" si="22"/>
        <v>1201755</v>
      </c>
      <c r="Q76" s="46">
        <f t="shared" si="23"/>
        <v>0.77013410883662325</v>
      </c>
      <c r="R76" s="9"/>
    </row>
    <row r="77" spans="1:18">
      <c r="A77" s="11"/>
      <c r="B77" s="24">
        <v>343.4</v>
      </c>
      <c r="C77" s="19" t="s">
        <v>93</v>
      </c>
      <c r="D77" s="45">
        <v>0</v>
      </c>
      <c r="E77" s="45">
        <v>0</v>
      </c>
      <c r="F77" s="45">
        <v>0</v>
      </c>
      <c r="G77" s="45">
        <v>0</v>
      </c>
      <c r="H77" s="45">
        <v>0</v>
      </c>
      <c r="I77" s="45">
        <v>210827739</v>
      </c>
      <c r="J77" s="45">
        <v>0</v>
      </c>
      <c r="K77" s="45">
        <v>0</v>
      </c>
      <c r="L77" s="45">
        <v>0</v>
      </c>
      <c r="M77" s="45">
        <v>0</v>
      </c>
      <c r="N77" s="45">
        <v>0</v>
      </c>
      <c r="O77" s="45">
        <v>0</v>
      </c>
      <c r="P77" s="45">
        <f t="shared" si="22"/>
        <v>210827739</v>
      </c>
      <c r="Q77" s="46">
        <f t="shared" si="23"/>
        <v>135.10709994367005</v>
      </c>
      <c r="R77" s="9"/>
    </row>
    <row r="78" spans="1:18">
      <c r="A78" s="11"/>
      <c r="B78" s="24">
        <v>343.6</v>
      </c>
      <c r="C78" s="19" t="s">
        <v>94</v>
      </c>
      <c r="D78" s="45">
        <v>0</v>
      </c>
      <c r="E78" s="45">
        <v>0</v>
      </c>
      <c r="F78" s="45">
        <v>0</v>
      </c>
      <c r="G78" s="45">
        <v>0</v>
      </c>
      <c r="H78" s="45">
        <v>0</v>
      </c>
      <c r="I78" s="45">
        <v>393773953</v>
      </c>
      <c r="J78" s="45">
        <v>0</v>
      </c>
      <c r="K78" s="45">
        <v>0</v>
      </c>
      <c r="L78" s="45">
        <v>0</v>
      </c>
      <c r="M78" s="45">
        <v>0</v>
      </c>
      <c r="N78" s="45">
        <v>0</v>
      </c>
      <c r="O78" s="45">
        <v>0</v>
      </c>
      <c r="P78" s="45">
        <f t="shared" si="22"/>
        <v>393773953</v>
      </c>
      <c r="Q78" s="46">
        <f t="shared" si="23"/>
        <v>252.34657012180469</v>
      </c>
      <c r="R78" s="9"/>
    </row>
    <row r="79" spans="1:18">
      <c r="A79" s="11"/>
      <c r="B79" s="24">
        <v>343.7</v>
      </c>
      <c r="C79" s="19" t="s">
        <v>95</v>
      </c>
      <c r="D79" s="45">
        <v>1879892</v>
      </c>
      <c r="E79" s="45">
        <v>2246940</v>
      </c>
      <c r="F79" s="45">
        <v>0</v>
      </c>
      <c r="G79" s="45">
        <v>0</v>
      </c>
      <c r="H79" s="45">
        <v>0</v>
      </c>
      <c r="I79" s="45">
        <v>0</v>
      </c>
      <c r="J79" s="45">
        <v>0</v>
      </c>
      <c r="K79" s="45">
        <v>0</v>
      </c>
      <c r="L79" s="45">
        <v>0</v>
      </c>
      <c r="M79" s="45">
        <v>0</v>
      </c>
      <c r="N79" s="45">
        <v>0</v>
      </c>
      <c r="O79" s="45">
        <v>387853</v>
      </c>
      <c r="P79" s="45">
        <f t="shared" si="22"/>
        <v>4514685</v>
      </c>
      <c r="Q79" s="46">
        <f t="shared" si="23"/>
        <v>2.8931961249614693</v>
      </c>
      <c r="R79" s="9"/>
    </row>
    <row r="80" spans="1:18">
      <c r="A80" s="11"/>
      <c r="B80" s="24">
        <v>343.9</v>
      </c>
      <c r="C80" s="19" t="s">
        <v>96</v>
      </c>
      <c r="D80" s="45">
        <v>1194497</v>
      </c>
      <c r="E80" s="45">
        <v>231247</v>
      </c>
      <c r="F80" s="45">
        <v>0</v>
      </c>
      <c r="G80" s="45">
        <v>0</v>
      </c>
      <c r="H80" s="45">
        <v>0</v>
      </c>
      <c r="I80" s="45">
        <v>0</v>
      </c>
      <c r="J80" s="45">
        <v>0</v>
      </c>
      <c r="K80" s="45">
        <v>0</v>
      </c>
      <c r="L80" s="45">
        <v>0</v>
      </c>
      <c r="M80" s="45">
        <v>0</v>
      </c>
      <c r="N80" s="45">
        <v>0</v>
      </c>
      <c r="O80" s="45">
        <v>0</v>
      </c>
      <c r="P80" s="45">
        <f t="shared" si="22"/>
        <v>1425744</v>
      </c>
      <c r="Q80" s="46">
        <f t="shared" si="23"/>
        <v>0.91367548699124423</v>
      </c>
      <c r="R80" s="9"/>
    </row>
    <row r="81" spans="1:18">
      <c r="A81" s="11"/>
      <c r="B81" s="24">
        <v>344.5</v>
      </c>
      <c r="C81" s="19" t="s">
        <v>221</v>
      </c>
      <c r="D81" s="45">
        <v>738130</v>
      </c>
      <c r="E81" s="45">
        <v>0</v>
      </c>
      <c r="F81" s="45">
        <v>0</v>
      </c>
      <c r="G81" s="45">
        <v>0</v>
      </c>
      <c r="H81" s="45">
        <v>0</v>
      </c>
      <c r="I81" s="45">
        <v>7538</v>
      </c>
      <c r="J81" s="45">
        <v>1773</v>
      </c>
      <c r="K81" s="45">
        <v>0</v>
      </c>
      <c r="L81" s="45">
        <v>0</v>
      </c>
      <c r="M81" s="45">
        <v>0</v>
      </c>
      <c r="N81" s="45">
        <v>0</v>
      </c>
      <c r="O81" s="45">
        <v>0</v>
      </c>
      <c r="P81" s="45">
        <f t="shared" si="22"/>
        <v>747441</v>
      </c>
      <c r="Q81" s="46">
        <f t="shared" si="23"/>
        <v>0.47899098272356228</v>
      </c>
      <c r="R81" s="9"/>
    </row>
    <row r="82" spans="1:18">
      <c r="A82" s="11"/>
      <c r="B82" s="24">
        <v>344.9</v>
      </c>
      <c r="C82" s="19" t="s">
        <v>222</v>
      </c>
      <c r="D82" s="45">
        <v>2596940</v>
      </c>
      <c r="E82" s="45">
        <v>2050714</v>
      </c>
      <c r="F82" s="45">
        <v>0</v>
      </c>
      <c r="G82" s="45">
        <v>0</v>
      </c>
      <c r="H82" s="45">
        <v>0</v>
      </c>
      <c r="I82" s="45">
        <v>0</v>
      </c>
      <c r="J82" s="45">
        <v>0</v>
      </c>
      <c r="K82" s="45">
        <v>0</v>
      </c>
      <c r="L82" s="45">
        <v>0</v>
      </c>
      <c r="M82" s="45">
        <v>0</v>
      </c>
      <c r="N82" s="45">
        <v>0</v>
      </c>
      <c r="O82" s="45">
        <v>0</v>
      </c>
      <c r="P82" s="45">
        <f t="shared" si="22"/>
        <v>4647654</v>
      </c>
      <c r="Q82" s="46">
        <f t="shared" si="23"/>
        <v>2.9784081376578153</v>
      </c>
      <c r="R82" s="9"/>
    </row>
    <row r="83" spans="1:18">
      <c r="A83" s="11"/>
      <c r="B83" s="24">
        <v>345.1</v>
      </c>
      <c r="C83" s="19" t="s">
        <v>99</v>
      </c>
      <c r="D83" s="45">
        <v>0</v>
      </c>
      <c r="E83" s="45">
        <v>0</v>
      </c>
      <c r="F83" s="45">
        <v>0</v>
      </c>
      <c r="G83" s="45">
        <v>0</v>
      </c>
      <c r="H83" s="45">
        <v>0</v>
      </c>
      <c r="I83" s="45">
        <v>0</v>
      </c>
      <c r="J83" s="45">
        <v>0</v>
      </c>
      <c r="K83" s="45">
        <v>0</v>
      </c>
      <c r="L83" s="45">
        <v>0</v>
      </c>
      <c r="M83" s="45">
        <v>0</v>
      </c>
      <c r="N83" s="45">
        <v>0</v>
      </c>
      <c r="O83" s="45">
        <v>1452328</v>
      </c>
      <c r="P83" s="45">
        <f t="shared" si="22"/>
        <v>1452328</v>
      </c>
      <c r="Q83" s="46">
        <f t="shared" si="23"/>
        <v>0.93071160928681429</v>
      </c>
      <c r="R83" s="9"/>
    </row>
    <row r="84" spans="1:18">
      <c r="A84" s="11"/>
      <c r="B84" s="24">
        <v>345.9</v>
      </c>
      <c r="C84" s="19" t="s">
        <v>100</v>
      </c>
      <c r="D84" s="45">
        <v>119650</v>
      </c>
      <c r="E84" s="45">
        <v>0</v>
      </c>
      <c r="F84" s="45">
        <v>0</v>
      </c>
      <c r="G84" s="45">
        <v>0</v>
      </c>
      <c r="H84" s="45">
        <v>0</v>
      </c>
      <c r="I84" s="45">
        <v>0</v>
      </c>
      <c r="J84" s="45">
        <v>0</v>
      </c>
      <c r="K84" s="45">
        <v>0</v>
      </c>
      <c r="L84" s="45">
        <v>0</v>
      </c>
      <c r="M84" s="45">
        <v>0</v>
      </c>
      <c r="N84" s="45">
        <v>0</v>
      </c>
      <c r="O84" s="45">
        <v>0</v>
      </c>
      <c r="P84" s="45">
        <f t="shared" si="22"/>
        <v>119650</v>
      </c>
      <c r="Q84" s="46">
        <f t="shared" si="23"/>
        <v>7.667664883632852E-2</v>
      </c>
      <c r="R84" s="9"/>
    </row>
    <row r="85" spans="1:18">
      <c r="A85" s="11"/>
      <c r="B85" s="24">
        <v>346.4</v>
      </c>
      <c r="C85" s="19" t="s">
        <v>101</v>
      </c>
      <c r="D85" s="45">
        <v>30510</v>
      </c>
      <c r="E85" s="45">
        <v>0</v>
      </c>
      <c r="F85" s="45">
        <v>0</v>
      </c>
      <c r="G85" s="45">
        <v>0</v>
      </c>
      <c r="H85" s="45">
        <v>0</v>
      </c>
      <c r="I85" s="45">
        <v>0</v>
      </c>
      <c r="J85" s="45">
        <v>0</v>
      </c>
      <c r="K85" s="45">
        <v>0</v>
      </c>
      <c r="L85" s="45">
        <v>0</v>
      </c>
      <c r="M85" s="45">
        <v>0</v>
      </c>
      <c r="N85" s="45">
        <v>0</v>
      </c>
      <c r="O85" s="45">
        <v>0</v>
      </c>
      <c r="P85" s="45">
        <f t="shared" si="22"/>
        <v>30510</v>
      </c>
      <c r="Q85" s="46">
        <f t="shared" si="23"/>
        <v>1.9552064822368435E-2</v>
      </c>
      <c r="R85" s="9"/>
    </row>
    <row r="86" spans="1:18">
      <c r="A86" s="11"/>
      <c r="B86" s="24">
        <v>346.9</v>
      </c>
      <c r="C86" s="19" t="s">
        <v>102</v>
      </c>
      <c r="D86" s="45">
        <v>0</v>
      </c>
      <c r="E86" s="45">
        <v>558</v>
      </c>
      <c r="F86" s="45">
        <v>0</v>
      </c>
      <c r="G86" s="45">
        <v>0</v>
      </c>
      <c r="H86" s="45">
        <v>0</v>
      </c>
      <c r="I86" s="45">
        <v>0</v>
      </c>
      <c r="J86" s="45">
        <v>23872666</v>
      </c>
      <c r="K86" s="45">
        <v>0</v>
      </c>
      <c r="L86" s="45">
        <v>0</v>
      </c>
      <c r="M86" s="45">
        <v>0</v>
      </c>
      <c r="N86" s="45">
        <v>0</v>
      </c>
      <c r="O86" s="45">
        <v>0</v>
      </c>
      <c r="P86" s="45">
        <f t="shared" si="22"/>
        <v>23873224</v>
      </c>
      <c r="Q86" s="46">
        <f t="shared" si="23"/>
        <v>15.298945367647388</v>
      </c>
      <c r="R86" s="9"/>
    </row>
    <row r="87" spans="1:18">
      <c r="A87" s="11"/>
      <c r="B87" s="24">
        <v>347.1</v>
      </c>
      <c r="C87" s="19" t="s">
        <v>103</v>
      </c>
      <c r="D87" s="45">
        <v>0</v>
      </c>
      <c r="E87" s="45">
        <v>73462</v>
      </c>
      <c r="F87" s="45">
        <v>0</v>
      </c>
      <c r="G87" s="45">
        <v>0</v>
      </c>
      <c r="H87" s="45">
        <v>0</v>
      </c>
      <c r="I87" s="45">
        <v>0</v>
      </c>
      <c r="J87" s="45">
        <v>0</v>
      </c>
      <c r="K87" s="45">
        <v>0</v>
      </c>
      <c r="L87" s="45">
        <v>0</v>
      </c>
      <c r="M87" s="45">
        <v>0</v>
      </c>
      <c r="N87" s="45">
        <v>0</v>
      </c>
      <c r="O87" s="45">
        <v>0</v>
      </c>
      <c r="P87" s="45">
        <f t="shared" si="22"/>
        <v>73462</v>
      </c>
      <c r="Q87" s="46">
        <f t="shared" si="23"/>
        <v>4.7077475777804981E-2</v>
      </c>
      <c r="R87" s="9"/>
    </row>
    <row r="88" spans="1:18">
      <c r="A88" s="11"/>
      <c r="B88" s="24">
        <v>347.2</v>
      </c>
      <c r="C88" s="19" t="s">
        <v>104</v>
      </c>
      <c r="D88" s="45">
        <v>4402090</v>
      </c>
      <c r="E88" s="45">
        <v>0</v>
      </c>
      <c r="F88" s="45">
        <v>0</v>
      </c>
      <c r="G88" s="45">
        <v>0</v>
      </c>
      <c r="H88" s="45">
        <v>0</v>
      </c>
      <c r="I88" s="45">
        <v>0</v>
      </c>
      <c r="J88" s="45">
        <v>0</v>
      </c>
      <c r="K88" s="45">
        <v>0</v>
      </c>
      <c r="L88" s="45">
        <v>0</v>
      </c>
      <c r="M88" s="45">
        <v>0</v>
      </c>
      <c r="N88" s="45">
        <v>0</v>
      </c>
      <c r="O88" s="45">
        <v>0</v>
      </c>
      <c r="P88" s="45">
        <f t="shared" si="22"/>
        <v>4402090</v>
      </c>
      <c r="Q88" s="46">
        <f t="shared" si="23"/>
        <v>2.8210406107472914</v>
      </c>
      <c r="R88" s="9"/>
    </row>
    <row r="89" spans="1:18">
      <c r="A89" s="11"/>
      <c r="B89" s="24">
        <v>347.4</v>
      </c>
      <c r="C89" s="19" t="s">
        <v>105</v>
      </c>
      <c r="D89" s="45">
        <v>0</v>
      </c>
      <c r="E89" s="45">
        <v>4642</v>
      </c>
      <c r="F89" s="45">
        <v>565141</v>
      </c>
      <c r="G89" s="45">
        <v>0</v>
      </c>
      <c r="H89" s="45">
        <v>0</v>
      </c>
      <c r="I89" s="45">
        <v>0</v>
      </c>
      <c r="J89" s="45">
        <v>0</v>
      </c>
      <c r="K89" s="45">
        <v>0</v>
      </c>
      <c r="L89" s="45">
        <v>0</v>
      </c>
      <c r="M89" s="45">
        <v>0</v>
      </c>
      <c r="N89" s="45">
        <v>0</v>
      </c>
      <c r="O89" s="45">
        <v>0</v>
      </c>
      <c r="P89" s="45">
        <f t="shared" si="22"/>
        <v>569783</v>
      </c>
      <c r="Q89" s="46">
        <f t="shared" si="23"/>
        <v>0.36514041791817614</v>
      </c>
      <c r="R89" s="9"/>
    </row>
    <row r="90" spans="1:18">
      <c r="A90" s="11"/>
      <c r="B90" s="24">
        <v>347.5</v>
      </c>
      <c r="C90" s="19" t="s">
        <v>106</v>
      </c>
      <c r="D90" s="45">
        <v>215044</v>
      </c>
      <c r="E90" s="45">
        <v>0</v>
      </c>
      <c r="F90" s="45">
        <v>0</v>
      </c>
      <c r="G90" s="45">
        <v>0</v>
      </c>
      <c r="H90" s="45">
        <v>0</v>
      </c>
      <c r="I90" s="45">
        <v>0</v>
      </c>
      <c r="J90" s="45">
        <v>0</v>
      </c>
      <c r="K90" s="45">
        <v>0</v>
      </c>
      <c r="L90" s="45">
        <v>0</v>
      </c>
      <c r="M90" s="45">
        <v>0</v>
      </c>
      <c r="N90" s="45">
        <v>0</v>
      </c>
      <c r="O90" s="45">
        <v>0</v>
      </c>
      <c r="P90" s="45">
        <f t="shared" si="22"/>
        <v>215044</v>
      </c>
      <c r="Q90" s="46">
        <f t="shared" si="23"/>
        <v>0.13780905367621754</v>
      </c>
      <c r="R90" s="9"/>
    </row>
    <row r="91" spans="1:18">
      <c r="A91" s="11"/>
      <c r="B91" s="24">
        <v>347.9</v>
      </c>
      <c r="C91" s="19" t="s">
        <v>107</v>
      </c>
      <c r="D91" s="45">
        <v>26600</v>
      </c>
      <c r="E91" s="45">
        <v>0</v>
      </c>
      <c r="F91" s="45">
        <v>0</v>
      </c>
      <c r="G91" s="45">
        <v>0</v>
      </c>
      <c r="H91" s="45">
        <v>0</v>
      </c>
      <c r="I91" s="45">
        <v>0</v>
      </c>
      <c r="J91" s="45">
        <v>0</v>
      </c>
      <c r="K91" s="45">
        <v>0</v>
      </c>
      <c r="L91" s="45">
        <v>0</v>
      </c>
      <c r="M91" s="45">
        <v>0</v>
      </c>
      <c r="N91" s="45">
        <v>0</v>
      </c>
      <c r="O91" s="45">
        <v>0</v>
      </c>
      <c r="P91" s="45">
        <f t="shared" si="22"/>
        <v>26600</v>
      </c>
      <c r="Q91" s="46">
        <f t="shared" si="23"/>
        <v>1.704637575467061E-2</v>
      </c>
      <c r="R91" s="9"/>
    </row>
    <row r="92" spans="1:18">
      <c r="A92" s="11"/>
      <c r="B92" s="24">
        <v>348.88</v>
      </c>
      <c r="C92" s="19" t="s">
        <v>223</v>
      </c>
      <c r="D92" s="45">
        <v>12729</v>
      </c>
      <c r="E92" s="45">
        <v>0</v>
      </c>
      <c r="F92" s="45">
        <v>0</v>
      </c>
      <c r="G92" s="45">
        <v>0</v>
      </c>
      <c r="H92" s="45">
        <v>0</v>
      </c>
      <c r="I92" s="45">
        <v>0</v>
      </c>
      <c r="J92" s="45">
        <v>0</v>
      </c>
      <c r="K92" s="45">
        <v>0</v>
      </c>
      <c r="L92" s="45">
        <v>0</v>
      </c>
      <c r="M92" s="45">
        <v>0</v>
      </c>
      <c r="N92" s="45">
        <v>0</v>
      </c>
      <c r="O92" s="45">
        <v>0</v>
      </c>
      <c r="P92" s="45">
        <f t="shared" si="22"/>
        <v>12729</v>
      </c>
      <c r="Q92" s="46">
        <f t="shared" si="23"/>
        <v>8.157267555684293E-3</v>
      </c>
      <c r="R92" s="9"/>
    </row>
    <row r="93" spans="1:18">
      <c r="A93" s="11"/>
      <c r="B93" s="24">
        <v>348.92099999999999</v>
      </c>
      <c r="C93" s="19" t="s">
        <v>224</v>
      </c>
      <c r="D93" s="45">
        <v>0</v>
      </c>
      <c r="E93" s="45">
        <v>205767</v>
      </c>
      <c r="F93" s="45">
        <v>0</v>
      </c>
      <c r="G93" s="45">
        <v>0</v>
      </c>
      <c r="H93" s="45">
        <v>0</v>
      </c>
      <c r="I93" s="45">
        <v>0</v>
      </c>
      <c r="J93" s="45">
        <v>0</v>
      </c>
      <c r="K93" s="45">
        <v>0</v>
      </c>
      <c r="L93" s="45">
        <v>0</v>
      </c>
      <c r="M93" s="45">
        <v>0</v>
      </c>
      <c r="N93" s="45">
        <v>0</v>
      </c>
      <c r="O93" s="45">
        <v>0</v>
      </c>
      <c r="P93" s="45">
        <f t="shared" si="22"/>
        <v>205767</v>
      </c>
      <c r="Q93" s="46">
        <f t="shared" si="23"/>
        <v>0.13186396992147773</v>
      </c>
      <c r="R93" s="9"/>
    </row>
    <row r="94" spans="1:18">
      <c r="A94" s="11"/>
      <c r="B94" s="24">
        <v>348.92200000000003</v>
      </c>
      <c r="C94" s="19" t="s">
        <v>225</v>
      </c>
      <c r="D94" s="45">
        <v>0</v>
      </c>
      <c r="E94" s="45">
        <v>205767</v>
      </c>
      <c r="F94" s="45">
        <v>0</v>
      </c>
      <c r="G94" s="45">
        <v>0</v>
      </c>
      <c r="H94" s="45">
        <v>0</v>
      </c>
      <c r="I94" s="45">
        <v>0</v>
      </c>
      <c r="J94" s="45">
        <v>0</v>
      </c>
      <c r="K94" s="45">
        <v>0</v>
      </c>
      <c r="L94" s="45">
        <v>0</v>
      </c>
      <c r="M94" s="45">
        <v>0</v>
      </c>
      <c r="N94" s="45">
        <v>0</v>
      </c>
      <c r="O94" s="45">
        <v>0</v>
      </c>
      <c r="P94" s="45">
        <f t="shared" si="22"/>
        <v>205767</v>
      </c>
      <c r="Q94" s="46">
        <f t="shared" si="23"/>
        <v>0.13186396992147773</v>
      </c>
      <c r="R94" s="9"/>
    </row>
    <row r="95" spans="1:18">
      <c r="A95" s="11"/>
      <c r="B95" s="24">
        <v>348.923</v>
      </c>
      <c r="C95" s="19" t="s">
        <v>226</v>
      </c>
      <c r="D95" s="45">
        <v>0</v>
      </c>
      <c r="E95" s="45">
        <v>205767</v>
      </c>
      <c r="F95" s="45">
        <v>0</v>
      </c>
      <c r="G95" s="45">
        <v>0</v>
      </c>
      <c r="H95" s="45">
        <v>0</v>
      </c>
      <c r="I95" s="45">
        <v>0</v>
      </c>
      <c r="J95" s="45">
        <v>0</v>
      </c>
      <c r="K95" s="45">
        <v>0</v>
      </c>
      <c r="L95" s="45">
        <v>0</v>
      </c>
      <c r="M95" s="45">
        <v>0</v>
      </c>
      <c r="N95" s="45">
        <v>0</v>
      </c>
      <c r="O95" s="45">
        <v>0</v>
      </c>
      <c r="P95" s="45">
        <f t="shared" si="22"/>
        <v>205767</v>
      </c>
      <c r="Q95" s="46">
        <f t="shared" si="23"/>
        <v>0.13186396992147773</v>
      </c>
      <c r="R95" s="9"/>
    </row>
    <row r="96" spans="1:18">
      <c r="A96" s="11"/>
      <c r="B96" s="24">
        <v>348.92399999999998</v>
      </c>
      <c r="C96" s="19" t="s">
        <v>227</v>
      </c>
      <c r="D96" s="45">
        <v>0</v>
      </c>
      <c r="E96" s="45">
        <v>205767</v>
      </c>
      <c r="F96" s="45">
        <v>0</v>
      </c>
      <c r="G96" s="45">
        <v>0</v>
      </c>
      <c r="H96" s="45">
        <v>0</v>
      </c>
      <c r="I96" s="45">
        <v>0</v>
      </c>
      <c r="J96" s="45">
        <v>0</v>
      </c>
      <c r="K96" s="45">
        <v>0</v>
      </c>
      <c r="L96" s="45">
        <v>0</v>
      </c>
      <c r="M96" s="45">
        <v>0</v>
      </c>
      <c r="N96" s="45">
        <v>0</v>
      </c>
      <c r="O96" s="45">
        <v>0</v>
      </c>
      <c r="P96" s="45">
        <f t="shared" si="22"/>
        <v>205767</v>
      </c>
      <c r="Q96" s="46">
        <f t="shared" si="23"/>
        <v>0.13186396992147773</v>
      </c>
      <c r="R96" s="9"/>
    </row>
    <row r="97" spans="1:18">
      <c r="A97" s="11"/>
      <c r="B97" s="24">
        <v>348.93</v>
      </c>
      <c r="C97" s="19" t="s">
        <v>228</v>
      </c>
      <c r="D97" s="45">
        <v>0</v>
      </c>
      <c r="E97" s="45">
        <v>2951874</v>
      </c>
      <c r="F97" s="45">
        <v>0</v>
      </c>
      <c r="G97" s="45">
        <v>0</v>
      </c>
      <c r="H97" s="45">
        <v>0</v>
      </c>
      <c r="I97" s="45">
        <v>0</v>
      </c>
      <c r="J97" s="45">
        <v>0</v>
      </c>
      <c r="K97" s="45">
        <v>0</v>
      </c>
      <c r="L97" s="45">
        <v>0</v>
      </c>
      <c r="M97" s="45">
        <v>0</v>
      </c>
      <c r="N97" s="45">
        <v>0</v>
      </c>
      <c r="O97" s="45">
        <v>0</v>
      </c>
      <c r="P97" s="45">
        <f t="shared" si="22"/>
        <v>2951874</v>
      </c>
      <c r="Q97" s="46">
        <f t="shared" si="23"/>
        <v>1.8916824580617502</v>
      </c>
      <c r="R97" s="9"/>
    </row>
    <row r="98" spans="1:18">
      <c r="A98" s="11"/>
      <c r="B98" s="24">
        <v>348.93200000000002</v>
      </c>
      <c r="C98" s="19" t="s">
        <v>229</v>
      </c>
      <c r="D98" s="45">
        <v>72998</v>
      </c>
      <c r="E98" s="45">
        <v>0</v>
      </c>
      <c r="F98" s="45">
        <v>0</v>
      </c>
      <c r="G98" s="45">
        <v>0</v>
      </c>
      <c r="H98" s="45">
        <v>0</v>
      </c>
      <c r="I98" s="45">
        <v>0</v>
      </c>
      <c r="J98" s="45">
        <v>0</v>
      </c>
      <c r="K98" s="45">
        <v>0</v>
      </c>
      <c r="L98" s="45">
        <v>0</v>
      </c>
      <c r="M98" s="45">
        <v>0</v>
      </c>
      <c r="N98" s="45">
        <v>0</v>
      </c>
      <c r="O98" s="45">
        <v>0</v>
      </c>
      <c r="P98" s="45">
        <f t="shared" si="22"/>
        <v>72998</v>
      </c>
      <c r="Q98" s="46">
        <f t="shared" si="23"/>
        <v>4.6780125463888919E-2</v>
      </c>
      <c r="R98" s="9"/>
    </row>
    <row r="99" spans="1:18">
      <c r="A99" s="11"/>
      <c r="B99" s="24">
        <v>348.99</v>
      </c>
      <c r="C99" s="19" t="s">
        <v>231</v>
      </c>
      <c r="D99" s="45">
        <v>0</v>
      </c>
      <c r="E99" s="45">
        <v>3498295</v>
      </c>
      <c r="F99" s="45">
        <v>0</v>
      </c>
      <c r="G99" s="45">
        <v>0</v>
      </c>
      <c r="H99" s="45">
        <v>0</v>
      </c>
      <c r="I99" s="45">
        <v>0</v>
      </c>
      <c r="J99" s="45">
        <v>0</v>
      </c>
      <c r="K99" s="45">
        <v>0</v>
      </c>
      <c r="L99" s="45">
        <v>0</v>
      </c>
      <c r="M99" s="45">
        <v>0</v>
      </c>
      <c r="N99" s="45">
        <v>0</v>
      </c>
      <c r="O99" s="45">
        <v>0</v>
      </c>
      <c r="P99" s="45">
        <f t="shared" si="22"/>
        <v>3498295</v>
      </c>
      <c r="Q99" s="46">
        <f t="shared" si="23"/>
        <v>2.2418515440107303</v>
      </c>
      <c r="R99" s="9"/>
    </row>
    <row r="100" spans="1:18">
      <c r="A100" s="11"/>
      <c r="B100" s="24">
        <v>349</v>
      </c>
      <c r="C100" s="19" t="s">
        <v>321</v>
      </c>
      <c r="D100" s="45">
        <v>7529</v>
      </c>
      <c r="E100" s="45">
        <v>0</v>
      </c>
      <c r="F100" s="45">
        <v>0</v>
      </c>
      <c r="G100" s="45">
        <v>0</v>
      </c>
      <c r="H100" s="45">
        <v>0</v>
      </c>
      <c r="I100" s="45">
        <v>0</v>
      </c>
      <c r="J100" s="45">
        <v>0</v>
      </c>
      <c r="K100" s="45">
        <v>0</v>
      </c>
      <c r="L100" s="45">
        <v>0</v>
      </c>
      <c r="M100" s="45">
        <v>0</v>
      </c>
      <c r="N100" s="45">
        <v>0</v>
      </c>
      <c r="O100" s="45">
        <v>0</v>
      </c>
      <c r="P100" s="45">
        <f t="shared" si="22"/>
        <v>7529</v>
      </c>
      <c r="Q100" s="46">
        <f t="shared" si="23"/>
        <v>4.8248933480043244E-3</v>
      </c>
      <c r="R100" s="9"/>
    </row>
    <row r="101" spans="1:18" ht="15.75">
      <c r="A101" s="28" t="s">
        <v>76</v>
      </c>
      <c r="B101" s="29"/>
      <c r="C101" s="30"/>
      <c r="D101" s="31">
        <f t="shared" ref="D101:O101" si="24">SUM(D102:D108)</f>
        <v>5060155</v>
      </c>
      <c r="E101" s="31">
        <f t="shared" si="24"/>
        <v>1227372</v>
      </c>
      <c r="F101" s="31">
        <f t="shared" si="24"/>
        <v>0</v>
      </c>
      <c r="G101" s="31">
        <f t="shared" si="24"/>
        <v>0</v>
      </c>
      <c r="H101" s="31">
        <f t="shared" si="24"/>
        <v>0</v>
      </c>
      <c r="I101" s="31">
        <f t="shared" si="24"/>
        <v>131238</v>
      </c>
      <c r="J101" s="31">
        <f t="shared" si="24"/>
        <v>0</v>
      </c>
      <c r="K101" s="31">
        <f t="shared" ref="K101" si="25">SUM(K102:K108)</f>
        <v>0</v>
      </c>
      <c r="L101" s="31">
        <f t="shared" ref="L101" si="26">SUM(L102:L108)</f>
        <v>0</v>
      </c>
      <c r="M101" s="31">
        <f t="shared" si="24"/>
        <v>0</v>
      </c>
      <c r="N101" s="31">
        <f t="shared" ref="N101" si="27">SUM(N102:N108)</f>
        <v>0</v>
      </c>
      <c r="O101" s="31">
        <f t="shared" si="24"/>
        <v>0</v>
      </c>
      <c r="P101" s="31">
        <f>SUM(D101:O101)</f>
        <v>6418765</v>
      </c>
      <c r="Q101" s="44">
        <f t="shared" ref="Q101:Q129" si="28">(P101/Q$131)</f>
        <v>4.1134090252228681</v>
      </c>
      <c r="R101" s="10"/>
    </row>
    <row r="102" spans="1:18">
      <c r="A102" s="12"/>
      <c r="B102" s="38">
        <v>351.1</v>
      </c>
      <c r="C102" s="20" t="s">
        <v>134</v>
      </c>
      <c r="D102" s="45">
        <v>0</v>
      </c>
      <c r="E102" s="45">
        <v>5277</v>
      </c>
      <c r="F102" s="45">
        <v>0</v>
      </c>
      <c r="G102" s="45">
        <v>0</v>
      </c>
      <c r="H102" s="45">
        <v>0</v>
      </c>
      <c r="I102" s="45">
        <v>0</v>
      </c>
      <c r="J102" s="45">
        <v>0</v>
      </c>
      <c r="K102" s="45">
        <v>0</v>
      </c>
      <c r="L102" s="45">
        <v>0</v>
      </c>
      <c r="M102" s="45">
        <v>0</v>
      </c>
      <c r="N102" s="45">
        <v>0</v>
      </c>
      <c r="O102" s="45">
        <v>0</v>
      </c>
      <c r="P102" s="45">
        <f>SUM(D102:O102)</f>
        <v>5277</v>
      </c>
      <c r="Q102" s="46">
        <f t="shared" si="28"/>
        <v>3.3817189796013841E-3</v>
      </c>
      <c r="R102" s="9"/>
    </row>
    <row r="103" spans="1:18">
      <c r="A103" s="12"/>
      <c r="B103" s="38">
        <v>351.5</v>
      </c>
      <c r="C103" s="20" t="s">
        <v>137</v>
      </c>
      <c r="D103" s="45">
        <v>1015267</v>
      </c>
      <c r="E103" s="45">
        <v>0</v>
      </c>
      <c r="F103" s="45">
        <v>0</v>
      </c>
      <c r="G103" s="45">
        <v>0</v>
      </c>
      <c r="H103" s="45">
        <v>0</v>
      </c>
      <c r="I103" s="45">
        <v>0</v>
      </c>
      <c r="J103" s="45">
        <v>0</v>
      </c>
      <c r="K103" s="45">
        <v>0</v>
      </c>
      <c r="L103" s="45">
        <v>0</v>
      </c>
      <c r="M103" s="45">
        <v>0</v>
      </c>
      <c r="N103" s="45">
        <v>0</v>
      </c>
      <c r="O103" s="45">
        <v>0</v>
      </c>
      <c r="P103" s="45">
        <f t="shared" ref="P103:P108" si="29">SUM(D103:O103)</f>
        <v>1015267</v>
      </c>
      <c r="Q103" s="46">
        <f t="shared" si="28"/>
        <v>0.65062491629011909</v>
      </c>
      <c r="R103" s="9"/>
    </row>
    <row r="104" spans="1:18">
      <c r="A104" s="12"/>
      <c r="B104" s="38">
        <v>351.6</v>
      </c>
      <c r="C104" s="20" t="s">
        <v>277</v>
      </c>
      <c r="D104" s="45">
        <v>0</v>
      </c>
      <c r="E104" s="45">
        <v>480</v>
      </c>
      <c r="F104" s="45">
        <v>0</v>
      </c>
      <c r="G104" s="45">
        <v>0</v>
      </c>
      <c r="H104" s="45">
        <v>0</v>
      </c>
      <c r="I104" s="45">
        <v>0</v>
      </c>
      <c r="J104" s="45">
        <v>0</v>
      </c>
      <c r="K104" s="45">
        <v>0</v>
      </c>
      <c r="L104" s="45">
        <v>0</v>
      </c>
      <c r="M104" s="45">
        <v>0</v>
      </c>
      <c r="N104" s="45">
        <v>0</v>
      </c>
      <c r="O104" s="45">
        <v>0</v>
      </c>
      <c r="P104" s="45">
        <f t="shared" si="29"/>
        <v>480</v>
      </c>
      <c r="Q104" s="46">
        <f t="shared" si="28"/>
        <v>3.0760377301661252E-4</v>
      </c>
      <c r="R104" s="9"/>
    </row>
    <row r="105" spans="1:18">
      <c r="A105" s="12"/>
      <c r="B105" s="38">
        <v>351.7</v>
      </c>
      <c r="C105" s="20" t="s">
        <v>232</v>
      </c>
      <c r="D105" s="45">
        <v>0</v>
      </c>
      <c r="E105" s="45">
        <v>451968</v>
      </c>
      <c r="F105" s="45">
        <v>0</v>
      </c>
      <c r="G105" s="45">
        <v>0</v>
      </c>
      <c r="H105" s="45">
        <v>0</v>
      </c>
      <c r="I105" s="45">
        <v>0</v>
      </c>
      <c r="J105" s="45">
        <v>0</v>
      </c>
      <c r="K105" s="45">
        <v>0</v>
      </c>
      <c r="L105" s="45">
        <v>0</v>
      </c>
      <c r="M105" s="45">
        <v>0</v>
      </c>
      <c r="N105" s="45">
        <v>0</v>
      </c>
      <c r="O105" s="45">
        <v>0</v>
      </c>
      <c r="P105" s="45">
        <f t="shared" si="29"/>
        <v>451968</v>
      </c>
      <c r="Q105" s="46">
        <f t="shared" si="28"/>
        <v>0.28963971267244237</v>
      </c>
      <c r="R105" s="9"/>
    </row>
    <row r="106" spans="1:18">
      <c r="A106" s="12"/>
      <c r="B106" s="38">
        <v>351.9</v>
      </c>
      <c r="C106" s="20" t="s">
        <v>322</v>
      </c>
      <c r="D106" s="45">
        <v>1222</v>
      </c>
      <c r="E106" s="45">
        <v>0</v>
      </c>
      <c r="F106" s="45">
        <v>0</v>
      </c>
      <c r="G106" s="45">
        <v>0</v>
      </c>
      <c r="H106" s="45">
        <v>0</v>
      </c>
      <c r="I106" s="45">
        <v>0</v>
      </c>
      <c r="J106" s="45">
        <v>0</v>
      </c>
      <c r="K106" s="45">
        <v>0</v>
      </c>
      <c r="L106" s="45">
        <v>0</v>
      </c>
      <c r="M106" s="45">
        <v>0</v>
      </c>
      <c r="N106" s="45">
        <v>0</v>
      </c>
      <c r="O106" s="45">
        <v>0</v>
      </c>
      <c r="P106" s="45">
        <f t="shared" si="29"/>
        <v>1222</v>
      </c>
      <c r="Q106" s="46">
        <f t="shared" si="28"/>
        <v>7.831079388047927E-4</v>
      </c>
      <c r="R106" s="9"/>
    </row>
    <row r="107" spans="1:18">
      <c r="A107" s="12"/>
      <c r="B107" s="38">
        <v>353</v>
      </c>
      <c r="C107" s="20" t="s">
        <v>139</v>
      </c>
      <c r="D107" s="45">
        <v>0</v>
      </c>
      <c r="E107" s="45">
        <v>670478</v>
      </c>
      <c r="F107" s="45">
        <v>0</v>
      </c>
      <c r="G107" s="45">
        <v>0</v>
      </c>
      <c r="H107" s="45">
        <v>0</v>
      </c>
      <c r="I107" s="45">
        <v>0</v>
      </c>
      <c r="J107" s="45">
        <v>0</v>
      </c>
      <c r="K107" s="45">
        <v>0</v>
      </c>
      <c r="L107" s="45">
        <v>0</v>
      </c>
      <c r="M107" s="45">
        <v>0</v>
      </c>
      <c r="N107" s="45">
        <v>0</v>
      </c>
      <c r="O107" s="45">
        <v>0</v>
      </c>
      <c r="P107" s="45">
        <f t="shared" si="29"/>
        <v>670478</v>
      </c>
      <c r="Q107" s="46">
        <f t="shared" si="28"/>
        <v>0.42966992192631737</v>
      </c>
      <c r="R107" s="9"/>
    </row>
    <row r="108" spans="1:18">
      <c r="A108" s="12"/>
      <c r="B108" s="38">
        <v>354</v>
      </c>
      <c r="C108" s="20" t="s">
        <v>140</v>
      </c>
      <c r="D108" s="45">
        <v>4043666</v>
      </c>
      <c r="E108" s="45">
        <v>99169</v>
      </c>
      <c r="F108" s="45">
        <v>0</v>
      </c>
      <c r="G108" s="45">
        <v>0</v>
      </c>
      <c r="H108" s="45">
        <v>0</v>
      </c>
      <c r="I108" s="45">
        <v>131238</v>
      </c>
      <c r="J108" s="45">
        <v>0</v>
      </c>
      <c r="K108" s="45">
        <v>0</v>
      </c>
      <c r="L108" s="45">
        <v>0</v>
      </c>
      <c r="M108" s="45">
        <v>0</v>
      </c>
      <c r="N108" s="45">
        <v>0</v>
      </c>
      <c r="O108" s="45">
        <v>0</v>
      </c>
      <c r="P108" s="45">
        <f t="shared" si="29"/>
        <v>4274073</v>
      </c>
      <c r="Q108" s="46">
        <f t="shared" si="28"/>
        <v>2.7390020436425671</v>
      </c>
      <c r="R108" s="9"/>
    </row>
    <row r="109" spans="1:18" ht="15.75">
      <c r="A109" s="28" t="s">
        <v>5</v>
      </c>
      <c r="B109" s="29"/>
      <c r="C109" s="30"/>
      <c r="D109" s="31">
        <f t="shared" ref="D109:O109" si="30">SUM(D110:D119)</f>
        <v>77919403</v>
      </c>
      <c r="E109" s="31">
        <f t="shared" si="30"/>
        <v>122839959</v>
      </c>
      <c r="F109" s="31">
        <f t="shared" si="30"/>
        <v>4105963</v>
      </c>
      <c r="G109" s="31">
        <f t="shared" si="30"/>
        <v>5733151</v>
      </c>
      <c r="H109" s="31">
        <f t="shared" si="30"/>
        <v>0</v>
      </c>
      <c r="I109" s="31">
        <f t="shared" si="30"/>
        <v>6140215</v>
      </c>
      <c r="J109" s="31">
        <f t="shared" si="30"/>
        <v>11849957</v>
      </c>
      <c r="K109" s="31">
        <f t="shared" ref="K109" si="31">SUM(K110:K119)</f>
        <v>399624200</v>
      </c>
      <c r="L109" s="31">
        <f t="shared" ref="L109" si="32">SUM(L110:L119)</f>
        <v>0</v>
      </c>
      <c r="M109" s="31">
        <f t="shared" si="30"/>
        <v>0</v>
      </c>
      <c r="N109" s="31">
        <f t="shared" ref="N109" si="33">SUM(N110:N119)</f>
        <v>0</v>
      </c>
      <c r="O109" s="31">
        <f t="shared" si="30"/>
        <v>856172</v>
      </c>
      <c r="P109" s="31">
        <f>SUM(D109:O109)</f>
        <v>629069020</v>
      </c>
      <c r="Q109" s="44">
        <f t="shared" si="28"/>
        <v>403.13334174971436</v>
      </c>
      <c r="R109" s="10"/>
    </row>
    <row r="110" spans="1:18">
      <c r="A110" s="11"/>
      <c r="B110" s="24">
        <v>361.1</v>
      </c>
      <c r="C110" s="19" t="s">
        <v>142</v>
      </c>
      <c r="D110" s="45">
        <v>57566278</v>
      </c>
      <c r="E110" s="45">
        <v>75989760</v>
      </c>
      <c r="F110" s="45">
        <v>2596169</v>
      </c>
      <c r="G110" s="45">
        <v>2632029</v>
      </c>
      <c r="H110" s="45">
        <v>0</v>
      </c>
      <c r="I110" s="45">
        <v>0</v>
      </c>
      <c r="J110" s="45">
        <v>0</v>
      </c>
      <c r="K110" s="45">
        <v>7810</v>
      </c>
      <c r="L110" s="45">
        <v>0</v>
      </c>
      <c r="M110" s="45">
        <v>0</v>
      </c>
      <c r="N110" s="45">
        <v>0</v>
      </c>
      <c r="O110" s="45">
        <v>603942</v>
      </c>
      <c r="P110" s="45">
        <f>SUM(D110:O110)</f>
        <v>139395988</v>
      </c>
      <c r="Q110" s="46">
        <f t="shared" si="28"/>
        <v>89.330691358705096</v>
      </c>
      <c r="R110" s="9"/>
    </row>
    <row r="111" spans="1:18">
      <c r="A111" s="11"/>
      <c r="B111" s="24">
        <v>361.3</v>
      </c>
      <c r="C111" s="19" t="s">
        <v>143</v>
      </c>
      <c r="D111" s="45">
        <v>12613980</v>
      </c>
      <c r="E111" s="45">
        <v>19662350</v>
      </c>
      <c r="F111" s="45">
        <v>755163</v>
      </c>
      <c r="G111" s="45">
        <v>766943</v>
      </c>
      <c r="H111" s="45">
        <v>0</v>
      </c>
      <c r="I111" s="45">
        <v>0</v>
      </c>
      <c r="J111" s="45">
        <v>5035223</v>
      </c>
      <c r="K111" s="45">
        <v>2818</v>
      </c>
      <c r="L111" s="45">
        <v>0</v>
      </c>
      <c r="M111" s="45">
        <v>0</v>
      </c>
      <c r="N111" s="45">
        <v>0</v>
      </c>
      <c r="O111" s="45">
        <v>0</v>
      </c>
      <c r="P111" s="45">
        <f t="shared" ref="P111:P119" si="34">SUM(D111:O111)</f>
        <v>38836477</v>
      </c>
      <c r="Q111" s="46">
        <f t="shared" si="28"/>
        <v>24.888014283068529</v>
      </c>
      <c r="R111" s="9"/>
    </row>
    <row r="112" spans="1:18">
      <c r="A112" s="11"/>
      <c r="B112" s="24">
        <v>361.4</v>
      </c>
      <c r="C112" s="19" t="s">
        <v>261</v>
      </c>
      <c r="D112" s="45">
        <v>0</v>
      </c>
      <c r="E112" s="45">
        <v>0</v>
      </c>
      <c r="F112" s="45">
        <v>0</v>
      </c>
      <c r="G112" s="45">
        <v>0</v>
      </c>
      <c r="H112" s="45">
        <v>0</v>
      </c>
      <c r="I112" s="45">
        <v>0</v>
      </c>
      <c r="J112" s="45">
        <v>0</v>
      </c>
      <c r="K112" s="45">
        <v>0</v>
      </c>
      <c r="L112" s="45">
        <v>0</v>
      </c>
      <c r="M112" s="45">
        <v>0</v>
      </c>
      <c r="N112" s="45">
        <v>0</v>
      </c>
      <c r="O112" s="45">
        <v>186568</v>
      </c>
      <c r="P112" s="45">
        <f t="shared" si="34"/>
        <v>186568</v>
      </c>
      <c r="Q112" s="46">
        <f t="shared" si="28"/>
        <v>0.11956045984200701</v>
      </c>
      <c r="R112" s="9"/>
    </row>
    <row r="113" spans="1:18">
      <c r="A113" s="11"/>
      <c r="B113" s="24">
        <v>362</v>
      </c>
      <c r="C113" s="19" t="s">
        <v>145</v>
      </c>
      <c r="D113" s="45">
        <v>2323576</v>
      </c>
      <c r="E113" s="45">
        <v>9924</v>
      </c>
      <c r="F113" s="45">
        <v>754631</v>
      </c>
      <c r="G113" s="45">
        <v>182951</v>
      </c>
      <c r="H113" s="45">
        <v>0</v>
      </c>
      <c r="I113" s="45">
        <v>4100</v>
      </c>
      <c r="J113" s="45">
        <v>0</v>
      </c>
      <c r="K113" s="45">
        <v>0</v>
      </c>
      <c r="L113" s="45">
        <v>0</v>
      </c>
      <c r="M113" s="45">
        <v>0</v>
      </c>
      <c r="N113" s="45">
        <v>0</v>
      </c>
      <c r="O113" s="45">
        <v>0</v>
      </c>
      <c r="P113" s="45">
        <f t="shared" si="34"/>
        <v>3275182</v>
      </c>
      <c r="Q113" s="46">
        <f t="shared" si="28"/>
        <v>2.0988715427418647</v>
      </c>
      <c r="R113" s="9"/>
    </row>
    <row r="114" spans="1:18">
      <c r="A114" s="11"/>
      <c r="B114" s="24">
        <v>364</v>
      </c>
      <c r="C114" s="19" t="s">
        <v>237</v>
      </c>
      <c r="D114" s="45">
        <v>12356</v>
      </c>
      <c r="E114" s="45">
        <v>17000</v>
      </c>
      <c r="F114" s="45">
        <v>0</v>
      </c>
      <c r="G114" s="45">
        <v>1557600</v>
      </c>
      <c r="H114" s="45">
        <v>0</v>
      </c>
      <c r="I114" s="45">
        <v>1884024</v>
      </c>
      <c r="J114" s="45">
        <v>1658399</v>
      </c>
      <c r="K114" s="45">
        <v>0</v>
      </c>
      <c r="L114" s="45">
        <v>0</v>
      </c>
      <c r="M114" s="45">
        <v>0</v>
      </c>
      <c r="N114" s="45">
        <v>0</v>
      </c>
      <c r="O114" s="45">
        <v>0</v>
      </c>
      <c r="P114" s="45">
        <f t="shared" si="34"/>
        <v>5129379</v>
      </c>
      <c r="Q114" s="46">
        <f t="shared" si="28"/>
        <v>3.2871173617337059</v>
      </c>
      <c r="R114" s="9"/>
    </row>
    <row r="115" spans="1:18">
      <c r="A115" s="11"/>
      <c r="B115" s="24">
        <v>365</v>
      </c>
      <c r="C115" s="19" t="s">
        <v>238</v>
      </c>
      <c r="D115" s="45">
        <v>58523</v>
      </c>
      <c r="E115" s="45">
        <v>23923</v>
      </c>
      <c r="F115" s="45">
        <v>0</v>
      </c>
      <c r="G115" s="45">
        <v>0</v>
      </c>
      <c r="H115" s="45">
        <v>0</v>
      </c>
      <c r="I115" s="45">
        <v>185757</v>
      </c>
      <c r="J115" s="45">
        <v>20270</v>
      </c>
      <c r="K115" s="45">
        <v>0</v>
      </c>
      <c r="L115" s="45">
        <v>0</v>
      </c>
      <c r="M115" s="45">
        <v>0</v>
      </c>
      <c r="N115" s="45">
        <v>0</v>
      </c>
      <c r="O115" s="45">
        <v>0</v>
      </c>
      <c r="P115" s="45">
        <f t="shared" si="34"/>
        <v>288473</v>
      </c>
      <c r="Q115" s="46">
        <f t="shared" si="28"/>
        <v>0.18486538169462763</v>
      </c>
      <c r="R115" s="9"/>
    </row>
    <row r="116" spans="1:18">
      <c r="A116" s="11"/>
      <c r="B116" s="24">
        <v>366</v>
      </c>
      <c r="C116" s="19" t="s">
        <v>148</v>
      </c>
      <c r="D116" s="45">
        <v>134663</v>
      </c>
      <c r="E116" s="45">
        <v>802744</v>
      </c>
      <c r="F116" s="45">
        <v>0</v>
      </c>
      <c r="G116" s="45">
        <v>76650</v>
      </c>
      <c r="H116" s="45">
        <v>0</v>
      </c>
      <c r="I116" s="45">
        <v>0</v>
      </c>
      <c r="J116" s="45">
        <v>0</v>
      </c>
      <c r="K116" s="45">
        <v>0</v>
      </c>
      <c r="L116" s="45">
        <v>0</v>
      </c>
      <c r="M116" s="45">
        <v>0</v>
      </c>
      <c r="N116" s="45">
        <v>0</v>
      </c>
      <c r="O116" s="45">
        <v>65166</v>
      </c>
      <c r="P116" s="45">
        <f t="shared" si="34"/>
        <v>1079223</v>
      </c>
      <c r="Q116" s="46">
        <f t="shared" si="28"/>
        <v>0.69161055567980756</v>
      </c>
      <c r="R116" s="9"/>
    </row>
    <row r="117" spans="1:18">
      <c r="A117" s="11"/>
      <c r="B117" s="24">
        <v>367</v>
      </c>
      <c r="C117" s="19" t="s">
        <v>149</v>
      </c>
      <c r="D117" s="45">
        <v>2709383</v>
      </c>
      <c r="E117" s="45">
        <v>200960</v>
      </c>
      <c r="F117" s="45">
        <v>0</v>
      </c>
      <c r="G117" s="45">
        <v>0</v>
      </c>
      <c r="H117" s="45">
        <v>0</v>
      </c>
      <c r="I117" s="45">
        <v>0</v>
      </c>
      <c r="J117" s="45">
        <v>0</v>
      </c>
      <c r="K117" s="45">
        <v>0</v>
      </c>
      <c r="L117" s="45">
        <v>0</v>
      </c>
      <c r="M117" s="45">
        <v>0</v>
      </c>
      <c r="N117" s="45">
        <v>0</v>
      </c>
      <c r="O117" s="45">
        <v>0</v>
      </c>
      <c r="P117" s="45">
        <f t="shared" si="34"/>
        <v>2910343</v>
      </c>
      <c r="Q117" s="46">
        <f t="shared" si="28"/>
        <v>1.8650676824426815</v>
      </c>
      <c r="R117" s="9"/>
    </row>
    <row r="118" spans="1:18">
      <c r="A118" s="11"/>
      <c r="B118" s="24">
        <v>369.3</v>
      </c>
      <c r="C118" s="19" t="s">
        <v>150</v>
      </c>
      <c r="D118" s="45">
        <v>1045318</v>
      </c>
      <c r="E118" s="45">
        <v>12146714</v>
      </c>
      <c r="F118" s="45">
        <v>0</v>
      </c>
      <c r="G118" s="45">
        <v>0</v>
      </c>
      <c r="H118" s="45">
        <v>0</v>
      </c>
      <c r="I118" s="45">
        <v>6977</v>
      </c>
      <c r="J118" s="45">
        <v>5135083</v>
      </c>
      <c r="K118" s="45">
        <v>0</v>
      </c>
      <c r="L118" s="45">
        <v>0</v>
      </c>
      <c r="M118" s="45">
        <v>0</v>
      </c>
      <c r="N118" s="45">
        <v>0</v>
      </c>
      <c r="O118" s="45">
        <v>0</v>
      </c>
      <c r="P118" s="45">
        <f t="shared" si="34"/>
        <v>18334092</v>
      </c>
      <c r="Q118" s="46">
        <f t="shared" si="28"/>
        <v>11.749241404236857</v>
      </c>
      <c r="R118" s="9"/>
    </row>
    <row r="119" spans="1:18">
      <c r="A119" s="11"/>
      <c r="B119" s="24">
        <v>369.9</v>
      </c>
      <c r="C119" s="19" t="s">
        <v>151</v>
      </c>
      <c r="D119" s="45">
        <v>1455326</v>
      </c>
      <c r="E119" s="45">
        <v>13986584</v>
      </c>
      <c r="F119" s="45">
        <v>0</v>
      </c>
      <c r="G119" s="45">
        <v>516978</v>
      </c>
      <c r="H119" s="45">
        <v>0</v>
      </c>
      <c r="I119" s="45">
        <v>4059357</v>
      </c>
      <c r="J119" s="45">
        <v>982</v>
      </c>
      <c r="K119" s="45">
        <v>399613572</v>
      </c>
      <c r="L119" s="45">
        <v>0</v>
      </c>
      <c r="M119" s="45">
        <v>0</v>
      </c>
      <c r="N119" s="45">
        <v>0</v>
      </c>
      <c r="O119" s="45">
        <v>496</v>
      </c>
      <c r="P119" s="45">
        <f t="shared" si="34"/>
        <v>419633295</v>
      </c>
      <c r="Q119" s="46">
        <f t="shared" si="28"/>
        <v>268.91830171956917</v>
      </c>
      <c r="R119" s="9"/>
    </row>
    <row r="120" spans="1:18" ht="15.75">
      <c r="A120" s="28" t="s">
        <v>77</v>
      </c>
      <c r="B120" s="29"/>
      <c r="C120" s="30"/>
      <c r="D120" s="31">
        <f t="shared" ref="D120:O120" si="35">SUM(D121:D128)</f>
        <v>206604740</v>
      </c>
      <c r="E120" s="31">
        <f t="shared" si="35"/>
        <v>394680737</v>
      </c>
      <c r="F120" s="31">
        <f t="shared" si="35"/>
        <v>100056458</v>
      </c>
      <c r="G120" s="31">
        <f t="shared" si="35"/>
        <v>58443025</v>
      </c>
      <c r="H120" s="31">
        <f t="shared" si="35"/>
        <v>0</v>
      </c>
      <c r="I120" s="31">
        <f t="shared" si="35"/>
        <v>116481307</v>
      </c>
      <c r="J120" s="31">
        <f t="shared" si="35"/>
        <v>75298214</v>
      </c>
      <c r="K120" s="31">
        <f t="shared" ref="K120" si="36">SUM(K121:K128)</f>
        <v>0</v>
      </c>
      <c r="L120" s="31">
        <f t="shared" ref="L120" si="37">SUM(L121:L128)</f>
        <v>0</v>
      </c>
      <c r="M120" s="31">
        <f t="shared" si="35"/>
        <v>0</v>
      </c>
      <c r="N120" s="31">
        <f t="shared" ref="N120" si="38">SUM(N121:N128)</f>
        <v>0</v>
      </c>
      <c r="O120" s="31">
        <f t="shared" si="35"/>
        <v>0</v>
      </c>
      <c r="P120" s="31">
        <f>SUM(D120:O120)</f>
        <v>951564481</v>
      </c>
      <c r="Q120" s="44">
        <f t="shared" si="28"/>
        <v>609.80171796707225</v>
      </c>
      <c r="R120" s="9"/>
    </row>
    <row r="121" spans="1:18">
      <c r="A121" s="11"/>
      <c r="B121" s="24">
        <v>381</v>
      </c>
      <c r="C121" s="19" t="s">
        <v>152</v>
      </c>
      <c r="D121" s="45">
        <v>186897223</v>
      </c>
      <c r="E121" s="45">
        <v>394680737</v>
      </c>
      <c r="F121" s="45">
        <v>100056458</v>
      </c>
      <c r="G121" s="45">
        <v>49343025</v>
      </c>
      <c r="H121" s="45">
        <v>0</v>
      </c>
      <c r="I121" s="45">
        <v>0</v>
      </c>
      <c r="J121" s="45">
        <v>44035031</v>
      </c>
      <c r="K121" s="45">
        <v>0</v>
      </c>
      <c r="L121" s="45">
        <v>0</v>
      </c>
      <c r="M121" s="45">
        <v>0</v>
      </c>
      <c r="N121" s="45">
        <v>0</v>
      </c>
      <c r="O121" s="45">
        <v>0</v>
      </c>
      <c r="P121" s="45">
        <f>SUM(D121:O121)</f>
        <v>775012474</v>
      </c>
      <c r="Q121" s="46">
        <f t="shared" si="28"/>
        <v>496.6599190361236</v>
      </c>
      <c r="R121" s="9"/>
    </row>
    <row r="122" spans="1:18">
      <c r="A122" s="11"/>
      <c r="B122" s="24">
        <v>383.2</v>
      </c>
      <c r="C122" s="19" t="s">
        <v>334</v>
      </c>
      <c r="D122" s="45">
        <v>147727</v>
      </c>
      <c r="E122" s="45">
        <v>0</v>
      </c>
      <c r="F122" s="45">
        <v>0</v>
      </c>
      <c r="G122" s="45">
        <v>0</v>
      </c>
      <c r="H122" s="45">
        <v>0</v>
      </c>
      <c r="I122" s="45">
        <v>0</v>
      </c>
      <c r="J122" s="45">
        <v>0</v>
      </c>
      <c r="K122" s="45">
        <v>0</v>
      </c>
      <c r="L122" s="45">
        <v>0</v>
      </c>
      <c r="M122" s="45">
        <v>0</v>
      </c>
      <c r="N122" s="45">
        <v>0</v>
      </c>
      <c r="O122" s="45">
        <v>0</v>
      </c>
      <c r="P122" s="45">
        <f>SUM(D122:O122)</f>
        <v>147727</v>
      </c>
      <c r="Q122" s="46">
        <f t="shared" si="28"/>
        <v>9.4669547034218995E-2</v>
      </c>
      <c r="R122" s="9"/>
    </row>
    <row r="123" spans="1:18">
      <c r="A123" s="11"/>
      <c r="B123" s="24">
        <v>384</v>
      </c>
      <c r="C123" s="19" t="s">
        <v>153</v>
      </c>
      <c r="D123" s="45">
        <v>0</v>
      </c>
      <c r="E123" s="45">
        <v>0</v>
      </c>
      <c r="F123" s="45">
        <v>0</v>
      </c>
      <c r="G123" s="45">
        <v>9100000</v>
      </c>
      <c r="H123" s="45">
        <v>0</v>
      </c>
      <c r="I123" s="45">
        <v>0</v>
      </c>
      <c r="J123" s="45">
        <v>0</v>
      </c>
      <c r="K123" s="45">
        <v>0</v>
      </c>
      <c r="L123" s="45">
        <v>0</v>
      </c>
      <c r="M123" s="45">
        <v>0</v>
      </c>
      <c r="N123" s="45">
        <v>0</v>
      </c>
      <c r="O123" s="45">
        <v>0</v>
      </c>
      <c r="P123" s="45">
        <f t="shared" ref="P123:P128" si="39">SUM(D123:O123)</f>
        <v>9100000</v>
      </c>
      <c r="Q123" s="46">
        <f t="shared" si="28"/>
        <v>5.8316548634399457</v>
      </c>
      <c r="R123" s="9"/>
    </row>
    <row r="124" spans="1:18">
      <c r="A124" s="11"/>
      <c r="B124" s="24">
        <v>386.1</v>
      </c>
      <c r="C124" s="19" t="s">
        <v>330</v>
      </c>
      <c r="D124" s="45">
        <v>1099258</v>
      </c>
      <c r="E124" s="45">
        <v>0</v>
      </c>
      <c r="F124" s="45">
        <v>0</v>
      </c>
      <c r="G124" s="45">
        <v>0</v>
      </c>
      <c r="H124" s="45">
        <v>0</v>
      </c>
      <c r="I124" s="45">
        <v>0</v>
      </c>
      <c r="J124" s="45">
        <v>0</v>
      </c>
      <c r="K124" s="45">
        <v>0</v>
      </c>
      <c r="L124" s="45">
        <v>0</v>
      </c>
      <c r="M124" s="45">
        <v>0</v>
      </c>
      <c r="N124" s="45">
        <v>0</v>
      </c>
      <c r="O124" s="45">
        <v>0</v>
      </c>
      <c r="P124" s="45">
        <f t="shared" si="39"/>
        <v>1099258</v>
      </c>
      <c r="Q124" s="46">
        <f t="shared" si="28"/>
        <v>0.70444980899728216</v>
      </c>
      <c r="R124" s="9"/>
    </row>
    <row r="125" spans="1:18">
      <c r="A125" s="11"/>
      <c r="B125" s="24">
        <v>386.8</v>
      </c>
      <c r="C125" s="19" t="s">
        <v>331</v>
      </c>
      <c r="D125" s="45">
        <v>18460532</v>
      </c>
      <c r="E125" s="45">
        <v>0</v>
      </c>
      <c r="F125" s="45">
        <v>0</v>
      </c>
      <c r="G125" s="45">
        <v>0</v>
      </c>
      <c r="H125" s="45">
        <v>0</v>
      </c>
      <c r="I125" s="45">
        <v>0</v>
      </c>
      <c r="J125" s="45">
        <v>0</v>
      </c>
      <c r="K125" s="45">
        <v>0</v>
      </c>
      <c r="L125" s="45">
        <v>0</v>
      </c>
      <c r="M125" s="45">
        <v>0</v>
      </c>
      <c r="N125" s="45">
        <v>0</v>
      </c>
      <c r="O125" s="45">
        <v>0</v>
      </c>
      <c r="P125" s="45">
        <f t="shared" si="39"/>
        <v>18460532</v>
      </c>
      <c r="Q125" s="46">
        <f t="shared" si="28"/>
        <v>11.830269364778983</v>
      </c>
      <c r="R125" s="9"/>
    </row>
    <row r="126" spans="1:18">
      <c r="A126" s="11"/>
      <c r="B126" s="24">
        <v>389.1</v>
      </c>
      <c r="C126" s="19" t="s">
        <v>154</v>
      </c>
      <c r="D126" s="45">
        <v>0</v>
      </c>
      <c r="E126" s="45">
        <v>0</v>
      </c>
      <c r="F126" s="45">
        <v>0</v>
      </c>
      <c r="G126" s="45">
        <v>0</v>
      </c>
      <c r="H126" s="45">
        <v>0</v>
      </c>
      <c r="I126" s="45">
        <v>69151169</v>
      </c>
      <c r="J126" s="45">
        <v>19132693</v>
      </c>
      <c r="K126" s="45">
        <v>0</v>
      </c>
      <c r="L126" s="45">
        <v>0</v>
      </c>
      <c r="M126" s="45">
        <v>0</v>
      </c>
      <c r="N126" s="45">
        <v>0</v>
      </c>
      <c r="O126" s="45">
        <v>0</v>
      </c>
      <c r="P126" s="45">
        <f t="shared" si="39"/>
        <v>88283862</v>
      </c>
      <c r="Q126" s="46">
        <f t="shared" si="28"/>
        <v>56.575935515995717</v>
      </c>
      <c r="R126" s="9"/>
    </row>
    <row r="127" spans="1:18">
      <c r="A127" s="11"/>
      <c r="B127" s="24">
        <v>389.4</v>
      </c>
      <c r="C127" s="19" t="s">
        <v>156</v>
      </c>
      <c r="D127" s="45">
        <v>0</v>
      </c>
      <c r="E127" s="45">
        <v>0</v>
      </c>
      <c r="F127" s="45">
        <v>0</v>
      </c>
      <c r="G127" s="45">
        <v>0</v>
      </c>
      <c r="H127" s="45">
        <v>0</v>
      </c>
      <c r="I127" s="45">
        <v>47330138</v>
      </c>
      <c r="J127" s="45">
        <v>0</v>
      </c>
      <c r="K127" s="45">
        <v>0</v>
      </c>
      <c r="L127" s="45">
        <v>0</v>
      </c>
      <c r="M127" s="45">
        <v>0</v>
      </c>
      <c r="N127" s="45">
        <v>0</v>
      </c>
      <c r="O127" s="45">
        <v>0</v>
      </c>
      <c r="P127" s="45">
        <f t="shared" si="39"/>
        <v>47330138</v>
      </c>
      <c r="Q127" s="46">
        <f t="shared" si="28"/>
        <v>30.331102137910307</v>
      </c>
      <c r="R127" s="9"/>
    </row>
    <row r="128" spans="1:18" ht="15.75" thickBot="1">
      <c r="A128" s="11"/>
      <c r="B128" s="24">
        <v>389.9</v>
      </c>
      <c r="C128" s="19" t="s">
        <v>157</v>
      </c>
      <c r="D128" s="45">
        <v>0</v>
      </c>
      <c r="E128" s="45">
        <v>0</v>
      </c>
      <c r="F128" s="45">
        <v>0</v>
      </c>
      <c r="G128" s="45">
        <v>0</v>
      </c>
      <c r="H128" s="45">
        <v>0</v>
      </c>
      <c r="I128" s="45">
        <v>0</v>
      </c>
      <c r="J128" s="45">
        <v>12130490</v>
      </c>
      <c r="K128" s="45">
        <v>0</v>
      </c>
      <c r="L128" s="45">
        <v>0</v>
      </c>
      <c r="M128" s="45">
        <v>0</v>
      </c>
      <c r="N128" s="45">
        <v>0</v>
      </c>
      <c r="O128" s="45">
        <v>0</v>
      </c>
      <c r="P128" s="45">
        <f t="shared" si="39"/>
        <v>12130490</v>
      </c>
      <c r="Q128" s="46">
        <f t="shared" si="28"/>
        <v>7.7737176927922667</v>
      </c>
      <c r="R128" s="9"/>
    </row>
    <row r="129" spans="1:121" ht="16.5" thickBot="1">
      <c r="A129" s="13" t="s">
        <v>114</v>
      </c>
      <c r="B129" s="22"/>
      <c r="C129" s="21"/>
      <c r="D129" s="14">
        <f t="shared" ref="D129:O129" si="40">SUM(D5,D14,D25,D65,D101,D109,D120)</f>
        <v>1747096014</v>
      </c>
      <c r="E129" s="14">
        <f t="shared" si="40"/>
        <v>1674759336</v>
      </c>
      <c r="F129" s="14">
        <f t="shared" si="40"/>
        <v>116214373</v>
      </c>
      <c r="G129" s="14">
        <f t="shared" si="40"/>
        <v>64176176</v>
      </c>
      <c r="H129" s="14">
        <f t="shared" si="40"/>
        <v>0</v>
      </c>
      <c r="I129" s="14">
        <f t="shared" si="40"/>
        <v>726252431</v>
      </c>
      <c r="J129" s="14">
        <f t="shared" si="40"/>
        <v>348199053</v>
      </c>
      <c r="K129" s="14">
        <f t="shared" ref="K129" si="41">SUM(K5,K14,K25,K65,K101,K109,K120)</f>
        <v>2619613346</v>
      </c>
      <c r="L129" s="14">
        <f t="shared" ref="L129" si="42">SUM(L5,L14,L25,L65,L101,L109,L120)</f>
        <v>0</v>
      </c>
      <c r="M129" s="14">
        <f t="shared" si="40"/>
        <v>0</v>
      </c>
      <c r="N129" s="14">
        <f t="shared" ref="N129" si="43">SUM(N5,N14,N25,N65,N101,N109,N120)</f>
        <v>0</v>
      </c>
      <c r="O129" s="14">
        <f t="shared" si="40"/>
        <v>11277085</v>
      </c>
      <c r="P129" s="14">
        <f>SUM(D129:O129)</f>
        <v>7307587814</v>
      </c>
      <c r="Q129" s="37">
        <f t="shared" si="28"/>
        <v>4683.0032984096242</v>
      </c>
      <c r="R129" s="6"/>
      <c r="S129" s="2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</row>
    <row r="130" spans="1:121">
      <c r="A130" s="15"/>
      <c r="B130" s="17"/>
      <c r="C130" s="17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8"/>
    </row>
    <row r="131" spans="1:121">
      <c r="A131" s="39"/>
      <c r="B131" s="40"/>
      <c r="C131" s="40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8" t="s">
        <v>335</v>
      </c>
      <c r="O131" s="48"/>
      <c r="P131" s="48"/>
      <c r="Q131" s="42">
        <v>1560449</v>
      </c>
    </row>
    <row r="132" spans="1:121">
      <c r="A132" s="49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1"/>
    </row>
    <row r="133" spans="1:121" ht="15.75" customHeight="1" thickBot="1">
      <c r="A133" s="52" t="s">
        <v>178</v>
      </c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4"/>
    </row>
  </sheetData>
  <mergeCells count="10">
    <mergeCell ref="N131:P131"/>
    <mergeCell ref="A132:Q132"/>
    <mergeCell ref="A133:Q133"/>
    <mergeCell ref="A1:Q1"/>
    <mergeCell ref="A2:Q2"/>
    <mergeCell ref="A3:C4"/>
    <mergeCell ref="D3:H3"/>
    <mergeCell ref="I3:J3"/>
    <mergeCell ref="K3:N3"/>
    <mergeCell ref="Q3:Q4"/>
  </mergeCells>
  <printOptions horizontalCentered="1"/>
  <pageMargins left="0.5" right="0.5" top="0.5" bottom="0.5" header="0.3" footer="0.3"/>
  <pageSetup paperSize="5" scale="49" fitToHeight="0" orientation="landscape" horizontalDpi="300" verticalDpi="300" r:id="rId1"/>
  <headerFooter>
    <oddFooter>&amp;L&amp;14Office of Economic and Demographic Research&amp;R&amp;14Page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V136"/>
  <sheetViews>
    <sheetView workbookViewId="0">
      <selection sqref="A1:Q1"/>
    </sheetView>
  </sheetViews>
  <sheetFormatPr defaultColWidth="9.77734375" defaultRowHeight="15"/>
  <cols>
    <col min="1" max="1" width="1.77734375" style="3" customWidth="1"/>
    <col min="2" max="2" width="6.77734375" style="3" customWidth="1"/>
    <col min="3" max="3" width="65.77734375" style="3" bestFit="1" customWidth="1"/>
    <col min="4" max="11" width="14.77734375" style="4" customWidth="1"/>
    <col min="12" max="15" width="13.77734375" style="4" customWidth="1"/>
    <col min="16" max="16" width="16.77734375" style="4" customWidth="1"/>
    <col min="17" max="17" width="13.77734375" style="3" customWidth="1"/>
    <col min="18" max="18" width="14.5546875" bestFit="1" customWidth="1"/>
  </cols>
  <sheetData>
    <row r="1" spans="1:126" ht="27.75">
      <c r="A1" s="55" t="s">
        <v>165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7"/>
    </row>
    <row r="2" spans="1:126" ht="24" thickBot="1">
      <c r="A2" s="58" t="s">
        <v>328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60"/>
    </row>
    <row r="3" spans="1:126" ht="18" customHeight="1">
      <c r="A3" s="61" t="s">
        <v>158</v>
      </c>
      <c r="B3" s="62"/>
      <c r="C3" s="63"/>
      <c r="D3" s="67" t="s">
        <v>71</v>
      </c>
      <c r="E3" s="68"/>
      <c r="F3" s="68"/>
      <c r="G3" s="68"/>
      <c r="H3" s="69"/>
      <c r="I3" s="67" t="s">
        <v>72</v>
      </c>
      <c r="J3" s="69"/>
      <c r="K3" s="67" t="s">
        <v>74</v>
      </c>
      <c r="L3" s="68"/>
      <c r="M3" s="68"/>
      <c r="N3" s="69"/>
      <c r="O3" s="35"/>
      <c r="P3" s="36"/>
      <c r="Q3" s="70" t="s">
        <v>298</v>
      </c>
    </row>
    <row r="4" spans="1:126" ht="32.25" customHeight="1" thickBot="1">
      <c r="A4" s="64"/>
      <c r="B4" s="65"/>
      <c r="C4" s="66"/>
      <c r="D4" s="33" t="s">
        <v>6</v>
      </c>
      <c r="E4" s="33" t="s">
        <v>159</v>
      </c>
      <c r="F4" s="33" t="s">
        <v>160</v>
      </c>
      <c r="G4" s="33" t="s">
        <v>161</v>
      </c>
      <c r="H4" s="33" t="s">
        <v>7</v>
      </c>
      <c r="I4" s="33" t="s">
        <v>8</v>
      </c>
      <c r="J4" s="34" t="s">
        <v>162</v>
      </c>
      <c r="K4" s="34" t="s">
        <v>299</v>
      </c>
      <c r="L4" s="34" t="s">
        <v>9</v>
      </c>
      <c r="M4" s="34" t="s">
        <v>10</v>
      </c>
      <c r="N4" s="34" t="s">
        <v>336</v>
      </c>
      <c r="O4" s="34" t="s">
        <v>11</v>
      </c>
      <c r="P4" s="34" t="s">
        <v>300</v>
      </c>
      <c r="Q4" s="7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</row>
    <row r="5" spans="1:126" ht="15.75">
      <c r="A5" s="23" t="s">
        <v>301</v>
      </c>
      <c r="B5" s="25"/>
      <c r="C5" s="25"/>
      <c r="D5" s="26">
        <f t="shared" ref="D5:O5" si="0">SUM(D6:D13)</f>
        <v>1139071399</v>
      </c>
      <c r="E5" s="26">
        <f t="shared" si="0"/>
        <v>643776882</v>
      </c>
      <c r="F5" s="26">
        <f t="shared" si="0"/>
        <v>10265987</v>
      </c>
      <c r="G5" s="26">
        <f t="shared" si="0"/>
        <v>0</v>
      </c>
      <c r="H5" s="26">
        <f t="shared" si="0"/>
        <v>0</v>
      </c>
      <c r="I5" s="26">
        <f t="shared" si="0"/>
        <v>0</v>
      </c>
      <c r="J5" s="26">
        <f t="shared" si="0"/>
        <v>0</v>
      </c>
      <c r="K5" s="26">
        <f t="shared" ref="K5" si="1">SUM(K6:K13)</f>
        <v>6284716021</v>
      </c>
      <c r="L5" s="26">
        <f t="shared" ref="L5" si="2">SUM(L6:L13)</f>
        <v>0</v>
      </c>
      <c r="M5" s="26">
        <f t="shared" si="0"/>
        <v>0</v>
      </c>
      <c r="N5" s="26">
        <f t="shared" ref="N5" si="3">SUM(N6:N13)</f>
        <v>0</v>
      </c>
      <c r="O5" s="26">
        <f t="shared" si="0"/>
        <v>0</v>
      </c>
      <c r="P5" s="27">
        <f>SUM(D5:O5)</f>
        <v>8077830289</v>
      </c>
      <c r="Q5" s="32">
        <f t="shared" ref="Q5:Q36" si="4">(P5/Q$134)</f>
        <v>5240.1348328382628</v>
      </c>
    </row>
    <row r="6" spans="1:126">
      <c r="A6" s="11"/>
      <c r="B6" s="24">
        <v>311</v>
      </c>
      <c r="C6" s="19" t="s">
        <v>3</v>
      </c>
      <c r="D6" s="45">
        <v>1137263017</v>
      </c>
      <c r="E6" s="45">
        <v>72252401</v>
      </c>
      <c r="F6" s="45">
        <v>10265987</v>
      </c>
      <c r="G6" s="45">
        <v>0</v>
      </c>
      <c r="H6" s="45">
        <v>0</v>
      </c>
      <c r="I6" s="45">
        <v>0</v>
      </c>
      <c r="J6" s="45">
        <v>0</v>
      </c>
      <c r="K6" s="45">
        <v>6284716021</v>
      </c>
      <c r="L6" s="45">
        <v>0</v>
      </c>
      <c r="M6" s="45">
        <v>0</v>
      </c>
      <c r="N6" s="45">
        <v>0</v>
      </c>
      <c r="O6" s="45">
        <v>0</v>
      </c>
      <c r="P6" s="45">
        <f>SUM(D6:O6)</f>
        <v>7504497426</v>
      </c>
      <c r="Q6" s="46">
        <f t="shared" si="4"/>
        <v>4868.2105166876308</v>
      </c>
      <c r="R6" s="47"/>
    </row>
    <row r="7" spans="1:126">
      <c r="A7" s="11"/>
      <c r="B7" s="24">
        <v>312.13</v>
      </c>
      <c r="C7" s="19" t="s">
        <v>302</v>
      </c>
      <c r="D7" s="45">
        <v>0</v>
      </c>
      <c r="E7" s="45">
        <v>66375618</v>
      </c>
      <c r="F7" s="45">
        <v>0</v>
      </c>
      <c r="G7" s="45">
        <v>0</v>
      </c>
      <c r="H7" s="45">
        <v>0</v>
      </c>
      <c r="I7" s="45">
        <v>0</v>
      </c>
      <c r="J7" s="45">
        <v>0</v>
      </c>
      <c r="K7" s="45">
        <v>0</v>
      </c>
      <c r="L7" s="45">
        <v>0</v>
      </c>
      <c r="M7" s="45">
        <v>0</v>
      </c>
      <c r="N7" s="45">
        <v>0</v>
      </c>
      <c r="O7" s="45">
        <v>0</v>
      </c>
      <c r="P7" s="45">
        <f t="shared" ref="P7:P13" si="5">SUM(D7:O7)</f>
        <v>66375618</v>
      </c>
      <c r="Q7" s="46">
        <f t="shared" si="4"/>
        <v>43.058244044394826</v>
      </c>
    </row>
    <row r="8" spans="1:126">
      <c r="A8" s="11"/>
      <c r="B8" s="24">
        <v>312.3</v>
      </c>
      <c r="C8" s="19" t="s">
        <v>13</v>
      </c>
      <c r="D8" s="45">
        <v>0</v>
      </c>
      <c r="E8" s="45">
        <v>7568496</v>
      </c>
      <c r="F8" s="45">
        <v>0</v>
      </c>
      <c r="G8" s="45">
        <v>0</v>
      </c>
      <c r="H8" s="45">
        <v>0</v>
      </c>
      <c r="I8" s="45">
        <v>0</v>
      </c>
      <c r="J8" s="45">
        <v>0</v>
      </c>
      <c r="K8" s="45">
        <v>0</v>
      </c>
      <c r="L8" s="45">
        <v>0</v>
      </c>
      <c r="M8" s="45">
        <v>0</v>
      </c>
      <c r="N8" s="45">
        <v>0</v>
      </c>
      <c r="O8" s="45">
        <v>0</v>
      </c>
      <c r="P8" s="45">
        <f t="shared" si="5"/>
        <v>7568496</v>
      </c>
      <c r="Q8" s="46">
        <f t="shared" si="4"/>
        <v>4.9097267586574649</v>
      </c>
    </row>
    <row r="9" spans="1:126">
      <c r="A9" s="11"/>
      <c r="B9" s="24">
        <v>312.41000000000003</v>
      </c>
      <c r="C9" s="19" t="s">
        <v>303</v>
      </c>
      <c r="D9" s="45">
        <v>0</v>
      </c>
      <c r="E9" s="45">
        <v>29323215</v>
      </c>
      <c r="F9" s="45">
        <v>0</v>
      </c>
      <c r="G9" s="45">
        <v>0</v>
      </c>
      <c r="H9" s="45">
        <v>0</v>
      </c>
      <c r="I9" s="45">
        <v>0</v>
      </c>
      <c r="J9" s="45">
        <v>0</v>
      </c>
      <c r="K9" s="45">
        <v>0</v>
      </c>
      <c r="L9" s="45">
        <v>0</v>
      </c>
      <c r="M9" s="45">
        <v>0</v>
      </c>
      <c r="N9" s="45">
        <v>0</v>
      </c>
      <c r="O9" s="45">
        <v>0</v>
      </c>
      <c r="P9" s="45">
        <f t="shared" si="5"/>
        <v>29323215</v>
      </c>
      <c r="Q9" s="46">
        <f t="shared" si="4"/>
        <v>19.022137731904191</v>
      </c>
    </row>
    <row r="10" spans="1:126">
      <c r="A10" s="11"/>
      <c r="B10" s="24">
        <v>312.62</v>
      </c>
      <c r="C10" s="19" t="s">
        <v>304</v>
      </c>
      <c r="D10" s="45">
        <v>0</v>
      </c>
      <c r="E10" s="45">
        <v>257192087</v>
      </c>
      <c r="F10" s="45">
        <v>0</v>
      </c>
      <c r="G10" s="45">
        <v>0</v>
      </c>
      <c r="H10" s="45">
        <v>0</v>
      </c>
      <c r="I10" s="45">
        <v>0</v>
      </c>
      <c r="J10" s="45">
        <v>0</v>
      </c>
      <c r="K10" s="45">
        <v>0</v>
      </c>
      <c r="L10" s="45">
        <v>0</v>
      </c>
      <c r="M10" s="45">
        <v>0</v>
      </c>
      <c r="N10" s="45">
        <v>0</v>
      </c>
      <c r="O10" s="45">
        <v>0</v>
      </c>
      <c r="P10" s="45">
        <f t="shared" si="5"/>
        <v>257192087</v>
      </c>
      <c r="Q10" s="46">
        <f t="shared" si="4"/>
        <v>166.84198177007144</v>
      </c>
    </row>
    <row r="11" spans="1:126">
      <c r="A11" s="11"/>
      <c r="B11" s="24">
        <v>312.64999999999998</v>
      </c>
      <c r="C11" s="19" t="s">
        <v>306</v>
      </c>
      <c r="D11" s="45">
        <v>0</v>
      </c>
      <c r="E11" s="45">
        <v>191477215</v>
      </c>
      <c r="F11" s="45">
        <v>0</v>
      </c>
      <c r="G11" s="45">
        <v>0</v>
      </c>
      <c r="H11" s="45">
        <v>0</v>
      </c>
      <c r="I11" s="45">
        <v>0</v>
      </c>
      <c r="J11" s="45">
        <v>0</v>
      </c>
      <c r="K11" s="45">
        <v>0</v>
      </c>
      <c r="L11" s="45">
        <v>0</v>
      </c>
      <c r="M11" s="45">
        <v>0</v>
      </c>
      <c r="N11" s="45">
        <v>0</v>
      </c>
      <c r="O11" s="45">
        <v>0</v>
      </c>
      <c r="P11" s="45">
        <f t="shared" si="5"/>
        <v>191477215</v>
      </c>
      <c r="Q11" s="46">
        <f t="shared" si="4"/>
        <v>124.21236744509193</v>
      </c>
    </row>
    <row r="12" spans="1:126">
      <c r="A12" s="11"/>
      <c r="B12" s="24">
        <v>315.10000000000002</v>
      </c>
      <c r="C12" s="19" t="s">
        <v>307</v>
      </c>
      <c r="D12" s="45">
        <v>0</v>
      </c>
      <c r="E12" s="45">
        <v>19502095</v>
      </c>
      <c r="F12" s="45">
        <v>0</v>
      </c>
      <c r="G12" s="45">
        <v>0</v>
      </c>
      <c r="H12" s="45">
        <v>0</v>
      </c>
      <c r="I12" s="45">
        <v>0</v>
      </c>
      <c r="J12" s="45">
        <v>0</v>
      </c>
      <c r="K12" s="45">
        <v>0</v>
      </c>
      <c r="L12" s="45">
        <v>0</v>
      </c>
      <c r="M12" s="45">
        <v>0</v>
      </c>
      <c r="N12" s="45">
        <v>0</v>
      </c>
      <c r="O12" s="45">
        <v>0</v>
      </c>
      <c r="P12" s="45">
        <f t="shared" si="5"/>
        <v>19502095</v>
      </c>
      <c r="Q12" s="46">
        <f t="shared" si="4"/>
        <v>12.651120866203794</v>
      </c>
    </row>
    <row r="13" spans="1:126">
      <c r="A13" s="11"/>
      <c r="B13" s="24">
        <v>316</v>
      </c>
      <c r="C13" s="19" t="s">
        <v>203</v>
      </c>
      <c r="D13" s="45">
        <v>1808382</v>
      </c>
      <c r="E13" s="45">
        <v>85755</v>
      </c>
      <c r="F13" s="45">
        <v>0</v>
      </c>
      <c r="G13" s="45">
        <v>0</v>
      </c>
      <c r="H13" s="45">
        <v>0</v>
      </c>
      <c r="I13" s="45">
        <v>0</v>
      </c>
      <c r="J13" s="45">
        <v>0</v>
      </c>
      <c r="K13" s="45">
        <v>0</v>
      </c>
      <c r="L13" s="45">
        <v>0</v>
      </c>
      <c r="M13" s="45">
        <v>0</v>
      </c>
      <c r="N13" s="45">
        <v>0</v>
      </c>
      <c r="O13" s="45">
        <v>0</v>
      </c>
      <c r="P13" s="45">
        <f t="shared" si="5"/>
        <v>1894137</v>
      </c>
      <c r="Q13" s="46">
        <f t="shared" si="4"/>
        <v>1.2287375343084246</v>
      </c>
    </row>
    <row r="14" spans="1:126" ht="15.75">
      <c r="A14" s="28" t="s">
        <v>18</v>
      </c>
      <c r="B14" s="29"/>
      <c r="C14" s="30"/>
      <c r="D14" s="31">
        <f t="shared" ref="D14:O14" si="6">SUM(D15:D26)</f>
        <v>1336215</v>
      </c>
      <c r="E14" s="31">
        <f t="shared" si="6"/>
        <v>284179403</v>
      </c>
      <c r="F14" s="31">
        <f t="shared" si="6"/>
        <v>0</v>
      </c>
      <c r="G14" s="31">
        <f t="shared" si="6"/>
        <v>0</v>
      </c>
      <c r="H14" s="31">
        <f t="shared" si="6"/>
        <v>0</v>
      </c>
      <c r="I14" s="31">
        <f t="shared" si="6"/>
        <v>70824</v>
      </c>
      <c r="J14" s="31">
        <f t="shared" si="6"/>
        <v>0</v>
      </c>
      <c r="K14" s="31">
        <f t="shared" ref="K14" si="7">SUM(K15:K26)</f>
        <v>0</v>
      </c>
      <c r="L14" s="31">
        <f t="shared" ref="L14" si="8">SUM(L15:L26)</f>
        <v>0</v>
      </c>
      <c r="M14" s="31">
        <f t="shared" si="6"/>
        <v>0</v>
      </c>
      <c r="N14" s="31">
        <f t="shared" ref="N14" si="9">SUM(N15:N26)</f>
        <v>0</v>
      </c>
      <c r="O14" s="31">
        <f t="shared" si="6"/>
        <v>0</v>
      </c>
      <c r="P14" s="43">
        <f>SUM(D14:O14)</f>
        <v>285586442</v>
      </c>
      <c r="Q14" s="44">
        <f t="shared" si="4"/>
        <v>185.26156269319267</v>
      </c>
    </row>
    <row r="15" spans="1:126">
      <c r="A15" s="11"/>
      <c r="B15" s="24">
        <v>322</v>
      </c>
      <c r="C15" s="19" t="s">
        <v>308</v>
      </c>
      <c r="D15" s="45">
        <v>-505</v>
      </c>
      <c r="E15" s="45">
        <v>13027573</v>
      </c>
      <c r="F15" s="45">
        <v>0</v>
      </c>
      <c r="G15" s="45">
        <v>0</v>
      </c>
      <c r="H15" s="45">
        <v>0</v>
      </c>
      <c r="I15" s="45">
        <v>0</v>
      </c>
      <c r="J15" s="45">
        <v>0</v>
      </c>
      <c r="K15" s="45">
        <v>0</v>
      </c>
      <c r="L15" s="45">
        <v>0</v>
      </c>
      <c r="M15" s="45">
        <v>0</v>
      </c>
      <c r="N15" s="45">
        <v>0</v>
      </c>
      <c r="O15" s="45">
        <v>0</v>
      </c>
      <c r="P15" s="45">
        <f>SUM(D15:O15)</f>
        <v>13027068</v>
      </c>
      <c r="Q15" s="46">
        <f t="shared" si="4"/>
        <v>8.4507337186212919</v>
      </c>
    </row>
    <row r="16" spans="1:126">
      <c r="A16" s="11"/>
      <c r="B16" s="24">
        <v>323.3</v>
      </c>
      <c r="C16" s="19" t="s">
        <v>19</v>
      </c>
      <c r="D16" s="45">
        <v>2386</v>
      </c>
      <c r="E16" s="45">
        <v>0</v>
      </c>
      <c r="F16" s="45">
        <v>0</v>
      </c>
      <c r="G16" s="45">
        <v>0</v>
      </c>
      <c r="H16" s="45">
        <v>0</v>
      </c>
      <c r="I16" s="45">
        <v>0</v>
      </c>
      <c r="J16" s="45">
        <v>0</v>
      </c>
      <c r="K16" s="45">
        <v>0</v>
      </c>
      <c r="L16" s="45">
        <v>0</v>
      </c>
      <c r="M16" s="45">
        <v>0</v>
      </c>
      <c r="N16" s="45">
        <v>0</v>
      </c>
      <c r="O16" s="45">
        <v>0</v>
      </c>
      <c r="P16" s="45">
        <f t="shared" ref="P16:P26" si="10">SUM(D16:O16)</f>
        <v>2386</v>
      </c>
      <c r="Q16" s="46">
        <f t="shared" si="4"/>
        <v>1.5478118831213903E-3</v>
      </c>
    </row>
    <row r="17" spans="1:17">
      <c r="A17" s="11"/>
      <c r="B17" s="24">
        <v>323.60000000000002</v>
      </c>
      <c r="C17" s="19" t="s">
        <v>20</v>
      </c>
      <c r="D17" s="45">
        <v>6606</v>
      </c>
      <c r="E17" s="45">
        <v>0</v>
      </c>
      <c r="F17" s="45">
        <v>0</v>
      </c>
      <c r="G17" s="45">
        <v>0</v>
      </c>
      <c r="H17" s="45">
        <v>0</v>
      </c>
      <c r="I17" s="45">
        <v>0</v>
      </c>
      <c r="J17" s="45">
        <v>0</v>
      </c>
      <c r="K17" s="45">
        <v>0</v>
      </c>
      <c r="L17" s="45">
        <v>0</v>
      </c>
      <c r="M17" s="45">
        <v>0</v>
      </c>
      <c r="N17" s="45">
        <v>0</v>
      </c>
      <c r="O17" s="45">
        <v>0</v>
      </c>
      <c r="P17" s="45">
        <f t="shared" si="10"/>
        <v>6606</v>
      </c>
      <c r="Q17" s="46">
        <f t="shared" si="4"/>
        <v>4.2853500837803458E-3</v>
      </c>
    </row>
    <row r="18" spans="1:17">
      <c r="A18" s="11"/>
      <c r="B18" s="24">
        <v>324.11</v>
      </c>
      <c r="C18" s="19" t="s">
        <v>21</v>
      </c>
      <c r="D18" s="45">
        <v>0</v>
      </c>
      <c r="E18" s="45">
        <v>2004279</v>
      </c>
      <c r="F18" s="45">
        <v>0</v>
      </c>
      <c r="G18" s="45">
        <v>0</v>
      </c>
      <c r="H18" s="45">
        <v>0</v>
      </c>
      <c r="I18" s="45">
        <v>0</v>
      </c>
      <c r="J18" s="45">
        <v>0</v>
      </c>
      <c r="K18" s="45">
        <v>0</v>
      </c>
      <c r="L18" s="45">
        <v>0</v>
      </c>
      <c r="M18" s="45">
        <v>0</v>
      </c>
      <c r="N18" s="45">
        <v>0</v>
      </c>
      <c r="O18" s="45">
        <v>0</v>
      </c>
      <c r="P18" s="45">
        <f t="shared" si="10"/>
        <v>2004279</v>
      </c>
      <c r="Q18" s="46">
        <f t="shared" si="4"/>
        <v>1.3001872813456232</v>
      </c>
    </row>
    <row r="19" spans="1:17">
      <c r="A19" s="11"/>
      <c r="B19" s="24">
        <v>324.12</v>
      </c>
      <c r="C19" s="19" t="s">
        <v>180</v>
      </c>
      <c r="D19" s="45">
        <v>0</v>
      </c>
      <c r="E19" s="45">
        <v>362376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5">
        <v>0</v>
      </c>
      <c r="L19" s="45">
        <v>0</v>
      </c>
      <c r="M19" s="45">
        <v>0</v>
      </c>
      <c r="N19" s="45">
        <v>0</v>
      </c>
      <c r="O19" s="45">
        <v>0</v>
      </c>
      <c r="P19" s="45">
        <f t="shared" si="10"/>
        <v>362376</v>
      </c>
      <c r="Q19" s="46">
        <f t="shared" si="4"/>
        <v>0.23507538933696437</v>
      </c>
    </row>
    <row r="20" spans="1:17">
      <c r="A20" s="11"/>
      <c r="B20" s="24">
        <v>324.31</v>
      </c>
      <c r="C20" s="19" t="s">
        <v>23</v>
      </c>
      <c r="D20" s="45">
        <v>0</v>
      </c>
      <c r="E20" s="45">
        <v>43151165</v>
      </c>
      <c r="F20" s="45">
        <v>0</v>
      </c>
      <c r="G20" s="45">
        <v>0</v>
      </c>
      <c r="H20" s="45">
        <v>0</v>
      </c>
      <c r="I20" s="45">
        <v>0</v>
      </c>
      <c r="J20" s="45">
        <v>0</v>
      </c>
      <c r="K20" s="45">
        <v>0</v>
      </c>
      <c r="L20" s="45">
        <v>0</v>
      </c>
      <c r="M20" s="45">
        <v>0</v>
      </c>
      <c r="N20" s="45">
        <v>0</v>
      </c>
      <c r="O20" s="45">
        <v>0</v>
      </c>
      <c r="P20" s="45">
        <f t="shared" si="10"/>
        <v>43151165</v>
      </c>
      <c r="Q20" s="46">
        <f t="shared" si="4"/>
        <v>27.992408196786183</v>
      </c>
    </row>
    <row r="21" spans="1:17">
      <c r="A21" s="11"/>
      <c r="B21" s="24">
        <v>324.32</v>
      </c>
      <c r="C21" s="19" t="s">
        <v>167</v>
      </c>
      <c r="D21" s="45">
        <v>0</v>
      </c>
      <c r="E21" s="45">
        <v>11419963</v>
      </c>
      <c r="F21" s="45">
        <v>0</v>
      </c>
      <c r="G21" s="45">
        <v>0</v>
      </c>
      <c r="H21" s="45">
        <v>0</v>
      </c>
      <c r="I21" s="45">
        <v>0</v>
      </c>
      <c r="J21" s="45">
        <v>0</v>
      </c>
      <c r="K21" s="45">
        <v>0</v>
      </c>
      <c r="L21" s="45">
        <v>0</v>
      </c>
      <c r="M21" s="45">
        <v>0</v>
      </c>
      <c r="N21" s="45">
        <v>0</v>
      </c>
      <c r="O21" s="45">
        <v>0</v>
      </c>
      <c r="P21" s="45">
        <f t="shared" si="10"/>
        <v>11419963</v>
      </c>
      <c r="Q21" s="46">
        <f t="shared" si="4"/>
        <v>7.4081954887705797</v>
      </c>
    </row>
    <row r="22" spans="1:17">
      <c r="A22" s="11"/>
      <c r="B22" s="24">
        <v>324.61</v>
      </c>
      <c r="C22" s="19" t="s">
        <v>24</v>
      </c>
      <c r="D22" s="45">
        <v>0</v>
      </c>
      <c r="E22" s="45">
        <v>12104780</v>
      </c>
      <c r="F22" s="45">
        <v>0</v>
      </c>
      <c r="G22" s="45">
        <v>0</v>
      </c>
      <c r="H22" s="45">
        <v>0</v>
      </c>
      <c r="I22" s="45">
        <v>0</v>
      </c>
      <c r="J22" s="45">
        <v>0</v>
      </c>
      <c r="K22" s="45">
        <v>0</v>
      </c>
      <c r="L22" s="45">
        <v>0</v>
      </c>
      <c r="M22" s="45">
        <v>0</v>
      </c>
      <c r="N22" s="45">
        <v>0</v>
      </c>
      <c r="O22" s="45">
        <v>0</v>
      </c>
      <c r="P22" s="45">
        <f t="shared" si="10"/>
        <v>12104780</v>
      </c>
      <c r="Q22" s="46">
        <f t="shared" si="4"/>
        <v>7.8524402039271344</v>
      </c>
    </row>
    <row r="23" spans="1:17">
      <c r="A23" s="11"/>
      <c r="B23" s="24">
        <v>324.81</v>
      </c>
      <c r="C23" s="19" t="s">
        <v>309</v>
      </c>
      <c r="D23" s="45">
        <v>0</v>
      </c>
      <c r="E23" s="45">
        <v>53305079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45">
        <v>0</v>
      </c>
      <c r="L23" s="45">
        <v>0</v>
      </c>
      <c r="M23" s="45">
        <v>0</v>
      </c>
      <c r="N23" s="45">
        <v>0</v>
      </c>
      <c r="O23" s="45">
        <v>0</v>
      </c>
      <c r="P23" s="45">
        <f t="shared" si="10"/>
        <v>53305079</v>
      </c>
      <c r="Q23" s="46">
        <f t="shared" si="4"/>
        <v>34.579310438778073</v>
      </c>
    </row>
    <row r="24" spans="1:17">
      <c r="A24" s="11"/>
      <c r="B24" s="24">
        <v>325.10000000000002</v>
      </c>
      <c r="C24" s="19" t="s">
        <v>25</v>
      </c>
      <c r="D24" s="45">
        <v>696383</v>
      </c>
      <c r="E24" s="45">
        <v>33054113</v>
      </c>
      <c r="F24" s="45">
        <v>0</v>
      </c>
      <c r="G24" s="45">
        <v>0</v>
      </c>
      <c r="H24" s="45">
        <v>0</v>
      </c>
      <c r="I24" s="45">
        <v>70824</v>
      </c>
      <c r="J24" s="45">
        <v>0</v>
      </c>
      <c r="K24" s="45">
        <v>0</v>
      </c>
      <c r="L24" s="45">
        <v>0</v>
      </c>
      <c r="M24" s="45">
        <v>0</v>
      </c>
      <c r="N24" s="45">
        <v>0</v>
      </c>
      <c r="O24" s="45">
        <v>0</v>
      </c>
      <c r="P24" s="45">
        <f t="shared" si="10"/>
        <v>33821320</v>
      </c>
      <c r="Q24" s="46">
        <f t="shared" si="4"/>
        <v>21.940084240926716</v>
      </c>
    </row>
    <row r="25" spans="1:17">
      <c r="A25" s="11"/>
      <c r="B25" s="24">
        <v>325.2</v>
      </c>
      <c r="C25" s="19" t="s">
        <v>26</v>
      </c>
      <c r="D25" s="45">
        <v>0</v>
      </c>
      <c r="E25" s="45">
        <v>115190549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f t="shared" si="10"/>
        <v>115190549</v>
      </c>
      <c r="Q25" s="46">
        <f t="shared" si="4"/>
        <v>74.72476972568181</v>
      </c>
    </row>
    <row r="26" spans="1:17">
      <c r="A26" s="11"/>
      <c r="B26" s="24">
        <v>329.5</v>
      </c>
      <c r="C26" s="19" t="s">
        <v>310</v>
      </c>
      <c r="D26" s="45">
        <v>631345</v>
      </c>
      <c r="E26" s="45">
        <v>559526</v>
      </c>
      <c r="F26" s="45">
        <v>0</v>
      </c>
      <c r="G26" s="45">
        <v>0</v>
      </c>
      <c r="H26" s="45">
        <v>0</v>
      </c>
      <c r="I26" s="45">
        <v>0</v>
      </c>
      <c r="J26" s="45">
        <v>0</v>
      </c>
      <c r="K26" s="45">
        <v>0</v>
      </c>
      <c r="L26" s="45">
        <v>0</v>
      </c>
      <c r="M26" s="45">
        <v>0</v>
      </c>
      <c r="N26" s="45">
        <v>0</v>
      </c>
      <c r="O26" s="45">
        <v>0</v>
      </c>
      <c r="P26" s="45">
        <f t="shared" si="10"/>
        <v>1190871</v>
      </c>
      <c r="Q26" s="46">
        <f t="shared" si="4"/>
        <v>0.77252484705140534</v>
      </c>
    </row>
    <row r="27" spans="1:17" ht="15.75">
      <c r="A27" s="28" t="s">
        <v>311</v>
      </c>
      <c r="B27" s="29"/>
      <c r="C27" s="30"/>
      <c r="D27" s="31">
        <f t="shared" ref="D27:O27" si="11">SUM(D28:D66)</f>
        <v>57361704</v>
      </c>
      <c r="E27" s="31">
        <f t="shared" si="11"/>
        <v>392676716</v>
      </c>
      <c r="F27" s="31">
        <f t="shared" si="11"/>
        <v>0</v>
      </c>
      <c r="G27" s="31">
        <f t="shared" si="11"/>
        <v>0</v>
      </c>
      <c r="H27" s="31">
        <f t="shared" si="11"/>
        <v>0</v>
      </c>
      <c r="I27" s="31">
        <f t="shared" si="11"/>
        <v>1282763</v>
      </c>
      <c r="J27" s="31">
        <f t="shared" si="11"/>
        <v>62129</v>
      </c>
      <c r="K27" s="31">
        <f t="shared" ref="K27" si="12">SUM(K28:K66)</f>
        <v>0</v>
      </c>
      <c r="L27" s="31">
        <f t="shared" ref="L27" si="13">SUM(L28:L66)</f>
        <v>0</v>
      </c>
      <c r="M27" s="31">
        <f t="shared" si="11"/>
        <v>0</v>
      </c>
      <c r="N27" s="31">
        <f t="shared" ref="N27" si="14">SUM(N28:N66)</f>
        <v>0</v>
      </c>
      <c r="O27" s="31">
        <f t="shared" si="11"/>
        <v>7000974</v>
      </c>
      <c r="P27" s="43">
        <f>SUM(D27:O27)</f>
        <v>458384286</v>
      </c>
      <c r="Q27" s="44">
        <f t="shared" si="4"/>
        <v>297.356515049</v>
      </c>
    </row>
    <row r="28" spans="1:17">
      <c r="A28" s="11"/>
      <c r="B28" s="24">
        <v>331.1</v>
      </c>
      <c r="C28" s="19" t="s">
        <v>28</v>
      </c>
      <c r="D28" s="45">
        <v>0</v>
      </c>
      <c r="E28" s="45">
        <v>76778915</v>
      </c>
      <c r="F28" s="45">
        <v>0</v>
      </c>
      <c r="G28" s="45">
        <v>0</v>
      </c>
      <c r="H28" s="45">
        <v>0</v>
      </c>
      <c r="I28" s="45">
        <v>0</v>
      </c>
      <c r="J28" s="45">
        <v>0</v>
      </c>
      <c r="K28" s="45">
        <v>0</v>
      </c>
      <c r="L28" s="45">
        <v>0</v>
      </c>
      <c r="M28" s="45">
        <v>0</v>
      </c>
      <c r="N28" s="45">
        <v>0</v>
      </c>
      <c r="O28" s="45">
        <v>0</v>
      </c>
      <c r="P28" s="45">
        <f>SUM(D28:O28)</f>
        <v>76778915</v>
      </c>
      <c r="Q28" s="46">
        <f t="shared" si="4"/>
        <v>49.806922468636699</v>
      </c>
    </row>
    <row r="29" spans="1:17">
      <c r="A29" s="11"/>
      <c r="B29" s="24">
        <v>331.2</v>
      </c>
      <c r="C29" s="19" t="s">
        <v>29</v>
      </c>
      <c r="D29" s="45">
        <v>0</v>
      </c>
      <c r="E29" s="45">
        <v>7937134</v>
      </c>
      <c r="F29" s="45">
        <v>0</v>
      </c>
      <c r="G29" s="45">
        <v>0</v>
      </c>
      <c r="H29" s="45">
        <v>0</v>
      </c>
      <c r="I29" s="45">
        <v>0</v>
      </c>
      <c r="J29" s="45">
        <v>0</v>
      </c>
      <c r="K29" s="45">
        <v>0</v>
      </c>
      <c r="L29" s="45">
        <v>0</v>
      </c>
      <c r="M29" s="45">
        <v>0</v>
      </c>
      <c r="N29" s="45">
        <v>0</v>
      </c>
      <c r="O29" s="45">
        <v>0</v>
      </c>
      <c r="P29" s="45">
        <f>SUM(D29:O29)</f>
        <v>7937134</v>
      </c>
      <c r="Q29" s="46">
        <f t="shared" si="4"/>
        <v>5.1488643433054539</v>
      </c>
    </row>
    <row r="30" spans="1:17">
      <c r="A30" s="11"/>
      <c r="B30" s="24">
        <v>331.39</v>
      </c>
      <c r="C30" s="19" t="s">
        <v>35</v>
      </c>
      <c r="D30" s="45">
        <v>0</v>
      </c>
      <c r="E30" s="45">
        <v>1315157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v>0</v>
      </c>
      <c r="O30" s="45">
        <v>0</v>
      </c>
      <c r="P30" s="45">
        <f t="shared" ref="P30:P56" si="15">SUM(D30:O30)</f>
        <v>1315157</v>
      </c>
      <c r="Q30" s="46">
        <f t="shared" si="4"/>
        <v>0.85314988800095493</v>
      </c>
    </row>
    <row r="31" spans="1:17">
      <c r="A31" s="11"/>
      <c r="B31" s="24">
        <v>331.49</v>
      </c>
      <c r="C31" s="19" t="s">
        <v>36</v>
      </c>
      <c r="D31" s="45">
        <v>0</v>
      </c>
      <c r="E31" s="45">
        <v>2206848</v>
      </c>
      <c r="F31" s="45">
        <v>0</v>
      </c>
      <c r="G31" s="45">
        <v>0</v>
      </c>
      <c r="H31" s="45">
        <v>0</v>
      </c>
      <c r="I31" s="45">
        <v>0</v>
      </c>
      <c r="J31" s="45">
        <v>0</v>
      </c>
      <c r="K31" s="45">
        <v>0</v>
      </c>
      <c r="L31" s="45">
        <v>0</v>
      </c>
      <c r="M31" s="45">
        <v>0</v>
      </c>
      <c r="N31" s="45">
        <v>0</v>
      </c>
      <c r="O31" s="45">
        <v>0</v>
      </c>
      <c r="P31" s="45">
        <f t="shared" si="15"/>
        <v>2206848</v>
      </c>
      <c r="Q31" s="46">
        <f t="shared" si="4"/>
        <v>1.4315949533288659</v>
      </c>
    </row>
    <row r="32" spans="1:17">
      <c r="A32" s="11"/>
      <c r="B32" s="24">
        <v>331.5</v>
      </c>
      <c r="C32" s="19" t="s">
        <v>31</v>
      </c>
      <c r="D32" s="45">
        <v>0</v>
      </c>
      <c r="E32" s="45">
        <v>16883231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45">
        <v>0</v>
      </c>
      <c r="O32" s="45">
        <v>0</v>
      </c>
      <c r="P32" s="45">
        <f t="shared" si="15"/>
        <v>16883231</v>
      </c>
      <c r="Q32" s="46">
        <f t="shared" si="4"/>
        <v>10.952248770864809</v>
      </c>
    </row>
    <row r="33" spans="1:17">
      <c r="A33" s="11"/>
      <c r="B33" s="24">
        <v>331.51</v>
      </c>
      <c r="C33" s="19" t="s">
        <v>329</v>
      </c>
      <c r="D33" s="45">
        <v>0</v>
      </c>
      <c r="E33" s="45">
        <v>-90534</v>
      </c>
      <c r="F33" s="45">
        <v>0</v>
      </c>
      <c r="G33" s="45">
        <v>0</v>
      </c>
      <c r="H33" s="45">
        <v>0</v>
      </c>
      <c r="I33" s="45">
        <v>0</v>
      </c>
      <c r="J33" s="45">
        <v>0</v>
      </c>
      <c r="K33" s="45">
        <v>0</v>
      </c>
      <c r="L33" s="45">
        <v>0</v>
      </c>
      <c r="M33" s="45">
        <v>0</v>
      </c>
      <c r="N33" s="45">
        <v>0</v>
      </c>
      <c r="O33" s="45">
        <v>0</v>
      </c>
      <c r="P33" s="45">
        <f t="shared" si="15"/>
        <v>-90534</v>
      </c>
      <c r="Q33" s="46">
        <f t="shared" si="4"/>
        <v>-5.8729924990155891E-2</v>
      </c>
    </row>
    <row r="34" spans="1:17">
      <c r="A34" s="11"/>
      <c r="B34" s="24">
        <v>331.61</v>
      </c>
      <c r="C34" s="19" t="s">
        <v>37</v>
      </c>
      <c r="D34" s="45">
        <v>0</v>
      </c>
      <c r="E34" s="45">
        <v>4930614</v>
      </c>
      <c r="F34" s="45">
        <v>0</v>
      </c>
      <c r="G34" s="45">
        <v>0</v>
      </c>
      <c r="H34" s="45">
        <v>0</v>
      </c>
      <c r="I34" s="45">
        <v>0</v>
      </c>
      <c r="J34" s="45">
        <v>0</v>
      </c>
      <c r="K34" s="45">
        <v>0</v>
      </c>
      <c r="L34" s="45">
        <v>0</v>
      </c>
      <c r="M34" s="45">
        <v>0</v>
      </c>
      <c r="N34" s="45">
        <v>0</v>
      </c>
      <c r="O34" s="45">
        <v>0</v>
      </c>
      <c r="P34" s="45">
        <f t="shared" si="15"/>
        <v>4930614</v>
      </c>
      <c r="Q34" s="46">
        <f t="shared" si="4"/>
        <v>3.1985175776549419</v>
      </c>
    </row>
    <row r="35" spans="1:17">
      <c r="A35" s="11"/>
      <c r="B35" s="24">
        <v>331.69</v>
      </c>
      <c r="C35" s="19" t="s">
        <v>39</v>
      </c>
      <c r="D35" s="45">
        <v>1859</v>
      </c>
      <c r="E35" s="45">
        <v>59346446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v>0</v>
      </c>
      <c r="O35" s="45">
        <v>0</v>
      </c>
      <c r="P35" s="45">
        <f t="shared" si="15"/>
        <v>59348305</v>
      </c>
      <c r="Q35" s="46">
        <f t="shared" si="4"/>
        <v>38.499585801388363</v>
      </c>
    </row>
    <row r="36" spans="1:17">
      <c r="A36" s="11"/>
      <c r="B36" s="24">
        <v>333</v>
      </c>
      <c r="C36" s="19" t="s">
        <v>4</v>
      </c>
      <c r="D36" s="45">
        <v>1205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5">
        <v>0</v>
      </c>
      <c r="P36" s="45">
        <f t="shared" si="15"/>
        <v>1205</v>
      </c>
      <c r="Q36" s="46">
        <f t="shared" si="4"/>
        <v>7.8169041037773486E-4</v>
      </c>
    </row>
    <row r="37" spans="1:17">
      <c r="A37" s="11"/>
      <c r="B37" s="24">
        <v>334.1</v>
      </c>
      <c r="C37" s="19" t="s">
        <v>189</v>
      </c>
      <c r="D37" s="45">
        <v>0</v>
      </c>
      <c r="E37" s="45">
        <v>0</v>
      </c>
      <c r="F37" s="45">
        <v>0</v>
      </c>
      <c r="G37" s="45">
        <v>0</v>
      </c>
      <c r="H37" s="45">
        <v>0</v>
      </c>
      <c r="I37" s="45">
        <v>3821763</v>
      </c>
      <c r="J37" s="45">
        <v>0</v>
      </c>
      <c r="K37" s="45">
        <v>0</v>
      </c>
      <c r="L37" s="45">
        <v>0</v>
      </c>
      <c r="M37" s="45">
        <v>0</v>
      </c>
      <c r="N37" s="45">
        <v>0</v>
      </c>
      <c r="O37" s="45">
        <v>0</v>
      </c>
      <c r="P37" s="45">
        <f t="shared" si="15"/>
        <v>3821763</v>
      </c>
      <c r="Q37" s="46">
        <f t="shared" ref="Q37:Q68" si="16">(P37/Q$134)</f>
        <v>2.4791995749680025</v>
      </c>
    </row>
    <row r="38" spans="1:17">
      <c r="A38" s="11"/>
      <c r="B38" s="24">
        <v>334.2</v>
      </c>
      <c r="C38" s="19" t="s">
        <v>33</v>
      </c>
      <c r="D38" s="45">
        <v>0</v>
      </c>
      <c r="E38" s="45">
        <v>3479504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5">
        <v>0</v>
      </c>
      <c r="L38" s="45">
        <v>0</v>
      </c>
      <c r="M38" s="45">
        <v>0</v>
      </c>
      <c r="N38" s="45">
        <v>0</v>
      </c>
      <c r="O38" s="45">
        <v>0</v>
      </c>
      <c r="P38" s="45">
        <f t="shared" si="15"/>
        <v>3479504</v>
      </c>
      <c r="Q38" s="46">
        <f t="shared" si="16"/>
        <v>2.2571741988970704</v>
      </c>
    </row>
    <row r="39" spans="1:17">
      <c r="A39" s="11"/>
      <c r="B39" s="24">
        <v>334.39</v>
      </c>
      <c r="C39" s="19" t="s">
        <v>40</v>
      </c>
      <c r="D39" s="45">
        <v>88115</v>
      </c>
      <c r="E39" s="45">
        <v>2116641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f t="shared" si="15"/>
        <v>2204756</v>
      </c>
      <c r="Q39" s="46">
        <f t="shared" si="16"/>
        <v>1.4302378609317621</v>
      </c>
    </row>
    <row r="40" spans="1:17">
      <c r="A40" s="11"/>
      <c r="B40" s="24">
        <v>334.49</v>
      </c>
      <c r="C40" s="19" t="s">
        <v>41</v>
      </c>
      <c r="D40" s="45">
        <v>0</v>
      </c>
      <c r="E40" s="45">
        <v>1206190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5">
        <v>0</v>
      </c>
      <c r="L40" s="45">
        <v>0</v>
      </c>
      <c r="M40" s="45">
        <v>0</v>
      </c>
      <c r="N40" s="45">
        <v>0</v>
      </c>
      <c r="O40" s="45">
        <v>0</v>
      </c>
      <c r="P40" s="45">
        <f t="shared" si="15"/>
        <v>1206190</v>
      </c>
      <c r="Q40" s="46">
        <f t="shared" si="16"/>
        <v>0.78246237020209131</v>
      </c>
    </row>
    <row r="41" spans="1:17">
      <c r="A41" s="11"/>
      <c r="B41" s="24">
        <v>334.5</v>
      </c>
      <c r="C41" s="19" t="s">
        <v>42</v>
      </c>
      <c r="D41" s="45">
        <v>0</v>
      </c>
      <c r="E41" s="45">
        <v>9222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f t="shared" si="15"/>
        <v>9222</v>
      </c>
      <c r="Q41" s="46">
        <f t="shared" si="16"/>
        <v>5.9823642858949965E-3</v>
      </c>
    </row>
    <row r="42" spans="1:17">
      <c r="A42" s="11"/>
      <c r="B42" s="24">
        <v>334.61</v>
      </c>
      <c r="C42" s="19" t="s">
        <v>43</v>
      </c>
      <c r="D42" s="45">
        <v>0</v>
      </c>
      <c r="E42" s="45">
        <v>82197</v>
      </c>
      <c r="F42" s="45">
        <v>0</v>
      </c>
      <c r="G42" s="45">
        <v>0</v>
      </c>
      <c r="H42" s="45">
        <v>0</v>
      </c>
      <c r="I42" s="45">
        <v>0</v>
      </c>
      <c r="J42" s="45">
        <v>0</v>
      </c>
      <c r="K42" s="45">
        <v>0</v>
      </c>
      <c r="L42" s="45">
        <v>0</v>
      </c>
      <c r="M42" s="45">
        <v>0</v>
      </c>
      <c r="N42" s="45">
        <v>0</v>
      </c>
      <c r="O42" s="45">
        <v>0</v>
      </c>
      <c r="P42" s="45">
        <f t="shared" si="15"/>
        <v>82197</v>
      </c>
      <c r="Q42" s="46">
        <f t="shared" si="16"/>
        <v>5.3321665279517573E-2</v>
      </c>
    </row>
    <row r="43" spans="1:17">
      <c r="A43" s="11"/>
      <c r="B43" s="24">
        <v>334.69</v>
      </c>
      <c r="C43" s="19" t="s">
        <v>44</v>
      </c>
      <c r="D43" s="45">
        <v>0</v>
      </c>
      <c r="E43" s="45">
        <v>9152165</v>
      </c>
      <c r="F43" s="45">
        <v>0</v>
      </c>
      <c r="G43" s="45">
        <v>0</v>
      </c>
      <c r="H43" s="45">
        <v>0</v>
      </c>
      <c r="I43" s="45">
        <v>0</v>
      </c>
      <c r="J43" s="45">
        <v>0</v>
      </c>
      <c r="K43" s="45">
        <v>0</v>
      </c>
      <c r="L43" s="45">
        <v>0</v>
      </c>
      <c r="M43" s="45">
        <v>0</v>
      </c>
      <c r="N43" s="45">
        <v>0</v>
      </c>
      <c r="O43" s="45">
        <v>0</v>
      </c>
      <c r="P43" s="45">
        <f t="shared" si="15"/>
        <v>9152165</v>
      </c>
      <c r="Q43" s="46">
        <f t="shared" si="16"/>
        <v>5.9370619209084996</v>
      </c>
    </row>
    <row r="44" spans="1:17">
      <c r="A44" s="11"/>
      <c r="B44" s="24">
        <v>334.7</v>
      </c>
      <c r="C44" s="19" t="s">
        <v>45</v>
      </c>
      <c r="D44" s="45">
        <v>0</v>
      </c>
      <c r="E44" s="45">
        <v>1004251</v>
      </c>
      <c r="F44" s="45">
        <v>0</v>
      </c>
      <c r="G44" s="45">
        <v>0</v>
      </c>
      <c r="H44" s="45">
        <v>0</v>
      </c>
      <c r="I44" s="45">
        <v>0</v>
      </c>
      <c r="J44" s="45">
        <v>0</v>
      </c>
      <c r="K44" s="45">
        <v>0</v>
      </c>
      <c r="L44" s="45">
        <v>0</v>
      </c>
      <c r="M44" s="45">
        <v>0</v>
      </c>
      <c r="N44" s="45">
        <v>0</v>
      </c>
      <c r="O44" s="45">
        <v>0</v>
      </c>
      <c r="P44" s="45">
        <f t="shared" si="15"/>
        <v>1004251</v>
      </c>
      <c r="Q44" s="46">
        <f t="shared" si="16"/>
        <v>0.65146338283174321</v>
      </c>
    </row>
    <row r="45" spans="1:17">
      <c r="A45" s="11"/>
      <c r="B45" s="24">
        <v>334.89</v>
      </c>
      <c r="C45" s="19" t="s">
        <v>46</v>
      </c>
      <c r="D45" s="45">
        <v>0</v>
      </c>
      <c r="E45" s="45">
        <v>1908</v>
      </c>
      <c r="F45" s="45">
        <v>0</v>
      </c>
      <c r="G45" s="45">
        <v>0</v>
      </c>
      <c r="H45" s="45">
        <v>0</v>
      </c>
      <c r="I45" s="45">
        <v>0</v>
      </c>
      <c r="J45" s="45">
        <v>0</v>
      </c>
      <c r="K45" s="45">
        <v>0</v>
      </c>
      <c r="L45" s="45">
        <v>0</v>
      </c>
      <c r="M45" s="45">
        <v>0</v>
      </c>
      <c r="N45" s="45">
        <v>0</v>
      </c>
      <c r="O45" s="45">
        <v>0</v>
      </c>
      <c r="P45" s="45">
        <f t="shared" si="15"/>
        <v>1908</v>
      </c>
      <c r="Q45" s="46">
        <f t="shared" si="16"/>
        <v>1.2377305419093096E-3</v>
      </c>
    </row>
    <row r="46" spans="1:17">
      <c r="A46" s="11"/>
      <c r="B46" s="24">
        <v>335.12099999999998</v>
      </c>
      <c r="C46" s="19" t="s">
        <v>313</v>
      </c>
      <c r="D46" s="45">
        <v>52294039</v>
      </c>
      <c r="E46" s="45">
        <v>6752474</v>
      </c>
      <c r="F46" s="45">
        <v>0</v>
      </c>
      <c r="G46" s="45">
        <v>0</v>
      </c>
      <c r="H46" s="45">
        <v>0</v>
      </c>
      <c r="I46" s="45">
        <v>0</v>
      </c>
      <c r="J46" s="45">
        <v>0</v>
      </c>
      <c r="K46" s="45">
        <v>0</v>
      </c>
      <c r="L46" s="45">
        <v>0</v>
      </c>
      <c r="M46" s="45">
        <v>0</v>
      </c>
      <c r="N46" s="45">
        <v>0</v>
      </c>
      <c r="O46" s="45">
        <v>0</v>
      </c>
      <c r="P46" s="45">
        <f t="shared" si="15"/>
        <v>59046513</v>
      </c>
      <c r="Q46" s="46">
        <f t="shared" si="16"/>
        <v>38.303811600285691</v>
      </c>
    </row>
    <row r="47" spans="1:17">
      <c r="A47" s="11"/>
      <c r="B47" s="24">
        <v>335.13</v>
      </c>
      <c r="C47" s="19" t="s">
        <v>205</v>
      </c>
      <c r="D47" s="45">
        <v>572485</v>
      </c>
      <c r="E47" s="45">
        <v>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v>0</v>
      </c>
      <c r="O47" s="45">
        <v>0</v>
      </c>
      <c r="P47" s="45">
        <f t="shared" si="15"/>
        <v>572485</v>
      </c>
      <c r="Q47" s="46">
        <f t="shared" si="16"/>
        <v>0.37137430256024695</v>
      </c>
    </row>
    <row r="48" spans="1:17">
      <c r="A48" s="11"/>
      <c r="B48" s="24">
        <v>335.14</v>
      </c>
      <c r="C48" s="19" t="s">
        <v>206</v>
      </c>
      <c r="D48" s="45">
        <v>384302</v>
      </c>
      <c r="E48" s="45">
        <v>0</v>
      </c>
      <c r="F48" s="45">
        <v>0</v>
      </c>
      <c r="G48" s="45">
        <v>0</v>
      </c>
      <c r="H48" s="45">
        <v>0</v>
      </c>
      <c r="I48" s="45">
        <v>0</v>
      </c>
      <c r="J48" s="45">
        <v>0</v>
      </c>
      <c r="K48" s="45">
        <v>0</v>
      </c>
      <c r="L48" s="45">
        <v>0</v>
      </c>
      <c r="M48" s="45">
        <v>0</v>
      </c>
      <c r="N48" s="45">
        <v>0</v>
      </c>
      <c r="O48" s="45">
        <v>0</v>
      </c>
      <c r="P48" s="45">
        <f t="shared" si="15"/>
        <v>384302</v>
      </c>
      <c r="Q48" s="46">
        <f t="shared" si="16"/>
        <v>0.24929891127716536</v>
      </c>
    </row>
    <row r="49" spans="1:17">
      <c r="A49" s="11"/>
      <c r="B49" s="24">
        <v>335.15</v>
      </c>
      <c r="C49" s="19" t="s">
        <v>207</v>
      </c>
      <c r="D49" s="45">
        <v>573986</v>
      </c>
      <c r="E49" s="45">
        <v>0</v>
      </c>
      <c r="F49" s="45">
        <v>0</v>
      </c>
      <c r="G49" s="45">
        <v>0</v>
      </c>
      <c r="H49" s="45">
        <v>0</v>
      </c>
      <c r="I49" s="45">
        <v>0</v>
      </c>
      <c r="J49" s="45">
        <v>0</v>
      </c>
      <c r="K49" s="45">
        <v>0</v>
      </c>
      <c r="L49" s="45">
        <v>0</v>
      </c>
      <c r="M49" s="45">
        <v>0</v>
      </c>
      <c r="N49" s="45">
        <v>0</v>
      </c>
      <c r="O49" s="45">
        <v>0</v>
      </c>
      <c r="P49" s="45">
        <f t="shared" si="15"/>
        <v>573986</v>
      </c>
      <c r="Q49" s="46">
        <f t="shared" si="16"/>
        <v>0.37234800986811162</v>
      </c>
    </row>
    <row r="50" spans="1:17">
      <c r="A50" s="11"/>
      <c r="B50" s="24">
        <v>335.16</v>
      </c>
      <c r="C50" s="19" t="s">
        <v>314</v>
      </c>
      <c r="D50" s="45">
        <v>446500</v>
      </c>
      <c r="E50" s="45">
        <v>0</v>
      </c>
      <c r="F50" s="45">
        <v>0</v>
      </c>
      <c r="G50" s="45">
        <v>0</v>
      </c>
      <c r="H50" s="45">
        <v>0</v>
      </c>
      <c r="I50" s="45">
        <v>0</v>
      </c>
      <c r="J50" s="45">
        <v>0</v>
      </c>
      <c r="K50" s="45">
        <v>0</v>
      </c>
      <c r="L50" s="45">
        <v>0</v>
      </c>
      <c r="M50" s="45">
        <v>0</v>
      </c>
      <c r="N50" s="45">
        <v>0</v>
      </c>
      <c r="O50" s="45">
        <v>0</v>
      </c>
      <c r="P50" s="45">
        <f t="shared" si="15"/>
        <v>446500</v>
      </c>
      <c r="Q50" s="46">
        <f t="shared" si="16"/>
        <v>0.28964711056735154</v>
      </c>
    </row>
    <row r="51" spans="1:17">
      <c r="A51" s="11"/>
      <c r="B51" s="24">
        <v>335.17</v>
      </c>
      <c r="C51" s="19" t="s">
        <v>209</v>
      </c>
      <c r="D51" s="45">
        <v>2507724</v>
      </c>
      <c r="E51" s="45">
        <v>0</v>
      </c>
      <c r="F51" s="45">
        <v>0</v>
      </c>
      <c r="G51" s="45">
        <v>0</v>
      </c>
      <c r="H51" s="45">
        <v>0</v>
      </c>
      <c r="I51" s="45">
        <v>0</v>
      </c>
      <c r="J51" s="45">
        <v>0</v>
      </c>
      <c r="K51" s="45">
        <v>0</v>
      </c>
      <c r="L51" s="45">
        <v>0</v>
      </c>
      <c r="M51" s="45">
        <v>0</v>
      </c>
      <c r="N51" s="45">
        <v>0</v>
      </c>
      <c r="O51" s="45">
        <v>0</v>
      </c>
      <c r="P51" s="45">
        <f t="shared" si="15"/>
        <v>2507724</v>
      </c>
      <c r="Q51" s="46">
        <f t="shared" si="16"/>
        <v>1.6267749399785019</v>
      </c>
    </row>
    <row r="52" spans="1:17">
      <c r="A52" s="11"/>
      <c r="B52" s="24">
        <v>335.18</v>
      </c>
      <c r="C52" s="19" t="s">
        <v>315</v>
      </c>
      <c r="D52" s="45">
        <v>0</v>
      </c>
      <c r="E52" s="45">
        <v>159142671</v>
      </c>
      <c r="F52" s="45">
        <v>0</v>
      </c>
      <c r="G52" s="45">
        <v>0</v>
      </c>
      <c r="H52" s="45">
        <v>0</v>
      </c>
      <c r="I52" s="45">
        <v>0</v>
      </c>
      <c r="J52" s="45">
        <v>0</v>
      </c>
      <c r="K52" s="45">
        <v>0</v>
      </c>
      <c r="L52" s="45">
        <v>0</v>
      </c>
      <c r="M52" s="45">
        <v>0</v>
      </c>
      <c r="N52" s="45">
        <v>0</v>
      </c>
      <c r="O52" s="45">
        <v>0</v>
      </c>
      <c r="P52" s="45">
        <f t="shared" si="15"/>
        <v>159142671</v>
      </c>
      <c r="Q52" s="46">
        <f t="shared" si="16"/>
        <v>103.2367633216588</v>
      </c>
    </row>
    <row r="53" spans="1:17">
      <c r="A53" s="11"/>
      <c r="B53" s="24">
        <v>335.21</v>
      </c>
      <c r="C53" s="19" t="s">
        <v>55</v>
      </c>
      <c r="D53" s="45">
        <v>482422</v>
      </c>
      <c r="E53" s="45">
        <v>0</v>
      </c>
      <c r="F53" s="45">
        <v>0</v>
      </c>
      <c r="G53" s="45">
        <v>0</v>
      </c>
      <c r="H53" s="45">
        <v>0</v>
      </c>
      <c r="I53" s="45">
        <v>0</v>
      </c>
      <c r="J53" s="45">
        <v>0</v>
      </c>
      <c r="K53" s="45">
        <v>0</v>
      </c>
      <c r="L53" s="45">
        <v>0</v>
      </c>
      <c r="M53" s="45">
        <v>0</v>
      </c>
      <c r="N53" s="45">
        <v>0</v>
      </c>
      <c r="O53" s="45">
        <v>0</v>
      </c>
      <c r="P53" s="45">
        <f t="shared" si="15"/>
        <v>482422</v>
      </c>
      <c r="Q53" s="46">
        <f t="shared" si="16"/>
        <v>0.31294991797115984</v>
      </c>
    </row>
    <row r="54" spans="1:17">
      <c r="A54" s="11"/>
      <c r="B54" s="24">
        <v>335.22</v>
      </c>
      <c r="C54" s="19" t="s">
        <v>56</v>
      </c>
      <c r="D54" s="45">
        <v>0</v>
      </c>
      <c r="E54" s="45">
        <v>8219567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f t="shared" si="15"/>
        <v>8219567</v>
      </c>
      <c r="Q54" s="46">
        <f t="shared" si="16"/>
        <v>5.3320802500890352</v>
      </c>
    </row>
    <row r="55" spans="1:17">
      <c r="A55" s="11"/>
      <c r="B55" s="24">
        <v>335.23</v>
      </c>
      <c r="C55" s="19" t="s">
        <v>171</v>
      </c>
      <c r="D55" s="45">
        <v>0</v>
      </c>
      <c r="E55" s="45">
        <v>130834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v>0</v>
      </c>
      <c r="O55" s="45">
        <v>0</v>
      </c>
      <c r="P55" s="45">
        <f t="shared" si="15"/>
        <v>130834</v>
      </c>
      <c r="Q55" s="46">
        <f t="shared" si="16"/>
        <v>8.4872766100714161E-2</v>
      </c>
    </row>
    <row r="56" spans="1:17">
      <c r="A56" s="11"/>
      <c r="B56" s="24">
        <v>335.29</v>
      </c>
      <c r="C56" s="19" t="s">
        <v>57</v>
      </c>
      <c r="D56" s="45">
        <v>9067</v>
      </c>
      <c r="E56" s="45">
        <v>0</v>
      </c>
      <c r="F56" s="45">
        <v>0</v>
      </c>
      <c r="G56" s="45">
        <v>0</v>
      </c>
      <c r="H56" s="45">
        <v>0</v>
      </c>
      <c r="I56" s="45">
        <v>0</v>
      </c>
      <c r="J56" s="45">
        <v>0</v>
      </c>
      <c r="K56" s="45">
        <v>0</v>
      </c>
      <c r="L56" s="45">
        <v>0</v>
      </c>
      <c r="M56" s="45">
        <v>0</v>
      </c>
      <c r="N56" s="45">
        <v>0</v>
      </c>
      <c r="O56" s="45">
        <v>0</v>
      </c>
      <c r="P56" s="45">
        <f t="shared" si="15"/>
        <v>9067</v>
      </c>
      <c r="Q56" s="46">
        <f t="shared" si="16"/>
        <v>5.8818148970082341E-3</v>
      </c>
    </row>
    <row r="57" spans="1:17">
      <c r="A57" s="11"/>
      <c r="B57" s="24">
        <v>335.38</v>
      </c>
      <c r="C57" s="19" t="s">
        <v>58</v>
      </c>
      <c r="D57" s="45">
        <v>0</v>
      </c>
      <c r="E57" s="45">
        <v>1369664</v>
      </c>
      <c r="F57" s="45">
        <v>0</v>
      </c>
      <c r="G57" s="45">
        <v>0</v>
      </c>
      <c r="H57" s="45">
        <v>0</v>
      </c>
      <c r="I57" s="45">
        <v>0</v>
      </c>
      <c r="J57" s="45">
        <v>0</v>
      </c>
      <c r="K57" s="45">
        <v>0</v>
      </c>
      <c r="L57" s="45">
        <v>0</v>
      </c>
      <c r="M57" s="45">
        <v>0</v>
      </c>
      <c r="N57" s="45">
        <v>0</v>
      </c>
      <c r="O57" s="45">
        <v>0</v>
      </c>
      <c r="P57" s="45">
        <f t="shared" ref="P57:P66" si="17">SUM(D57:O57)</f>
        <v>1369664</v>
      </c>
      <c r="Q57" s="46">
        <f t="shared" si="16"/>
        <v>0.88850889148515344</v>
      </c>
    </row>
    <row r="58" spans="1:17">
      <c r="A58" s="11"/>
      <c r="B58" s="24">
        <v>335.43</v>
      </c>
      <c r="C58" s="19" t="s">
        <v>316</v>
      </c>
      <c r="D58" s="45">
        <v>0</v>
      </c>
      <c r="E58" s="45">
        <v>11843218</v>
      </c>
      <c r="F58" s="45">
        <v>0</v>
      </c>
      <c r="G58" s="45">
        <v>0</v>
      </c>
      <c r="H58" s="45">
        <v>0</v>
      </c>
      <c r="I58" s="45">
        <v>0</v>
      </c>
      <c r="J58" s="45">
        <v>0</v>
      </c>
      <c r="K58" s="45">
        <v>0</v>
      </c>
      <c r="L58" s="45">
        <v>0</v>
      </c>
      <c r="M58" s="45">
        <v>0</v>
      </c>
      <c r="N58" s="45">
        <v>0</v>
      </c>
      <c r="O58" s="45">
        <v>0</v>
      </c>
      <c r="P58" s="45">
        <f t="shared" si="17"/>
        <v>11843218</v>
      </c>
      <c r="Q58" s="46">
        <f t="shared" si="16"/>
        <v>7.68276343453359</v>
      </c>
    </row>
    <row r="59" spans="1:17">
      <c r="A59" s="11"/>
      <c r="B59" s="24">
        <v>335.44</v>
      </c>
      <c r="C59" s="19" t="s">
        <v>317</v>
      </c>
      <c r="D59" s="45">
        <v>0</v>
      </c>
      <c r="E59" s="45">
        <v>5752567</v>
      </c>
      <c r="F59" s="45">
        <v>0</v>
      </c>
      <c r="G59" s="45">
        <v>0</v>
      </c>
      <c r="H59" s="45">
        <v>0</v>
      </c>
      <c r="I59" s="45">
        <v>0</v>
      </c>
      <c r="J59" s="45">
        <v>0</v>
      </c>
      <c r="K59" s="45">
        <v>0</v>
      </c>
      <c r="L59" s="45">
        <v>0</v>
      </c>
      <c r="M59" s="45">
        <v>0</v>
      </c>
      <c r="N59" s="45">
        <v>0</v>
      </c>
      <c r="O59" s="45">
        <v>0</v>
      </c>
      <c r="P59" s="45">
        <f t="shared" si="17"/>
        <v>5752567</v>
      </c>
      <c r="Q59" s="46">
        <f t="shared" si="16"/>
        <v>3.7317232024526268</v>
      </c>
    </row>
    <row r="60" spans="1:17">
      <c r="A60" s="11"/>
      <c r="B60" s="24">
        <v>335.48</v>
      </c>
      <c r="C60" s="19" t="s">
        <v>59</v>
      </c>
      <c r="D60" s="45">
        <v>0</v>
      </c>
      <c r="E60" s="45">
        <v>734051</v>
      </c>
      <c r="F60" s="45">
        <v>0</v>
      </c>
      <c r="G60" s="45">
        <v>0</v>
      </c>
      <c r="H60" s="45">
        <v>0</v>
      </c>
      <c r="I60" s="45">
        <v>0</v>
      </c>
      <c r="J60" s="45">
        <v>0</v>
      </c>
      <c r="K60" s="45">
        <v>0</v>
      </c>
      <c r="L60" s="45">
        <v>0</v>
      </c>
      <c r="M60" s="45">
        <v>0</v>
      </c>
      <c r="N60" s="45">
        <v>0</v>
      </c>
      <c r="O60" s="45">
        <v>0</v>
      </c>
      <c r="P60" s="45">
        <f t="shared" si="17"/>
        <v>734051</v>
      </c>
      <c r="Q60" s="46">
        <f t="shared" si="16"/>
        <v>0.47618309330139968</v>
      </c>
    </row>
    <row r="61" spans="1:17">
      <c r="A61" s="11"/>
      <c r="B61" s="24">
        <v>335.5</v>
      </c>
      <c r="C61" s="19" t="s">
        <v>60</v>
      </c>
      <c r="D61" s="45">
        <v>0</v>
      </c>
      <c r="E61" s="45">
        <v>9070845</v>
      </c>
      <c r="F61" s="45">
        <v>0</v>
      </c>
      <c r="G61" s="45">
        <v>0</v>
      </c>
      <c r="H61" s="45">
        <v>0</v>
      </c>
      <c r="I61" s="45">
        <v>0</v>
      </c>
      <c r="J61" s="45">
        <v>0</v>
      </c>
      <c r="K61" s="45">
        <v>0</v>
      </c>
      <c r="L61" s="45">
        <v>0</v>
      </c>
      <c r="M61" s="45">
        <v>0</v>
      </c>
      <c r="N61" s="45">
        <v>0</v>
      </c>
      <c r="O61" s="45">
        <v>0</v>
      </c>
      <c r="P61" s="45">
        <f t="shared" si="17"/>
        <v>9070845</v>
      </c>
      <c r="Q61" s="46">
        <f t="shared" si="16"/>
        <v>5.8843091705583603</v>
      </c>
    </row>
    <row r="62" spans="1:17">
      <c r="A62" s="11"/>
      <c r="B62" s="24">
        <v>335.69</v>
      </c>
      <c r="C62" s="19" t="s">
        <v>61</v>
      </c>
      <c r="D62" s="45">
        <v>0</v>
      </c>
      <c r="E62" s="45">
        <v>0</v>
      </c>
      <c r="F62" s="45">
        <v>0</v>
      </c>
      <c r="G62" s="45">
        <v>0</v>
      </c>
      <c r="H62" s="45">
        <v>0</v>
      </c>
      <c r="I62" s="45">
        <v>0</v>
      </c>
      <c r="J62" s="45">
        <v>62129</v>
      </c>
      <c r="K62" s="45">
        <v>0</v>
      </c>
      <c r="L62" s="45">
        <v>0</v>
      </c>
      <c r="M62" s="45">
        <v>0</v>
      </c>
      <c r="N62" s="45">
        <v>0</v>
      </c>
      <c r="O62" s="45">
        <v>0</v>
      </c>
      <c r="P62" s="45">
        <f t="shared" si="17"/>
        <v>62129</v>
      </c>
      <c r="Q62" s="46">
        <f t="shared" si="16"/>
        <v>4.0303438594488206E-2</v>
      </c>
    </row>
    <row r="63" spans="1:17">
      <c r="A63" s="11"/>
      <c r="B63" s="24">
        <v>335.7</v>
      </c>
      <c r="C63" s="19" t="s">
        <v>62</v>
      </c>
      <c r="D63" s="45">
        <v>0</v>
      </c>
      <c r="E63" s="45">
        <v>2312133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0</v>
      </c>
      <c r="N63" s="45">
        <v>0</v>
      </c>
      <c r="O63" s="45">
        <v>0</v>
      </c>
      <c r="P63" s="45">
        <f t="shared" si="17"/>
        <v>2312133</v>
      </c>
      <c r="Q63" s="46">
        <f t="shared" si="16"/>
        <v>1.4998939366123678</v>
      </c>
    </row>
    <row r="64" spans="1:17">
      <c r="A64" s="11"/>
      <c r="B64" s="24">
        <v>337.1</v>
      </c>
      <c r="C64" s="19" t="s">
        <v>64</v>
      </c>
      <c r="D64" s="45">
        <v>0</v>
      </c>
      <c r="E64" s="45">
        <v>1720</v>
      </c>
      <c r="F64" s="45">
        <v>0</v>
      </c>
      <c r="G64" s="45">
        <v>0</v>
      </c>
      <c r="H64" s="45">
        <v>0</v>
      </c>
      <c r="I64" s="45">
        <v>0</v>
      </c>
      <c r="J64" s="45">
        <v>0</v>
      </c>
      <c r="K64" s="45">
        <v>0</v>
      </c>
      <c r="L64" s="45">
        <v>0</v>
      </c>
      <c r="M64" s="45">
        <v>0</v>
      </c>
      <c r="N64" s="45">
        <v>0</v>
      </c>
      <c r="O64" s="45">
        <v>5215974</v>
      </c>
      <c r="P64" s="45">
        <f t="shared" si="17"/>
        <v>5217694</v>
      </c>
      <c r="Q64" s="46">
        <f t="shared" si="16"/>
        <v>3.3847480199879212</v>
      </c>
    </row>
    <row r="65" spans="1:17">
      <c r="A65" s="11"/>
      <c r="B65" s="24">
        <v>337.3</v>
      </c>
      <c r="C65" s="19" t="s">
        <v>66</v>
      </c>
      <c r="D65" s="45">
        <v>0</v>
      </c>
      <c r="E65" s="45">
        <v>901825</v>
      </c>
      <c r="F65" s="45">
        <v>0</v>
      </c>
      <c r="G65" s="45">
        <v>0</v>
      </c>
      <c r="H65" s="45">
        <v>0</v>
      </c>
      <c r="I65" s="45">
        <v>-2539000</v>
      </c>
      <c r="J65" s="45">
        <v>0</v>
      </c>
      <c r="K65" s="45">
        <v>0</v>
      </c>
      <c r="L65" s="45">
        <v>0</v>
      </c>
      <c r="M65" s="45">
        <v>0</v>
      </c>
      <c r="N65" s="45">
        <v>0</v>
      </c>
      <c r="O65" s="45">
        <v>0</v>
      </c>
      <c r="P65" s="45">
        <f t="shared" si="17"/>
        <v>-1637175</v>
      </c>
      <c r="Q65" s="46">
        <f t="shared" si="16"/>
        <v>-1.0620448112947454</v>
      </c>
    </row>
    <row r="66" spans="1:17">
      <c r="A66" s="11"/>
      <c r="B66" s="24">
        <v>337.5</v>
      </c>
      <c r="C66" s="19" t="s">
        <v>67</v>
      </c>
      <c r="D66" s="45">
        <v>0</v>
      </c>
      <c r="E66" s="45">
        <v>85258</v>
      </c>
      <c r="F66" s="45">
        <v>0</v>
      </c>
      <c r="G66" s="45">
        <v>0</v>
      </c>
      <c r="H66" s="45">
        <v>0</v>
      </c>
      <c r="I66" s="45">
        <v>0</v>
      </c>
      <c r="J66" s="45">
        <v>0</v>
      </c>
      <c r="K66" s="45">
        <v>0</v>
      </c>
      <c r="L66" s="45">
        <v>0</v>
      </c>
      <c r="M66" s="45">
        <v>0</v>
      </c>
      <c r="N66" s="45">
        <v>0</v>
      </c>
      <c r="O66" s="45">
        <v>1785000</v>
      </c>
      <c r="P66" s="45">
        <f t="shared" si="17"/>
        <v>1870258</v>
      </c>
      <c r="Q66" s="46">
        <f t="shared" si="16"/>
        <v>1.2132470900682504</v>
      </c>
    </row>
    <row r="67" spans="1:17" ht="15.75">
      <c r="A67" s="28" t="s">
        <v>75</v>
      </c>
      <c r="B67" s="29"/>
      <c r="C67" s="30"/>
      <c r="D67" s="31">
        <f t="shared" ref="D67:O67" si="18">SUM(D68:D102)</f>
        <v>119956045</v>
      </c>
      <c r="E67" s="31">
        <f t="shared" si="18"/>
        <v>15551432</v>
      </c>
      <c r="F67" s="31">
        <f t="shared" si="18"/>
        <v>553847</v>
      </c>
      <c r="G67" s="31">
        <f t="shared" si="18"/>
        <v>0</v>
      </c>
      <c r="H67" s="31">
        <f t="shared" si="18"/>
        <v>0</v>
      </c>
      <c r="I67" s="31">
        <f t="shared" si="18"/>
        <v>591144632</v>
      </c>
      <c r="J67" s="31">
        <f t="shared" si="18"/>
        <v>256840235</v>
      </c>
      <c r="K67" s="31">
        <f t="shared" ref="K67" si="19">SUM(K68:K102)</f>
        <v>0</v>
      </c>
      <c r="L67" s="31">
        <f t="shared" ref="L67" si="20">SUM(L68:L102)</f>
        <v>0</v>
      </c>
      <c r="M67" s="31">
        <f t="shared" si="18"/>
        <v>0</v>
      </c>
      <c r="N67" s="31">
        <f t="shared" ref="N67" si="21">SUM(N68:N102)</f>
        <v>0</v>
      </c>
      <c r="O67" s="31">
        <f t="shared" si="18"/>
        <v>2170123</v>
      </c>
      <c r="P67" s="31">
        <f>SUM(D67:O67)</f>
        <v>986216314</v>
      </c>
      <c r="Q67" s="44">
        <f t="shared" si="16"/>
        <v>639.76417859906803</v>
      </c>
    </row>
    <row r="68" spans="1:17">
      <c r="A68" s="11"/>
      <c r="B68" s="24">
        <v>341.16</v>
      </c>
      <c r="C68" s="19" t="s">
        <v>214</v>
      </c>
      <c r="D68" s="45">
        <v>0</v>
      </c>
      <c r="E68" s="45">
        <v>2085561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</v>
      </c>
      <c r="L68" s="45">
        <v>0</v>
      </c>
      <c r="M68" s="45">
        <v>0</v>
      </c>
      <c r="N68" s="45">
        <v>0</v>
      </c>
      <c r="O68" s="45">
        <v>0</v>
      </c>
      <c r="P68" s="45">
        <f t="shared" ref="P68:P102" si="22">SUM(D68:O68)</f>
        <v>2085561</v>
      </c>
      <c r="Q68" s="46">
        <f t="shared" si="16"/>
        <v>1.3529153808778416</v>
      </c>
    </row>
    <row r="69" spans="1:17">
      <c r="A69" s="11"/>
      <c r="B69" s="24">
        <v>341.2</v>
      </c>
      <c r="C69" s="19" t="s">
        <v>215</v>
      </c>
      <c r="D69" s="45">
        <v>0</v>
      </c>
      <c r="E69" s="45">
        <v>0</v>
      </c>
      <c r="F69" s="45">
        <v>0</v>
      </c>
      <c r="G69" s="45">
        <v>0</v>
      </c>
      <c r="H69" s="45">
        <v>0</v>
      </c>
      <c r="I69" s="45">
        <v>-832000</v>
      </c>
      <c r="J69" s="45">
        <v>225205370</v>
      </c>
      <c r="K69" s="45">
        <v>0</v>
      </c>
      <c r="L69" s="45">
        <v>0</v>
      </c>
      <c r="M69" s="45">
        <v>0</v>
      </c>
      <c r="N69" s="45">
        <v>0</v>
      </c>
      <c r="O69" s="45">
        <v>0</v>
      </c>
      <c r="P69" s="45">
        <f t="shared" si="22"/>
        <v>224373370</v>
      </c>
      <c r="Q69" s="46">
        <f t="shared" ref="Q69:Q100" si="23">(P69/Q$134)</f>
        <v>145.55229184492561</v>
      </c>
    </row>
    <row r="70" spans="1:17">
      <c r="A70" s="11"/>
      <c r="B70" s="24">
        <v>341.3</v>
      </c>
      <c r="C70" s="19" t="s">
        <v>216</v>
      </c>
      <c r="D70" s="45">
        <v>84959</v>
      </c>
      <c r="E70" s="45">
        <v>840</v>
      </c>
      <c r="F70" s="45">
        <v>0</v>
      </c>
      <c r="G70" s="45">
        <v>0</v>
      </c>
      <c r="H70" s="45">
        <v>0</v>
      </c>
      <c r="I70" s="45">
        <v>0</v>
      </c>
      <c r="J70" s="45">
        <v>0</v>
      </c>
      <c r="K70" s="45">
        <v>0</v>
      </c>
      <c r="L70" s="45">
        <v>0</v>
      </c>
      <c r="M70" s="45">
        <v>0</v>
      </c>
      <c r="N70" s="45">
        <v>0</v>
      </c>
      <c r="O70" s="45">
        <v>0</v>
      </c>
      <c r="P70" s="45">
        <f t="shared" si="22"/>
        <v>85799</v>
      </c>
      <c r="Q70" s="46">
        <f t="shared" si="23"/>
        <v>5.5658303336098981E-2</v>
      </c>
    </row>
    <row r="71" spans="1:17">
      <c r="A71" s="11"/>
      <c r="B71" s="24">
        <v>341.52</v>
      </c>
      <c r="C71" s="19" t="s">
        <v>217</v>
      </c>
      <c r="D71" s="45">
        <v>460377</v>
      </c>
      <c r="E71" s="45">
        <v>139793</v>
      </c>
      <c r="F71" s="45">
        <v>0</v>
      </c>
      <c r="G71" s="45">
        <v>0</v>
      </c>
      <c r="H71" s="45">
        <v>0</v>
      </c>
      <c r="I71" s="45">
        <v>0</v>
      </c>
      <c r="J71" s="45">
        <v>0</v>
      </c>
      <c r="K71" s="45">
        <v>0</v>
      </c>
      <c r="L71" s="45">
        <v>0</v>
      </c>
      <c r="M71" s="45">
        <v>0</v>
      </c>
      <c r="N71" s="45">
        <v>0</v>
      </c>
      <c r="O71" s="45">
        <v>0</v>
      </c>
      <c r="P71" s="45">
        <f t="shared" si="22"/>
        <v>600170</v>
      </c>
      <c r="Q71" s="46">
        <f t="shared" si="23"/>
        <v>0.38933372082689222</v>
      </c>
    </row>
    <row r="72" spans="1:17">
      <c r="A72" s="11"/>
      <c r="B72" s="24">
        <v>341.55</v>
      </c>
      <c r="C72" s="19" t="s">
        <v>218</v>
      </c>
      <c r="D72" s="45">
        <v>143861</v>
      </c>
      <c r="E72" s="45">
        <v>0</v>
      </c>
      <c r="F72" s="45">
        <v>0</v>
      </c>
      <c r="G72" s="45">
        <v>0</v>
      </c>
      <c r="H72" s="45">
        <v>0</v>
      </c>
      <c r="I72" s="45">
        <v>0</v>
      </c>
      <c r="J72" s="45">
        <v>0</v>
      </c>
      <c r="K72" s="45">
        <v>0</v>
      </c>
      <c r="L72" s="45">
        <v>0</v>
      </c>
      <c r="M72" s="45">
        <v>0</v>
      </c>
      <c r="N72" s="45">
        <v>0</v>
      </c>
      <c r="O72" s="45">
        <v>0</v>
      </c>
      <c r="P72" s="45">
        <f t="shared" si="22"/>
        <v>143861</v>
      </c>
      <c r="Q72" s="46">
        <f t="shared" si="23"/>
        <v>9.3323455707345487E-2</v>
      </c>
    </row>
    <row r="73" spans="1:17">
      <c r="A73" s="11"/>
      <c r="B73" s="24">
        <v>341.9</v>
      </c>
      <c r="C73" s="19" t="s">
        <v>220</v>
      </c>
      <c r="D73" s="45">
        <v>70975594</v>
      </c>
      <c r="E73" s="45">
        <v>1693831</v>
      </c>
      <c r="F73" s="45">
        <v>0</v>
      </c>
      <c r="G73" s="45">
        <v>0</v>
      </c>
      <c r="H73" s="45">
        <v>0</v>
      </c>
      <c r="I73" s="45">
        <v>0</v>
      </c>
      <c r="J73" s="45">
        <v>8348805</v>
      </c>
      <c r="K73" s="45">
        <v>0</v>
      </c>
      <c r="L73" s="45">
        <v>0</v>
      </c>
      <c r="M73" s="45">
        <v>0</v>
      </c>
      <c r="N73" s="45">
        <v>0</v>
      </c>
      <c r="O73" s="45">
        <v>844656</v>
      </c>
      <c r="P73" s="45">
        <f t="shared" si="22"/>
        <v>81862886</v>
      </c>
      <c r="Q73" s="46">
        <f t="shared" si="23"/>
        <v>53.104923611656204</v>
      </c>
    </row>
    <row r="74" spans="1:17">
      <c r="A74" s="11"/>
      <c r="B74" s="24">
        <v>342.1</v>
      </c>
      <c r="C74" s="19" t="s">
        <v>87</v>
      </c>
      <c r="D74" s="45">
        <v>1256236</v>
      </c>
      <c r="E74" s="45">
        <v>0</v>
      </c>
      <c r="F74" s="45">
        <v>0</v>
      </c>
      <c r="G74" s="45">
        <v>0</v>
      </c>
      <c r="H74" s="45">
        <v>0</v>
      </c>
      <c r="I74" s="45">
        <v>0</v>
      </c>
      <c r="J74" s="45">
        <v>0</v>
      </c>
      <c r="K74" s="45">
        <v>0</v>
      </c>
      <c r="L74" s="45">
        <v>0</v>
      </c>
      <c r="M74" s="45">
        <v>0</v>
      </c>
      <c r="N74" s="45">
        <v>0</v>
      </c>
      <c r="O74" s="45">
        <v>0</v>
      </c>
      <c r="P74" s="45">
        <f t="shared" si="22"/>
        <v>1256236</v>
      </c>
      <c r="Q74" s="46">
        <f t="shared" si="23"/>
        <v>0.8149274974035553</v>
      </c>
    </row>
    <row r="75" spans="1:17">
      <c r="A75" s="11"/>
      <c r="B75" s="24">
        <v>342.2</v>
      </c>
      <c r="C75" s="19" t="s">
        <v>88</v>
      </c>
      <c r="D75" s="45">
        <v>1995542</v>
      </c>
      <c r="E75" s="45">
        <v>0</v>
      </c>
      <c r="F75" s="45">
        <v>0</v>
      </c>
      <c r="G75" s="45">
        <v>0</v>
      </c>
      <c r="H75" s="45">
        <v>0</v>
      </c>
      <c r="I75" s="45">
        <v>0</v>
      </c>
      <c r="J75" s="45">
        <v>0</v>
      </c>
      <c r="K75" s="45">
        <v>0</v>
      </c>
      <c r="L75" s="45">
        <v>0</v>
      </c>
      <c r="M75" s="45">
        <v>0</v>
      </c>
      <c r="N75" s="45">
        <v>0</v>
      </c>
      <c r="O75" s="45">
        <v>0</v>
      </c>
      <c r="P75" s="45">
        <f t="shared" si="22"/>
        <v>1995542</v>
      </c>
      <c r="Q75" s="46">
        <f t="shared" si="23"/>
        <v>1.2945195393410835</v>
      </c>
    </row>
    <row r="76" spans="1:17">
      <c r="A76" s="11"/>
      <c r="B76" s="24">
        <v>342.5</v>
      </c>
      <c r="C76" s="19" t="s">
        <v>90</v>
      </c>
      <c r="D76" s="45">
        <v>28528658</v>
      </c>
      <c r="E76" s="45">
        <v>0</v>
      </c>
      <c r="F76" s="45">
        <v>0</v>
      </c>
      <c r="G76" s="45">
        <v>0</v>
      </c>
      <c r="H76" s="45">
        <v>0</v>
      </c>
      <c r="I76" s="45">
        <v>0</v>
      </c>
      <c r="J76" s="45">
        <v>0</v>
      </c>
      <c r="K76" s="45">
        <v>0</v>
      </c>
      <c r="L76" s="45">
        <v>0</v>
      </c>
      <c r="M76" s="45">
        <v>0</v>
      </c>
      <c r="N76" s="45">
        <v>0</v>
      </c>
      <c r="O76" s="45">
        <v>0</v>
      </c>
      <c r="P76" s="45">
        <f t="shared" si="22"/>
        <v>28528658</v>
      </c>
      <c r="Q76" s="46">
        <f t="shared" si="23"/>
        <v>18.506704049415809</v>
      </c>
    </row>
    <row r="77" spans="1:17">
      <c r="A77" s="11"/>
      <c r="B77" s="24">
        <v>342.6</v>
      </c>
      <c r="C77" s="19" t="s">
        <v>91</v>
      </c>
      <c r="D77" s="45">
        <v>5187456</v>
      </c>
      <c r="E77" s="45">
        <v>0</v>
      </c>
      <c r="F77" s="45">
        <v>0</v>
      </c>
      <c r="G77" s="45">
        <v>0</v>
      </c>
      <c r="H77" s="45">
        <v>0</v>
      </c>
      <c r="I77" s="45">
        <v>0</v>
      </c>
      <c r="J77" s="45">
        <v>0</v>
      </c>
      <c r="K77" s="45">
        <v>0</v>
      </c>
      <c r="L77" s="45">
        <v>0</v>
      </c>
      <c r="M77" s="45">
        <v>0</v>
      </c>
      <c r="N77" s="45">
        <v>0</v>
      </c>
      <c r="O77" s="45">
        <v>0</v>
      </c>
      <c r="P77" s="45">
        <f t="shared" si="22"/>
        <v>5187456</v>
      </c>
      <c r="Q77" s="46">
        <f t="shared" si="23"/>
        <v>3.3651324559804507</v>
      </c>
    </row>
    <row r="78" spans="1:17">
      <c r="A78" s="11"/>
      <c r="B78" s="24">
        <v>342.9</v>
      </c>
      <c r="C78" s="19" t="s">
        <v>92</v>
      </c>
      <c r="D78" s="45">
        <v>508048</v>
      </c>
      <c r="E78" s="45">
        <v>1308080</v>
      </c>
      <c r="F78" s="45">
        <v>0</v>
      </c>
      <c r="G78" s="45">
        <v>0</v>
      </c>
      <c r="H78" s="45">
        <v>0</v>
      </c>
      <c r="I78" s="45">
        <v>0</v>
      </c>
      <c r="J78" s="45">
        <v>0</v>
      </c>
      <c r="K78" s="45">
        <v>0</v>
      </c>
      <c r="L78" s="45">
        <v>0</v>
      </c>
      <c r="M78" s="45">
        <v>0</v>
      </c>
      <c r="N78" s="45">
        <v>0</v>
      </c>
      <c r="O78" s="45">
        <v>0</v>
      </c>
      <c r="P78" s="45">
        <f t="shared" si="22"/>
        <v>1816128</v>
      </c>
      <c r="Q78" s="46">
        <f t="shared" si="23"/>
        <v>1.1781326486460537</v>
      </c>
    </row>
    <row r="79" spans="1:17">
      <c r="A79" s="11"/>
      <c r="B79" s="24">
        <v>343.4</v>
      </c>
      <c r="C79" s="19" t="s">
        <v>93</v>
      </c>
      <c r="D79" s="45">
        <v>0</v>
      </c>
      <c r="E79" s="45">
        <v>0</v>
      </c>
      <c r="F79" s="45">
        <v>0</v>
      </c>
      <c r="G79" s="45">
        <v>0</v>
      </c>
      <c r="H79" s="45">
        <v>0</v>
      </c>
      <c r="I79" s="45">
        <v>205655882</v>
      </c>
      <c r="J79" s="45">
        <v>0</v>
      </c>
      <c r="K79" s="45">
        <v>0</v>
      </c>
      <c r="L79" s="45">
        <v>0</v>
      </c>
      <c r="M79" s="45">
        <v>0</v>
      </c>
      <c r="N79" s="45">
        <v>0</v>
      </c>
      <c r="O79" s="45">
        <v>0</v>
      </c>
      <c r="P79" s="45">
        <f t="shared" si="22"/>
        <v>205655882</v>
      </c>
      <c r="Q79" s="46">
        <f t="shared" si="23"/>
        <v>133.41015003914939</v>
      </c>
    </row>
    <row r="80" spans="1:17">
      <c r="A80" s="11"/>
      <c r="B80" s="24">
        <v>343.6</v>
      </c>
      <c r="C80" s="19" t="s">
        <v>94</v>
      </c>
      <c r="D80" s="45">
        <v>0</v>
      </c>
      <c r="E80" s="45">
        <v>0</v>
      </c>
      <c r="F80" s="45">
        <v>0</v>
      </c>
      <c r="G80" s="45">
        <v>0</v>
      </c>
      <c r="H80" s="45">
        <v>0</v>
      </c>
      <c r="I80" s="45">
        <v>386315243</v>
      </c>
      <c r="J80" s="45">
        <v>0</v>
      </c>
      <c r="K80" s="45">
        <v>0</v>
      </c>
      <c r="L80" s="45">
        <v>0</v>
      </c>
      <c r="M80" s="45">
        <v>0</v>
      </c>
      <c r="N80" s="45">
        <v>0</v>
      </c>
      <c r="O80" s="45">
        <v>0</v>
      </c>
      <c r="P80" s="45">
        <f t="shared" si="22"/>
        <v>386315243</v>
      </c>
      <c r="Q80" s="46">
        <f t="shared" si="23"/>
        <v>250.60491355671732</v>
      </c>
    </row>
    <row r="81" spans="1:17">
      <c r="A81" s="11"/>
      <c r="B81" s="24">
        <v>343.7</v>
      </c>
      <c r="C81" s="19" t="s">
        <v>95</v>
      </c>
      <c r="D81" s="45">
        <v>2060329</v>
      </c>
      <c r="E81" s="45">
        <v>1927839</v>
      </c>
      <c r="F81" s="45">
        <v>0</v>
      </c>
      <c r="G81" s="45">
        <v>0</v>
      </c>
      <c r="H81" s="45">
        <v>0</v>
      </c>
      <c r="I81" s="45">
        <v>0</v>
      </c>
      <c r="J81" s="45">
        <v>0</v>
      </c>
      <c r="K81" s="45">
        <v>0</v>
      </c>
      <c r="L81" s="45">
        <v>0</v>
      </c>
      <c r="M81" s="45">
        <v>0</v>
      </c>
      <c r="N81" s="45">
        <v>0</v>
      </c>
      <c r="O81" s="45">
        <v>348349</v>
      </c>
      <c r="P81" s="45">
        <f t="shared" si="22"/>
        <v>4336517</v>
      </c>
      <c r="Q81" s="46">
        <f t="shared" si="23"/>
        <v>2.8131234467552062</v>
      </c>
    </row>
    <row r="82" spans="1:17">
      <c r="A82" s="11"/>
      <c r="B82" s="24">
        <v>343.9</v>
      </c>
      <c r="C82" s="19" t="s">
        <v>96</v>
      </c>
      <c r="D82" s="45">
        <v>1260619</v>
      </c>
      <c r="E82" s="45">
        <v>230856</v>
      </c>
      <c r="F82" s="45">
        <v>0</v>
      </c>
      <c r="G82" s="45">
        <v>0</v>
      </c>
      <c r="H82" s="45">
        <v>0</v>
      </c>
      <c r="I82" s="45">
        <v>0</v>
      </c>
      <c r="J82" s="45">
        <v>0</v>
      </c>
      <c r="K82" s="45">
        <v>0</v>
      </c>
      <c r="L82" s="45">
        <v>0</v>
      </c>
      <c r="M82" s="45">
        <v>0</v>
      </c>
      <c r="N82" s="45">
        <v>0</v>
      </c>
      <c r="O82" s="45">
        <v>0</v>
      </c>
      <c r="P82" s="45">
        <f t="shared" si="22"/>
        <v>1491475</v>
      </c>
      <c r="Q82" s="46">
        <f t="shared" si="23"/>
        <v>0.96752838574118849</v>
      </c>
    </row>
    <row r="83" spans="1:17">
      <c r="A83" s="11"/>
      <c r="B83" s="24">
        <v>344.5</v>
      </c>
      <c r="C83" s="19" t="s">
        <v>221</v>
      </c>
      <c r="D83" s="45">
        <v>655736</v>
      </c>
      <c r="E83" s="45">
        <v>0</v>
      </c>
      <c r="F83" s="45">
        <v>0</v>
      </c>
      <c r="G83" s="45">
        <v>0</v>
      </c>
      <c r="H83" s="45">
        <v>0</v>
      </c>
      <c r="I83" s="45">
        <v>5507</v>
      </c>
      <c r="J83" s="45">
        <v>1215</v>
      </c>
      <c r="K83" s="45">
        <v>0</v>
      </c>
      <c r="L83" s="45">
        <v>0</v>
      </c>
      <c r="M83" s="45">
        <v>0</v>
      </c>
      <c r="N83" s="45">
        <v>0</v>
      </c>
      <c r="O83" s="45">
        <v>0</v>
      </c>
      <c r="P83" s="45">
        <f t="shared" si="22"/>
        <v>662458</v>
      </c>
      <c r="Q83" s="46">
        <f t="shared" si="23"/>
        <v>0.4297403036332062</v>
      </c>
    </row>
    <row r="84" spans="1:17">
      <c r="A84" s="11"/>
      <c r="B84" s="24">
        <v>344.9</v>
      </c>
      <c r="C84" s="19" t="s">
        <v>222</v>
      </c>
      <c r="D84" s="45">
        <v>1710102</v>
      </c>
      <c r="E84" s="45">
        <v>1732233</v>
      </c>
      <c r="F84" s="45">
        <v>0</v>
      </c>
      <c r="G84" s="45">
        <v>0</v>
      </c>
      <c r="H84" s="45">
        <v>0</v>
      </c>
      <c r="I84" s="45">
        <v>0</v>
      </c>
      <c r="J84" s="45">
        <v>0</v>
      </c>
      <c r="K84" s="45">
        <v>0</v>
      </c>
      <c r="L84" s="45">
        <v>0</v>
      </c>
      <c r="M84" s="45">
        <v>0</v>
      </c>
      <c r="N84" s="45">
        <v>0</v>
      </c>
      <c r="O84" s="45">
        <v>0</v>
      </c>
      <c r="P84" s="45">
        <f t="shared" si="22"/>
        <v>3442335</v>
      </c>
      <c r="Q84" s="46">
        <f t="shared" si="23"/>
        <v>2.2330624554420249</v>
      </c>
    </row>
    <row r="85" spans="1:17">
      <c r="A85" s="11"/>
      <c r="B85" s="24">
        <v>345.1</v>
      </c>
      <c r="C85" s="19" t="s">
        <v>99</v>
      </c>
      <c r="D85" s="45">
        <v>0</v>
      </c>
      <c r="E85" s="45">
        <v>0</v>
      </c>
      <c r="F85" s="45">
        <v>0</v>
      </c>
      <c r="G85" s="45">
        <v>0</v>
      </c>
      <c r="H85" s="45">
        <v>0</v>
      </c>
      <c r="I85" s="45">
        <v>0</v>
      </c>
      <c r="J85" s="45">
        <v>0</v>
      </c>
      <c r="K85" s="45">
        <v>0</v>
      </c>
      <c r="L85" s="45">
        <v>0</v>
      </c>
      <c r="M85" s="45">
        <v>0</v>
      </c>
      <c r="N85" s="45">
        <v>0</v>
      </c>
      <c r="O85" s="45">
        <v>977118</v>
      </c>
      <c r="P85" s="45">
        <f t="shared" si="22"/>
        <v>977118</v>
      </c>
      <c r="Q85" s="46">
        <f t="shared" si="23"/>
        <v>0.63386205013068175</v>
      </c>
    </row>
    <row r="86" spans="1:17">
      <c r="A86" s="11"/>
      <c r="B86" s="24">
        <v>345.9</v>
      </c>
      <c r="C86" s="19" t="s">
        <v>100</v>
      </c>
      <c r="D86" s="45">
        <v>163975</v>
      </c>
      <c r="E86" s="45">
        <v>0</v>
      </c>
      <c r="F86" s="45">
        <v>0</v>
      </c>
      <c r="G86" s="45">
        <v>0</v>
      </c>
      <c r="H86" s="45">
        <v>0</v>
      </c>
      <c r="I86" s="45">
        <v>0</v>
      </c>
      <c r="J86" s="45">
        <v>0</v>
      </c>
      <c r="K86" s="45">
        <v>0</v>
      </c>
      <c r="L86" s="45">
        <v>0</v>
      </c>
      <c r="M86" s="45">
        <v>0</v>
      </c>
      <c r="N86" s="45">
        <v>0</v>
      </c>
      <c r="O86" s="45">
        <v>0</v>
      </c>
      <c r="P86" s="45">
        <f t="shared" si="22"/>
        <v>163975</v>
      </c>
      <c r="Q86" s="46">
        <f t="shared" si="23"/>
        <v>0.1063715228561735</v>
      </c>
    </row>
    <row r="87" spans="1:17">
      <c r="A87" s="11"/>
      <c r="B87" s="24">
        <v>346.4</v>
      </c>
      <c r="C87" s="19" t="s">
        <v>101</v>
      </c>
      <c r="D87" s="45">
        <v>21834</v>
      </c>
      <c r="E87" s="45">
        <v>0</v>
      </c>
      <c r="F87" s="45">
        <v>0</v>
      </c>
      <c r="G87" s="45">
        <v>0</v>
      </c>
      <c r="H87" s="45">
        <v>0</v>
      </c>
      <c r="I87" s="45">
        <v>0</v>
      </c>
      <c r="J87" s="45">
        <v>0</v>
      </c>
      <c r="K87" s="45">
        <v>0</v>
      </c>
      <c r="L87" s="45">
        <v>0</v>
      </c>
      <c r="M87" s="45">
        <v>0</v>
      </c>
      <c r="N87" s="45">
        <v>0</v>
      </c>
      <c r="O87" s="45">
        <v>0</v>
      </c>
      <c r="P87" s="45">
        <f t="shared" si="22"/>
        <v>21834</v>
      </c>
      <c r="Q87" s="46">
        <f t="shared" si="23"/>
        <v>1.4163841012603704E-2</v>
      </c>
    </row>
    <row r="88" spans="1:17">
      <c r="A88" s="11"/>
      <c r="B88" s="24">
        <v>346.9</v>
      </c>
      <c r="C88" s="19" t="s">
        <v>102</v>
      </c>
      <c r="D88" s="45">
        <v>553563</v>
      </c>
      <c r="E88" s="45">
        <v>306</v>
      </c>
      <c r="F88" s="45">
        <v>0</v>
      </c>
      <c r="G88" s="45">
        <v>0</v>
      </c>
      <c r="H88" s="45">
        <v>0</v>
      </c>
      <c r="I88" s="45">
        <v>0</v>
      </c>
      <c r="J88" s="45">
        <v>23284845</v>
      </c>
      <c r="K88" s="45">
        <v>0</v>
      </c>
      <c r="L88" s="45">
        <v>0</v>
      </c>
      <c r="M88" s="45">
        <v>0</v>
      </c>
      <c r="N88" s="45">
        <v>0</v>
      </c>
      <c r="O88" s="45">
        <v>0</v>
      </c>
      <c r="P88" s="45">
        <f t="shared" si="22"/>
        <v>23838714</v>
      </c>
      <c r="Q88" s="46">
        <f t="shared" si="23"/>
        <v>15.464310480943945</v>
      </c>
    </row>
    <row r="89" spans="1:17">
      <c r="A89" s="11"/>
      <c r="B89" s="24">
        <v>347.1</v>
      </c>
      <c r="C89" s="19" t="s">
        <v>103</v>
      </c>
      <c r="D89" s="45">
        <v>0</v>
      </c>
      <c r="E89" s="45">
        <v>98086</v>
      </c>
      <c r="F89" s="45">
        <v>0</v>
      </c>
      <c r="G89" s="45">
        <v>0</v>
      </c>
      <c r="H89" s="45">
        <v>0</v>
      </c>
      <c r="I89" s="45">
        <v>0</v>
      </c>
      <c r="J89" s="45">
        <v>0</v>
      </c>
      <c r="K89" s="45">
        <v>0</v>
      </c>
      <c r="L89" s="45">
        <v>0</v>
      </c>
      <c r="M89" s="45">
        <v>0</v>
      </c>
      <c r="N89" s="45">
        <v>0</v>
      </c>
      <c r="O89" s="45">
        <v>0</v>
      </c>
      <c r="P89" s="45">
        <f t="shared" si="22"/>
        <v>98086</v>
      </c>
      <c r="Q89" s="46">
        <f t="shared" si="23"/>
        <v>6.3628950699012865E-2</v>
      </c>
    </row>
    <row r="90" spans="1:17">
      <c r="A90" s="11"/>
      <c r="B90" s="24">
        <v>347.2</v>
      </c>
      <c r="C90" s="19" t="s">
        <v>104</v>
      </c>
      <c r="D90" s="45">
        <v>4009027</v>
      </c>
      <c r="E90" s="45">
        <v>0</v>
      </c>
      <c r="F90" s="45">
        <v>0</v>
      </c>
      <c r="G90" s="45">
        <v>0</v>
      </c>
      <c r="H90" s="45">
        <v>0</v>
      </c>
      <c r="I90" s="45">
        <v>0</v>
      </c>
      <c r="J90" s="45">
        <v>0</v>
      </c>
      <c r="K90" s="45">
        <v>0</v>
      </c>
      <c r="L90" s="45">
        <v>0</v>
      </c>
      <c r="M90" s="45">
        <v>0</v>
      </c>
      <c r="N90" s="45">
        <v>0</v>
      </c>
      <c r="O90" s="45">
        <v>0</v>
      </c>
      <c r="P90" s="45">
        <f t="shared" si="22"/>
        <v>4009027</v>
      </c>
      <c r="Q90" s="46">
        <f t="shared" si="23"/>
        <v>2.6006788056808459</v>
      </c>
    </row>
    <row r="91" spans="1:17">
      <c r="A91" s="11"/>
      <c r="B91" s="24">
        <v>347.4</v>
      </c>
      <c r="C91" s="19" t="s">
        <v>105</v>
      </c>
      <c r="D91" s="45">
        <v>-44</v>
      </c>
      <c r="E91" s="45">
        <v>3577</v>
      </c>
      <c r="F91" s="45">
        <v>553847</v>
      </c>
      <c r="G91" s="45">
        <v>0</v>
      </c>
      <c r="H91" s="45">
        <v>0</v>
      </c>
      <c r="I91" s="45">
        <v>0</v>
      </c>
      <c r="J91" s="45">
        <v>0</v>
      </c>
      <c r="K91" s="45">
        <v>0</v>
      </c>
      <c r="L91" s="45">
        <v>0</v>
      </c>
      <c r="M91" s="45">
        <v>0</v>
      </c>
      <c r="N91" s="45">
        <v>0</v>
      </c>
      <c r="O91" s="45">
        <v>0</v>
      </c>
      <c r="P91" s="45">
        <f t="shared" si="22"/>
        <v>557380</v>
      </c>
      <c r="Q91" s="46">
        <f t="shared" si="23"/>
        <v>0.3615756024367982</v>
      </c>
    </row>
    <row r="92" spans="1:17">
      <c r="A92" s="11"/>
      <c r="B92" s="24">
        <v>347.5</v>
      </c>
      <c r="C92" s="19" t="s">
        <v>106</v>
      </c>
      <c r="D92" s="45">
        <v>251507</v>
      </c>
      <c r="E92" s="45">
        <v>0</v>
      </c>
      <c r="F92" s="45">
        <v>0</v>
      </c>
      <c r="G92" s="45">
        <v>0</v>
      </c>
      <c r="H92" s="45">
        <v>0</v>
      </c>
      <c r="I92" s="45">
        <v>0</v>
      </c>
      <c r="J92" s="45">
        <v>0</v>
      </c>
      <c r="K92" s="45">
        <v>0</v>
      </c>
      <c r="L92" s="45">
        <v>0</v>
      </c>
      <c r="M92" s="45">
        <v>0</v>
      </c>
      <c r="N92" s="45">
        <v>0</v>
      </c>
      <c r="O92" s="45">
        <v>0</v>
      </c>
      <c r="P92" s="45">
        <f t="shared" si="22"/>
        <v>251507</v>
      </c>
      <c r="Q92" s="46">
        <f t="shared" si="23"/>
        <v>0.16315403323059996</v>
      </c>
    </row>
    <row r="93" spans="1:17">
      <c r="A93" s="11"/>
      <c r="B93" s="24">
        <v>347.9</v>
      </c>
      <c r="C93" s="19" t="s">
        <v>107</v>
      </c>
      <c r="D93" s="45">
        <v>30133</v>
      </c>
      <c r="E93" s="45">
        <v>0</v>
      </c>
      <c r="F93" s="45">
        <v>0</v>
      </c>
      <c r="G93" s="45">
        <v>0</v>
      </c>
      <c r="H93" s="45">
        <v>0</v>
      </c>
      <c r="I93" s="45">
        <v>0</v>
      </c>
      <c r="J93" s="45">
        <v>0</v>
      </c>
      <c r="K93" s="45">
        <v>0</v>
      </c>
      <c r="L93" s="45">
        <v>0</v>
      </c>
      <c r="M93" s="45">
        <v>0</v>
      </c>
      <c r="N93" s="45">
        <v>0</v>
      </c>
      <c r="O93" s="45">
        <v>0</v>
      </c>
      <c r="P93" s="45">
        <f t="shared" si="22"/>
        <v>30133</v>
      </c>
      <c r="Q93" s="46">
        <f t="shared" si="23"/>
        <v>1.9547449905321399E-2</v>
      </c>
    </row>
    <row r="94" spans="1:17">
      <c r="A94" s="11"/>
      <c r="B94" s="24">
        <v>348.88</v>
      </c>
      <c r="C94" s="19" t="s">
        <v>223</v>
      </c>
      <c r="D94" s="45">
        <v>17314</v>
      </c>
      <c r="E94" s="45">
        <v>0</v>
      </c>
      <c r="F94" s="45">
        <v>0</v>
      </c>
      <c r="G94" s="45">
        <v>0</v>
      </c>
      <c r="H94" s="45">
        <v>0</v>
      </c>
      <c r="I94" s="45">
        <v>0</v>
      </c>
      <c r="J94" s="45">
        <v>0</v>
      </c>
      <c r="K94" s="45">
        <v>0</v>
      </c>
      <c r="L94" s="45">
        <v>0</v>
      </c>
      <c r="M94" s="45">
        <v>0</v>
      </c>
      <c r="N94" s="45">
        <v>0</v>
      </c>
      <c r="O94" s="45">
        <v>0</v>
      </c>
      <c r="P94" s="45">
        <f t="shared" si="22"/>
        <v>17314</v>
      </c>
      <c r="Q94" s="46">
        <f t="shared" si="23"/>
        <v>1.1231691091518756E-2</v>
      </c>
    </row>
    <row r="95" spans="1:17">
      <c r="A95" s="11"/>
      <c r="B95" s="24">
        <v>348.92099999999999</v>
      </c>
      <c r="C95" s="19" t="s">
        <v>224</v>
      </c>
      <c r="D95" s="45">
        <v>0</v>
      </c>
      <c r="E95" s="45">
        <v>198113</v>
      </c>
      <c r="F95" s="45">
        <v>0</v>
      </c>
      <c r="G95" s="45">
        <v>0</v>
      </c>
      <c r="H95" s="45">
        <v>0</v>
      </c>
      <c r="I95" s="45">
        <v>0</v>
      </c>
      <c r="J95" s="45">
        <v>0</v>
      </c>
      <c r="K95" s="45">
        <v>0</v>
      </c>
      <c r="L95" s="45">
        <v>0</v>
      </c>
      <c r="M95" s="45">
        <v>0</v>
      </c>
      <c r="N95" s="45">
        <v>0</v>
      </c>
      <c r="O95" s="45">
        <v>0</v>
      </c>
      <c r="P95" s="45">
        <f t="shared" ref="P95:P101" si="24">SUM(D95:O95)</f>
        <v>198113</v>
      </c>
      <c r="Q95" s="46">
        <f t="shared" si="23"/>
        <v>0.1285170392291819</v>
      </c>
    </row>
    <row r="96" spans="1:17">
      <c r="A96" s="11"/>
      <c r="B96" s="24">
        <v>348.92200000000003</v>
      </c>
      <c r="C96" s="19" t="s">
        <v>225</v>
      </c>
      <c r="D96" s="45">
        <v>0</v>
      </c>
      <c r="E96" s="45">
        <v>198113</v>
      </c>
      <c r="F96" s="45">
        <v>0</v>
      </c>
      <c r="G96" s="45">
        <v>0</v>
      </c>
      <c r="H96" s="45">
        <v>0</v>
      </c>
      <c r="I96" s="45">
        <v>0</v>
      </c>
      <c r="J96" s="45">
        <v>0</v>
      </c>
      <c r="K96" s="45">
        <v>0</v>
      </c>
      <c r="L96" s="45">
        <v>0</v>
      </c>
      <c r="M96" s="45">
        <v>0</v>
      </c>
      <c r="N96" s="45">
        <v>0</v>
      </c>
      <c r="O96" s="45">
        <v>0</v>
      </c>
      <c r="P96" s="45">
        <f t="shared" si="24"/>
        <v>198113</v>
      </c>
      <c r="Q96" s="46">
        <f t="shared" si="23"/>
        <v>0.1285170392291819</v>
      </c>
    </row>
    <row r="97" spans="1:17">
      <c r="A97" s="11"/>
      <c r="B97" s="24">
        <v>348.923</v>
      </c>
      <c r="C97" s="19" t="s">
        <v>226</v>
      </c>
      <c r="D97" s="45">
        <v>0</v>
      </c>
      <c r="E97" s="45">
        <v>198113</v>
      </c>
      <c r="F97" s="45">
        <v>0</v>
      </c>
      <c r="G97" s="45">
        <v>0</v>
      </c>
      <c r="H97" s="45">
        <v>0</v>
      </c>
      <c r="I97" s="45">
        <v>0</v>
      </c>
      <c r="J97" s="45">
        <v>0</v>
      </c>
      <c r="K97" s="45">
        <v>0</v>
      </c>
      <c r="L97" s="45">
        <v>0</v>
      </c>
      <c r="M97" s="45">
        <v>0</v>
      </c>
      <c r="N97" s="45">
        <v>0</v>
      </c>
      <c r="O97" s="45">
        <v>0</v>
      </c>
      <c r="P97" s="45">
        <f t="shared" si="24"/>
        <v>198113</v>
      </c>
      <c r="Q97" s="46">
        <f t="shared" si="23"/>
        <v>0.1285170392291819</v>
      </c>
    </row>
    <row r="98" spans="1:17">
      <c r="A98" s="11"/>
      <c r="B98" s="24">
        <v>348.92399999999998</v>
      </c>
      <c r="C98" s="19" t="s">
        <v>227</v>
      </c>
      <c r="D98" s="45">
        <v>0</v>
      </c>
      <c r="E98" s="45">
        <v>198113</v>
      </c>
      <c r="F98" s="45">
        <v>0</v>
      </c>
      <c r="G98" s="45">
        <v>0</v>
      </c>
      <c r="H98" s="45">
        <v>0</v>
      </c>
      <c r="I98" s="45">
        <v>0</v>
      </c>
      <c r="J98" s="45">
        <v>0</v>
      </c>
      <c r="K98" s="45">
        <v>0</v>
      </c>
      <c r="L98" s="45">
        <v>0</v>
      </c>
      <c r="M98" s="45">
        <v>0</v>
      </c>
      <c r="N98" s="45">
        <v>0</v>
      </c>
      <c r="O98" s="45">
        <v>0</v>
      </c>
      <c r="P98" s="45">
        <f t="shared" si="24"/>
        <v>198113</v>
      </c>
      <c r="Q98" s="46">
        <f t="shared" si="23"/>
        <v>0.1285170392291819</v>
      </c>
    </row>
    <row r="99" spans="1:17">
      <c r="A99" s="11"/>
      <c r="B99" s="24">
        <v>348.93</v>
      </c>
      <c r="C99" s="19" t="s">
        <v>228</v>
      </c>
      <c r="D99" s="45">
        <v>0</v>
      </c>
      <c r="E99" s="45">
        <v>2450071</v>
      </c>
      <c r="F99" s="45">
        <v>0</v>
      </c>
      <c r="G99" s="45">
        <v>0</v>
      </c>
      <c r="H99" s="45">
        <v>0</v>
      </c>
      <c r="I99" s="45">
        <v>0</v>
      </c>
      <c r="J99" s="45">
        <v>0</v>
      </c>
      <c r="K99" s="45">
        <v>0</v>
      </c>
      <c r="L99" s="45">
        <v>0</v>
      </c>
      <c r="M99" s="45">
        <v>0</v>
      </c>
      <c r="N99" s="45">
        <v>0</v>
      </c>
      <c r="O99" s="45">
        <v>0</v>
      </c>
      <c r="P99" s="45">
        <f t="shared" si="24"/>
        <v>2450071</v>
      </c>
      <c r="Q99" s="46">
        <f t="shared" si="23"/>
        <v>1.5893751082527694</v>
      </c>
    </row>
    <row r="100" spans="1:17">
      <c r="A100" s="11"/>
      <c r="B100" s="24">
        <v>348.93200000000002</v>
      </c>
      <c r="C100" s="19" t="s">
        <v>229</v>
      </c>
      <c r="D100" s="45">
        <v>74802</v>
      </c>
      <c r="E100" s="45">
        <v>0</v>
      </c>
      <c r="F100" s="45">
        <v>0</v>
      </c>
      <c r="G100" s="45">
        <v>0</v>
      </c>
      <c r="H100" s="45">
        <v>0</v>
      </c>
      <c r="I100" s="45">
        <v>0</v>
      </c>
      <c r="J100" s="45">
        <v>0</v>
      </c>
      <c r="K100" s="45">
        <v>0</v>
      </c>
      <c r="L100" s="45">
        <v>0</v>
      </c>
      <c r="M100" s="45">
        <v>0</v>
      </c>
      <c r="N100" s="45">
        <v>0</v>
      </c>
      <c r="O100" s="45">
        <v>0</v>
      </c>
      <c r="P100" s="45">
        <f t="shared" si="24"/>
        <v>74802</v>
      </c>
      <c r="Q100" s="46">
        <f t="shared" si="23"/>
        <v>4.8524486371016869E-2</v>
      </c>
    </row>
    <row r="101" spans="1:17">
      <c r="A101" s="11"/>
      <c r="B101" s="24">
        <v>348.99</v>
      </c>
      <c r="C101" s="19" t="s">
        <v>231</v>
      </c>
      <c r="D101" s="45">
        <v>0</v>
      </c>
      <c r="E101" s="45">
        <v>3087907</v>
      </c>
      <c r="F101" s="45">
        <v>0</v>
      </c>
      <c r="G101" s="45">
        <v>0</v>
      </c>
      <c r="H101" s="45">
        <v>0</v>
      </c>
      <c r="I101" s="45">
        <v>0</v>
      </c>
      <c r="J101" s="45">
        <v>0</v>
      </c>
      <c r="K101" s="45">
        <v>0</v>
      </c>
      <c r="L101" s="45">
        <v>0</v>
      </c>
      <c r="M101" s="45">
        <v>0</v>
      </c>
      <c r="N101" s="45">
        <v>0</v>
      </c>
      <c r="O101" s="45">
        <v>0</v>
      </c>
      <c r="P101" s="45">
        <f t="shared" si="24"/>
        <v>3087907</v>
      </c>
      <c r="Q101" s="46">
        <f t="shared" ref="Q101:Q132" si="25">(P101/Q$134)</f>
        <v>2.0031429792848798</v>
      </c>
    </row>
    <row r="102" spans="1:17">
      <c r="A102" s="11"/>
      <c r="B102" s="24">
        <v>349</v>
      </c>
      <c r="C102" s="19" t="s">
        <v>321</v>
      </c>
      <c r="D102" s="45">
        <v>6417</v>
      </c>
      <c r="E102" s="45">
        <v>0</v>
      </c>
      <c r="F102" s="45">
        <v>0</v>
      </c>
      <c r="G102" s="45">
        <v>0</v>
      </c>
      <c r="H102" s="45">
        <v>0</v>
      </c>
      <c r="I102" s="45">
        <v>0</v>
      </c>
      <c r="J102" s="45">
        <v>0</v>
      </c>
      <c r="K102" s="45">
        <v>0</v>
      </c>
      <c r="L102" s="45">
        <v>0</v>
      </c>
      <c r="M102" s="45">
        <v>0</v>
      </c>
      <c r="N102" s="45">
        <v>0</v>
      </c>
      <c r="O102" s="45">
        <v>0</v>
      </c>
      <c r="P102" s="45">
        <f t="shared" si="22"/>
        <v>6417</v>
      </c>
      <c r="Q102" s="46">
        <f t="shared" si="25"/>
        <v>4.1627446999119707E-3</v>
      </c>
    </row>
    <row r="103" spans="1:17" ht="15.75">
      <c r="A103" s="28" t="s">
        <v>76</v>
      </c>
      <c r="B103" s="29"/>
      <c r="C103" s="30"/>
      <c r="D103" s="31">
        <f t="shared" ref="D103:O103" si="26">SUM(D104:D111)</f>
        <v>5527211</v>
      </c>
      <c r="E103" s="31">
        <f t="shared" si="26"/>
        <v>932388</v>
      </c>
      <c r="F103" s="31">
        <f t="shared" si="26"/>
        <v>0</v>
      </c>
      <c r="G103" s="31">
        <f t="shared" si="26"/>
        <v>0</v>
      </c>
      <c r="H103" s="31">
        <f t="shared" si="26"/>
        <v>0</v>
      </c>
      <c r="I103" s="31">
        <f t="shared" si="26"/>
        <v>115932</v>
      </c>
      <c r="J103" s="31">
        <f t="shared" si="26"/>
        <v>0</v>
      </c>
      <c r="K103" s="31">
        <f t="shared" ref="K103" si="27">SUM(K104:K111)</f>
        <v>0</v>
      </c>
      <c r="L103" s="31">
        <f t="shared" ref="L103" si="28">SUM(L104:L111)</f>
        <v>0</v>
      </c>
      <c r="M103" s="31">
        <f t="shared" si="26"/>
        <v>0</v>
      </c>
      <c r="N103" s="31">
        <f t="shared" ref="N103" si="29">SUM(N104:N111)</f>
        <v>0</v>
      </c>
      <c r="O103" s="31">
        <f t="shared" si="26"/>
        <v>0</v>
      </c>
      <c r="P103" s="31">
        <f>SUM(D103:O103)</f>
        <v>6575531</v>
      </c>
      <c r="Q103" s="44">
        <f t="shared" si="25"/>
        <v>4.2655846687481471</v>
      </c>
    </row>
    <row r="104" spans="1:17">
      <c r="A104" s="12"/>
      <c r="B104" s="38">
        <v>351.1</v>
      </c>
      <c r="C104" s="20" t="s">
        <v>134</v>
      </c>
      <c r="D104" s="45">
        <v>0</v>
      </c>
      <c r="E104" s="45">
        <v>4832</v>
      </c>
      <c r="F104" s="45">
        <v>0</v>
      </c>
      <c r="G104" s="45">
        <v>0</v>
      </c>
      <c r="H104" s="45">
        <v>0</v>
      </c>
      <c r="I104" s="45">
        <v>0</v>
      </c>
      <c r="J104" s="45">
        <v>0</v>
      </c>
      <c r="K104" s="45">
        <v>0</v>
      </c>
      <c r="L104" s="45">
        <v>0</v>
      </c>
      <c r="M104" s="45">
        <v>0</v>
      </c>
      <c r="N104" s="45">
        <v>0</v>
      </c>
      <c r="O104" s="45">
        <v>0</v>
      </c>
      <c r="P104" s="45">
        <f>SUM(D104:O104)</f>
        <v>4832</v>
      </c>
      <c r="Q104" s="46">
        <f t="shared" si="25"/>
        <v>3.1345461103279792E-3</v>
      </c>
    </row>
    <row r="105" spans="1:17">
      <c r="A105" s="12"/>
      <c r="B105" s="38">
        <v>351.2</v>
      </c>
      <c r="C105" s="20" t="s">
        <v>136</v>
      </c>
      <c r="D105" s="45">
        <v>800</v>
      </c>
      <c r="E105" s="45">
        <v>0</v>
      </c>
      <c r="F105" s="45">
        <v>0</v>
      </c>
      <c r="G105" s="45">
        <v>0</v>
      </c>
      <c r="H105" s="45">
        <v>0</v>
      </c>
      <c r="I105" s="45">
        <v>0</v>
      </c>
      <c r="J105" s="45">
        <v>0</v>
      </c>
      <c r="K105" s="45">
        <v>0</v>
      </c>
      <c r="L105" s="45">
        <v>0</v>
      </c>
      <c r="M105" s="45">
        <v>0</v>
      </c>
      <c r="N105" s="45">
        <v>0</v>
      </c>
      <c r="O105" s="45">
        <v>0</v>
      </c>
      <c r="P105" s="45">
        <f t="shared" ref="P105:P111" si="30">SUM(D105:O105)</f>
        <v>800</v>
      </c>
      <c r="Q105" s="46">
        <f t="shared" si="25"/>
        <v>5.1896458780264555E-4</v>
      </c>
    </row>
    <row r="106" spans="1:17">
      <c r="A106" s="12"/>
      <c r="B106" s="38">
        <v>351.5</v>
      </c>
      <c r="C106" s="20" t="s">
        <v>137</v>
      </c>
      <c r="D106" s="45">
        <v>414880</v>
      </c>
      <c r="E106" s="45">
        <v>0</v>
      </c>
      <c r="F106" s="45">
        <v>0</v>
      </c>
      <c r="G106" s="45">
        <v>0</v>
      </c>
      <c r="H106" s="45">
        <v>0</v>
      </c>
      <c r="I106" s="45">
        <v>0</v>
      </c>
      <c r="J106" s="45">
        <v>0</v>
      </c>
      <c r="K106" s="45">
        <v>0</v>
      </c>
      <c r="L106" s="45">
        <v>0</v>
      </c>
      <c r="M106" s="45">
        <v>0</v>
      </c>
      <c r="N106" s="45">
        <v>0</v>
      </c>
      <c r="O106" s="45">
        <v>0</v>
      </c>
      <c r="P106" s="45">
        <f t="shared" si="30"/>
        <v>414880</v>
      </c>
      <c r="Q106" s="46">
        <f t="shared" si="25"/>
        <v>0.26913503523445198</v>
      </c>
    </row>
    <row r="107" spans="1:17">
      <c r="A107" s="12"/>
      <c r="B107" s="38">
        <v>351.6</v>
      </c>
      <c r="C107" s="20" t="s">
        <v>277</v>
      </c>
      <c r="D107" s="45">
        <v>0</v>
      </c>
      <c r="E107" s="45">
        <v>288</v>
      </c>
      <c r="F107" s="45">
        <v>0</v>
      </c>
      <c r="G107" s="45">
        <v>0</v>
      </c>
      <c r="H107" s="45">
        <v>0</v>
      </c>
      <c r="I107" s="45">
        <v>0</v>
      </c>
      <c r="J107" s="45">
        <v>0</v>
      </c>
      <c r="K107" s="45">
        <v>0</v>
      </c>
      <c r="L107" s="45">
        <v>0</v>
      </c>
      <c r="M107" s="45">
        <v>0</v>
      </c>
      <c r="N107" s="45">
        <v>0</v>
      </c>
      <c r="O107" s="45">
        <v>0</v>
      </c>
      <c r="P107" s="45">
        <f t="shared" si="30"/>
        <v>288</v>
      </c>
      <c r="Q107" s="46">
        <f t="shared" si="25"/>
        <v>1.868272516089524E-4</v>
      </c>
    </row>
    <row r="108" spans="1:17">
      <c r="A108" s="12"/>
      <c r="B108" s="38">
        <v>351.7</v>
      </c>
      <c r="C108" s="20" t="s">
        <v>232</v>
      </c>
      <c r="D108" s="45">
        <v>0</v>
      </c>
      <c r="E108" s="45">
        <v>432810</v>
      </c>
      <c r="F108" s="45">
        <v>0</v>
      </c>
      <c r="G108" s="45">
        <v>0</v>
      </c>
      <c r="H108" s="45">
        <v>0</v>
      </c>
      <c r="I108" s="45">
        <v>0</v>
      </c>
      <c r="J108" s="45">
        <v>0</v>
      </c>
      <c r="K108" s="45">
        <v>0</v>
      </c>
      <c r="L108" s="45">
        <v>0</v>
      </c>
      <c r="M108" s="45">
        <v>0</v>
      </c>
      <c r="N108" s="45">
        <v>0</v>
      </c>
      <c r="O108" s="45">
        <v>0</v>
      </c>
      <c r="P108" s="45">
        <f t="shared" si="30"/>
        <v>432810</v>
      </c>
      <c r="Q108" s="46">
        <f t="shared" si="25"/>
        <v>0.28076632905857879</v>
      </c>
    </row>
    <row r="109" spans="1:17">
      <c r="A109" s="12"/>
      <c r="B109" s="38">
        <v>351.9</v>
      </c>
      <c r="C109" s="20" t="s">
        <v>322</v>
      </c>
      <c r="D109" s="45">
        <v>1813</v>
      </c>
      <c r="E109" s="45">
        <v>0</v>
      </c>
      <c r="F109" s="45">
        <v>0</v>
      </c>
      <c r="G109" s="45">
        <v>0</v>
      </c>
      <c r="H109" s="45">
        <v>0</v>
      </c>
      <c r="I109" s="45">
        <v>0</v>
      </c>
      <c r="J109" s="45">
        <v>0</v>
      </c>
      <c r="K109" s="45">
        <v>0</v>
      </c>
      <c r="L109" s="45">
        <v>0</v>
      </c>
      <c r="M109" s="45">
        <v>0</v>
      </c>
      <c r="N109" s="45">
        <v>0</v>
      </c>
      <c r="O109" s="45">
        <v>0</v>
      </c>
      <c r="P109" s="45">
        <f t="shared" si="30"/>
        <v>1813</v>
      </c>
      <c r="Q109" s="46">
        <f t="shared" si="25"/>
        <v>1.1761034971077455E-3</v>
      </c>
    </row>
    <row r="110" spans="1:17">
      <c r="A110" s="12"/>
      <c r="B110" s="38">
        <v>353</v>
      </c>
      <c r="C110" s="20" t="s">
        <v>139</v>
      </c>
      <c r="D110" s="45">
        <v>0</v>
      </c>
      <c r="E110" s="45">
        <v>407335</v>
      </c>
      <c r="F110" s="45">
        <v>0</v>
      </c>
      <c r="G110" s="45">
        <v>0</v>
      </c>
      <c r="H110" s="45">
        <v>0</v>
      </c>
      <c r="I110" s="45">
        <v>0</v>
      </c>
      <c r="J110" s="45">
        <v>0</v>
      </c>
      <c r="K110" s="45">
        <v>0</v>
      </c>
      <c r="L110" s="45">
        <v>0</v>
      </c>
      <c r="M110" s="45">
        <v>0</v>
      </c>
      <c r="N110" s="45">
        <v>0</v>
      </c>
      <c r="O110" s="45">
        <v>0</v>
      </c>
      <c r="P110" s="45">
        <f t="shared" si="30"/>
        <v>407335</v>
      </c>
      <c r="Q110" s="46">
        <f t="shared" si="25"/>
        <v>0.2642405504657383</v>
      </c>
    </row>
    <row r="111" spans="1:17">
      <c r="A111" s="12"/>
      <c r="B111" s="38">
        <v>354</v>
      </c>
      <c r="C111" s="20" t="s">
        <v>140</v>
      </c>
      <c r="D111" s="45">
        <v>5109718</v>
      </c>
      <c r="E111" s="45">
        <v>87123</v>
      </c>
      <c r="F111" s="45">
        <v>0</v>
      </c>
      <c r="G111" s="45">
        <v>0</v>
      </c>
      <c r="H111" s="45">
        <v>0</v>
      </c>
      <c r="I111" s="45">
        <v>115932</v>
      </c>
      <c r="J111" s="45">
        <v>0</v>
      </c>
      <c r="K111" s="45">
        <v>0</v>
      </c>
      <c r="L111" s="45">
        <v>0</v>
      </c>
      <c r="M111" s="45">
        <v>0</v>
      </c>
      <c r="N111" s="45">
        <v>0</v>
      </c>
      <c r="O111" s="45">
        <v>0</v>
      </c>
      <c r="P111" s="45">
        <f t="shared" si="30"/>
        <v>5312773</v>
      </c>
      <c r="Q111" s="46">
        <f t="shared" si="25"/>
        <v>3.4464263125425307</v>
      </c>
    </row>
    <row r="112" spans="1:17" ht="15.75">
      <c r="A112" s="28" t="s">
        <v>5</v>
      </c>
      <c r="B112" s="29"/>
      <c r="C112" s="30"/>
      <c r="D112" s="31">
        <f t="shared" ref="D112:O112" si="31">SUM(D113:D122)</f>
        <v>52161167</v>
      </c>
      <c r="E112" s="31">
        <f t="shared" si="31"/>
        <v>85917392</v>
      </c>
      <c r="F112" s="31">
        <f t="shared" si="31"/>
        <v>2669150</v>
      </c>
      <c r="G112" s="31">
        <f t="shared" si="31"/>
        <v>7475807</v>
      </c>
      <c r="H112" s="31">
        <f t="shared" si="31"/>
        <v>0</v>
      </c>
      <c r="I112" s="31">
        <f t="shared" si="31"/>
        <v>2976537</v>
      </c>
      <c r="J112" s="31">
        <f t="shared" si="31"/>
        <v>5530693</v>
      </c>
      <c r="K112" s="31">
        <f t="shared" ref="K112" si="32">SUM(K113:K122)</f>
        <v>503168827</v>
      </c>
      <c r="L112" s="31">
        <f t="shared" ref="L112" si="33">SUM(L113:L122)</f>
        <v>0</v>
      </c>
      <c r="M112" s="31">
        <f t="shared" si="31"/>
        <v>0</v>
      </c>
      <c r="N112" s="31">
        <f t="shared" ref="N112" si="34">SUM(N113:N122)</f>
        <v>0</v>
      </c>
      <c r="O112" s="31">
        <f t="shared" si="31"/>
        <v>779083</v>
      </c>
      <c r="P112" s="31">
        <f>SUM(D112:O112)</f>
        <v>660678656</v>
      </c>
      <c r="Q112" s="44">
        <f t="shared" si="25"/>
        <v>428.58603297630731</v>
      </c>
    </row>
    <row r="113" spans="1:17">
      <c r="A113" s="11"/>
      <c r="B113" s="24">
        <v>361.1</v>
      </c>
      <c r="C113" s="19" t="s">
        <v>142</v>
      </c>
      <c r="D113" s="45">
        <v>31258999</v>
      </c>
      <c r="E113" s="45">
        <v>41618819</v>
      </c>
      <c r="F113" s="45">
        <v>1488601</v>
      </c>
      <c r="G113" s="45">
        <v>871987</v>
      </c>
      <c r="H113" s="45">
        <v>0</v>
      </c>
      <c r="I113" s="45">
        <v>0</v>
      </c>
      <c r="J113" s="45">
        <v>0</v>
      </c>
      <c r="K113" s="45">
        <v>0</v>
      </c>
      <c r="L113" s="45">
        <v>0</v>
      </c>
      <c r="M113" s="45">
        <v>0</v>
      </c>
      <c r="N113" s="45">
        <v>0</v>
      </c>
      <c r="O113" s="45">
        <v>478346</v>
      </c>
      <c r="P113" s="45">
        <f>SUM(D113:O113)</f>
        <v>75716752</v>
      </c>
      <c r="Q113" s="46">
        <f t="shared" si="25"/>
        <v>49.117891239293925</v>
      </c>
    </row>
    <row r="114" spans="1:17">
      <c r="A114" s="11"/>
      <c r="B114" s="24">
        <v>361.3</v>
      </c>
      <c r="C114" s="19" t="s">
        <v>143</v>
      </c>
      <c r="D114" s="45">
        <v>13784972</v>
      </c>
      <c r="E114" s="45">
        <v>16833955</v>
      </c>
      <c r="F114" s="45">
        <v>535918</v>
      </c>
      <c r="G114" s="45">
        <v>382232</v>
      </c>
      <c r="H114" s="45">
        <v>0</v>
      </c>
      <c r="I114" s="45">
        <v>0</v>
      </c>
      <c r="J114" s="45">
        <v>3983565</v>
      </c>
      <c r="K114" s="45">
        <v>0</v>
      </c>
      <c r="L114" s="45">
        <v>0</v>
      </c>
      <c r="M114" s="45">
        <v>0</v>
      </c>
      <c r="N114" s="45">
        <v>0</v>
      </c>
      <c r="O114" s="45">
        <v>0</v>
      </c>
      <c r="P114" s="45">
        <f t="shared" ref="P114:P122" si="35">SUM(D114:O114)</f>
        <v>35520642</v>
      </c>
      <c r="Q114" s="46">
        <f t="shared" si="25"/>
        <v>23.042444167519175</v>
      </c>
    </row>
    <row r="115" spans="1:17">
      <c r="A115" s="11"/>
      <c r="B115" s="24">
        <v>361.4</v>
      </c>
      <c r="C115" s="19" t="s">
        <v>261</v>
      </c>
      <c r="D115" s="45">
        <v>0</v>
      </c>
      <c r="E115" s="45">
        <v>0</v>
      </c>
      <c r="F115" s="45">
        <v>0</v>
      </c>
      <c r="G115" s="45">
        <v>0</v>
      </c>
      <c r="H115" s="45">
        <v>0</v>
      </c>
      <c r="I115" s="45">
        <v>0</v>
      </c>
      <c r="J115" s="45">
        <v>0</v>
      </c>
      <c r="K115" s="45">
        <v>0</v>
      </c>
      <c r="L115" s="45">
        <v>0</v>
      </c>
      <c r="M115" s="45">
        <v>0</v>
      </c>
      <c r="N115" s="45">
        <v>0</v>
      </c>
      <c r="O115" s="45">
        <v>260943</v>
      </c>
      <c r="P115" s="45">
        <f t="shared" si="35"/>
        <v>260943</v>
      </c>
      <c r="Q115" s="46">
        <f t="shared" si="25"/>
        <v>0.16927522054373217</v>
      </c>
    </row>
    <row r="116" spans="1:17">
      <c r="A116" s="11"/>
      <c r="B116" s="24">
        <v>362</v>
      </c>
      <c r="C116" s="19" t="s">
        <v>145</v>
      </c>
      <c r="D116" s="45">
        <v>2038908</v>
      </c>
      <c r="E116" s="45">
        <v>9125</v>
      </c>
      <c r="F116" s="45">
        <v>644631</v>
      </c>
      <c r="G116" s="45">
        <v>220477</v>
      </c>
      <c r="H116" s="45">
        <v>0</v>
      </c>
      <c r="I116" s="45">
        <v>4100</v>
      </c>
      <c r="J116" s="45">
        <v>0</v>
      </c>
      <c r="K116" s="45">
        <v>0</v>
      </c>
      <c r="L116" s="45">
        <v>0</v>
      </c>
      <c r="M116" s="45">
        <v>0</v>
      </c>
      <c r="N116" s="45">
        <v>0</v>
      </c>
      <c r="O116" s="45">
        <v>0</v>
      </c>
      <c r="P116" s="45">
        <f t="shared" si="35"/>
        <v>2917241</v>
      </c>
      <c r="Q116" s="46">
        <f t="shared" si="25"/>
        <v>1.8924309663574719</v>
      </c>
    </row>
    <row r="117" spans="1:17">
      <c r="A117" s="11"/>
      <c r="B117" s="24">
        <v>364</v>
      </c>
      <c r="C117" s="19" t="s">
        <v>237</v>
      </c>
      <c r="D117" s="45">
        <v>305832</v>
      </c>
      <c r="E117" s="45">
        <v>0</v>
      </c>
      <c r="F117" s="45">
        <v>0</v>
      </c>
      <c r="G117" s="45">
        <v>6001111</v>
      </c>
      <c r="H117" s="45">
        <v>0</v>
      </c>
      <c r="I117" s="45">
        <v>21046</v>
      </c>
      <c r="J117" s="45">
        <v>-70236</v>
      </c>
      <c r="K117" s="45">
        <v>0</v>
      </c>
      <c r="L117" s="45">
        <v>0</v>
      </c>
      <c r="M117" s="45">
        <v>0</v>
      </c>
      <c r="N117" s="45">
        <v>0</v>
      </c>
      <c r="O117" s="45">
        <v>0</v>
      </c>
      <c r="P117" s="45">
        <f t="shared" si="35"/>
        <v>6257753</v>
      </c>
      <c r="Q117" s="46">
        <f t="shared" si="25"/>
        <v>4.0594402577697108</v>
      </c>
    </row>
    <row r="118" spans="1:17">
      <c r="A118" s="11"/>
      <c r="B118" s="24">
        <v>365</v>
      </c>
      <c r="C118" s="19" t="s">
        <v>238</v>
      </c>
      <c r="D118" s="45">
        <v>90085</v>
      </c>
      <c r="E118" s="45">
        <v>23889</v>
      </c>
      <c r="F118" s="45">
        <v>0</v>
      </c>
      <c r="G118" s="45">
        <v>0</v>
      </c>
      <c r="H118" s="45">
        <v>0</v>
      </c>
      <c r="I118" s="45">
        <v>93950</v>
      </c>
      <c r="J118" s="45">
        <v>17186</v>
      </c>
      <c r="K118" s="45">
        <v>0</v>
      </c>
      <c r="L118" s="45">
        <v>0</v>
      </c>
      <c r="M118" s="45">
        <v>0</v>
      </c>
      <c r="N118" s="45">
        <v>0</v>
      </c>
      <c r="O118" s="45">
        <v>0</v>
      </c>
      <c r="P118" s="45">
        <f t="shared" si="35"/>
        <v>225110</v>
      </c>
      <c r="Q118" s="46">
        <f t="shared" si="25"/>
        <v>0.14603014795031694</v>
      </c>
    </row>
    <row r="119" spans="1:17">
      <c r="A119" s="11"/>
      <c r="B119" s="24">
        <v>366</v>
      </c>
      <c r="C119" s="19" t="s">
        <v>148</v>
      </c>
      <c r="D119" s="45">
        <v>93421</v>
      </c>
      <c r="E119" s="45">
        <v>996037</v>
      </c>
      <c r="F119" s="45">
        <v>0</v>
      </c>
      <c r="G119" s="45">
        <v>0</v>
      </c>
      <c r="H119" s="45">
        <v>0</v>
      </c>
      <c r="I119" s="45">
        <v>0</v>
      </c>
      <c r="J119" s="45">
        <v>0</v>
      </c>
      <c r="K119" s="45">
        <v>0</v>
      </c>
      <c r="L119" s="45">
        <v>0</v>
      </c>
      <c r="M119" s="45">
        <v>0</v>
      </c>
      <c r="N119" s="45">
        <v>0</v>
      </c>
      <c r="O119" s="45">
        <v>39460</v>
      </c>
      <c r="P119" s="45">
        <f t="shared" si="35"/>
        <v>1128918</v>
      </c>
      <c r="Q119" s="46">
        <f t="shared" si="25"/>
        <v>0.73233558066623372</v>
      </c>
    </row>
    <row r="120" spans="1:17">
      <c r="A120" s="11"/>
      <c r="B120" s="24">
        <v>367</v>
      </c>
      <c r="C120" s="19" t="s">
        <v>149</v>
      </c>
      <c r="D120" s="45">
        <v>2600139</v>
      </c>
      <c r="E120" s="45">
        <v>204350</v>
      </c>
      <c r="F120" s="45">
        <v>0</v>
      </c>
      <c r="G120" s="45">
        <v>0</v>
      </c>
      <c r="H120" s="45">
        <v>0</v>
      </c>
      <c r="I120" s="45">
        <v>0</v>
      </c>
      <c r="J120" s="45">
        <v>0</v>
      </c>
      <c r="K120" s="45">
        <v>0</v>
      </c>
      <c r="L120" s="45">
        <v>0</v>
      </c>
      <c r="M120" s="45">
        <v>0</v>
      </c>
      <c r="N120" s="45">
        <v>0</v>
      </c>
      <c r="O120" s="45">
        <v>0</v>
      </c>
      <c r="P120" s="45">
        <f t="shared" si="35"/>
        <v>2804489</v>
      </c>
      <c r="Q120" s="46">
        <f t="shared" si="25"/>
        <v>1.8192880973525671</v>
      </c>
    </row>
    <row r="121" spans="1:17">
      <c r="A121" s="11"/>
      <c r="B121" s="24">
        <v>369.3</v>
      </c>
      <c r="C121" s="19" t="s">
        <v>150</v>
      </c>
      <c r="D121" s="45">
        <v>236509</v>
      </c>
      <c r="E121" s="45">
        <v>17315033</v>
      </c>
      <c r="F121" s="45">
        <v>0</v>
      </c>
      <c r="G121" s="45">
        <v>0</v>
      </c>
      <c r="H121" s="45">
        <v>0</v>
      </c>
      <c r="I121" s="45">
        <v>9205</v>
      </c>
      <c r="J121" s="45">
        <v>1578775</v>
      </c>
      <c r="K121" s="45">
        <v>0</v>
      </c>
      <c r="L121" s="45">
        <v>0</v>
      </c>
      <c r="M121" s="45">
        <v>0</v>
      </c>
      <c r="N121" s="45">
        <v>0</v>
      </c>
      <c r="O121" s="45">
        <v>0</v>
      </c>
      <c r="P121" s="45">
        <f t="shared" si="35"/>
        <v>19139522</v>
      </c>
      <c r="Q121" s="46">
        <f t="shared" si="25"/>
        <v>12.415917681837083</v>
      </c>
    </row>
    <row r="122" spans="1:17">
      <c r="A122" s="11"/>
      <c r="B122" s="24">
        <v>369.9</v>
      </c>
      <c r="C122" s="19" t="s">
        <v>151</v>
      </c>
      <c r="D122" s="45">
        <v>1752302</v>
      </c>
      <c r="E122" s="45">
        <v>8916184</v>
      </c>
      <c r="F122" s="45">
        <v>0</v>
      </c>
      <c r="G122" s="45">
        <v>0</v>
      </c>
      <c r="H122" s="45">
        <v>0</v>
      </c>
      <c r="I122" s="45">
        <v>2848236</v>
      </c>
      <c r="J122" s="45">
        <v>21403</v>
      </c>
      <c r="K122" s="45">
        <v>503168827</v>
      </c>
      <c r="L122" s="45">
        <v>0</v>
      </c>
      <c r="M122" s="45">
        <v>0</v>
      </c>
      <c r="N122" s="45">
        <v>0</v>
      </c>
      <c r="O122" s="45">
        <v>334</v>
      </c>
      <c r="P122" s="45">
        <f t="shared" si="35"/>
        <v>516707286</v>
      </c>
      <c r="Q122" s="46">
        <f t="shared" si="25"/>
        <v>335.19097961701709</v>
      </c>
    </row>
    <row r="123" spans="1:17" ht="15.75">
      <c r="A123" s="28" t="s">
        <v>77</v>
      </c>
      <c r="B123" s="29"/>
      <c r="C123" s="30"/>
      <c r="D123" s="31">
        <f t="shared" ref="D123:O123" si="36">SUM(D124:D131)</f>
        <v>185968847</v>
      </c>
      <c r="E123" s="31">
        <f t="shared" si="36"/>
        <v>170594290</v>
      </c>
      <c r="F123" s="31">
        <f t="shared" si="36"/>
        <v>181463851</v>
      </c>
      <c r="G123" s="31">
        <f t="shared" si="36"/>
        <v>115179446</v>
      </c>
      <c r="H123" s="31">
        <f t="shared" si="36"/>
        <v>0</v>
      </c>
      <c r="I123" s="31">
        <f t="shared" si="36"/>
        <v>70451978</v>
      </c>
      <c r="J123" s="31">
        <f t="shared" si="36"/>
        <v>10499010</v>
      </c>
      <c r="K123" s="31">
        <f t="shared" ref="K123" si="37">SUM(K124:K131)</f>
        <v>0</v>
      </c>
      <c r="L123" s="31">
        <f t="shared" ref="L123" si="38">SUM(L124:L131)</f>
        <v>0</v>
      </c>
      <c r="M123" s="31">
        <f t="shared" si="36"/>
        <v>0</v>
      </c>
      <c r="N123" s="31">
        <f t="shared" ref="N123" si="39">SUM(N124:N131)</f>
        <v>0</v>
      </c>
      <c r="O123" s="31">
        <f t="shared" si="36"/>
        <v>0</v>
      </c>
      <c r="P123" s="31">
        <f>SUM(D123:O123)</f>
        <v>734157422</v>
      </c>
      <c r="Q123" s="44">
        <f t="shared" si="25"/>
        <v>476.25212986310362</v>
      </c>
    </row>
    <row r="124" spans="1:17">
      <c r="A124" s="11"/>
      <c r="B124" s="24">
        <v>381</v>
      </c>
      <c r="C124" s="19" t="s">
        <v>152</v>
      </c>
      <c r="D124" s="45">
        <v>168326824</v>
      </c>
      <c r="E124" s="45">
        <v>170594290</v>
      </c>
      <c r="F124" s="45">
        <v>122136235</v>
      </c>
      <c r="G124" s="45">
        <v>83379446</v>
      </c>
      <c r="H124" s="45">
        <v>0</v>
      </c>
      <c r="I124" s="45">
        <v>0</v>
      </c>
      <c r="J124" s="45">
        <v>-8106390</v>
      </c>
      <c r="K124" s="45">
        <v>0</v>
      </c>
      <c r="L124" s="45">
        <v>0</v>
      </c>
      <c r="M124" s="45">
        <v>0</v>
      </c>
      <c r="N124" s="45">
        <v>0</v>
      </c>
      <c r="O124" s="45">
        <v>0</v>
      </c>
      <c r="P124" s="45">
        <f>SUM(D124:O124)</f>
        <v>536330405</v>
      </c>
      <c r="Q124" s="46">
        <f t="shared" si="25"/>
        <v>347.92060944606368</v>
      </c>
    </row>
    <row r="125" spans="1:17">
      <c r="A125" s="11"/>
      <c r="B125" s="24">
        <v>383.2</v>
      </c>
      <c r="C125" s="19" t="s">
        <v>326</v>
      </c>
      <c r="D125" s="45">
        <v>145689</v>
      </c>
      <c r="E125" s="45">
        <v>0</v>
      </c>
      <c r="F125" s="45">
        <v>0</v>
      </c>
      <c r="G125" s="45">
        <v>0</v>
      </c>
      <c r="H125" s="45">
        <v>0</v>
      </c>
      <c r="I125" s="45">
        <v>0</v>
      </c>
      <c r="J125" s="45">
        <v>0</v>
      </c>
      <c r="K125" s="45">
        <v>0</v>
      </c>
      <c r="L125" s="45">
        <v>0</v>
      </c>
      <c r="M125" s="45">
        <v>0</v>
      </c>
      <c r="N125" s="45">
        <v>0</v>
      </c>
      <c r="O125" s="45">
        <v>0</v>
      </c>
      <c r="P125" s="45">
        <f>SUM(D125:O125)</f>
        <v>145689</v>
      </c>
      <c r="Q125" s="46">
        <f t="shared" si="25"/>
        <v>9.4509289790474529E-2</v>
      </c>
    </row>
    <row r="126" spans="1:17">
      <c r="A126" s="11"/>
      <c r="B126" s="24">
        <v>384</v>
      </c>
      <c r="C126" s="19" t="s">
        <v>153</v>
      </c>
      <c r="D126" s="45">
        <v>0</v>
      </c>
      <c r="E126" s="45">
        <v>0</v>
      </c>
      <c r="F126" s="45">
        <v>59327616</v>
      </c>
      <c r="G126" s="45">
        <v>31800000</v>
      </c>
      <c r="H126" s="45">
        <v>0</v>
      </c>
      <c r="I126" s="45">
        <v>0</v>
      </c>
      <c r="J126" s="45">
        <v>0</v>
      </c>
      <c r="K126" s="45">
        <v>0</v>
      </c>
      <c r="L126" s="45">
        <v>0</v>
      </c>
      <c r="M126" s="45">
        <v>0</v>
      </c>
      <c r="N126" s="45">
        <v>0</v>
      </c>
      <c r="O126" s="45">
        <v>0</v>
      </c>
      <c r="P126" s="45">
        <f t="shared" ref="P126:P131" si="40">SUM(D126:O126)</f>
        <v>91127616</v>
      </c>
      <c r="Q126" s="46">
        <f t="shared" si="25"/>
        <v>59.115007093597207</v>
      </c>
    </row>
    <row r="127" spans="1:17">
      <c r="A127" s="11"/>
      <c r="B127" s="24">
        <v>386.1</v>
      </c>
      <c r="C127" s="19" t="s">
        <v>330</v>
      </c>
      <c r="D127" s="45">
        <v>957320</v>
      </c>
      <c r="E127" s="45">
        <v>0</v>
      </c>
      <c r="F127" s="45">
        <v>0</v>
      </c>
      <c r="G127" s="45">
        <v>0</v>
      </c>
      <c r="H127" s="45">
        <v>0</v>
      </c>
      <c r="I127" s="45">
        <v>0</v>
      </c>
      <c r="J127" s="45">
        <v>0</v>
      </c>
      <c r="K127" s="45">
        <v>0</v>
      </c>
      <c r="L127" s="45">
        <v>0</v>
      </c>
      <c r="M127" s="45">
        <v>0</v>
      </c>
      <c r="N127" s="45">
        <v>0</v>
      </c>
      <c r="O127" s="45">
        <v>0</v>
      </c>
      <c r="P127" s="45">
        <f t="shared" si="40"/>
        <v>957320</v>
      </c>
      <c r="Q127" s="46">
        <f t="shared" si="25"/>
        <v>0.62101897399403583</v>
      </c>
    </row>
    <row r="128" spans="1:17">
      <c r="A128" s="11"/>
      <c r="B128" s="24">
        <v>386.8</v>
      </c>
      <c r="C128" s="19" t="s">
        <v>331</v>
      </c>
      <c r="D128" s="45">
        <v>16539014</v>
      </c>
      <c r="E128" s="45">
        <v>0</v>
      </c>
      <c r="F128" s="45">
        <v>0</v>
      </c>
      <c r="G128" s="45">
        <v>0</v>
      </c>
      <c r="H128" s="45">
        <v>0</v>
      </c>
      <c r="I128" s="45">
        <v>0</v>
      </c>
      <c r="J128" s="45">
        <v>0</v>
      </c>
      <c r="K128" s="45">
        <v>0</v>
      </c>
      <c r="L128" s="45">
        <v>0</v>
      </c>
      <c r="M128" s="45">
        <v>0</v>
      </c>
      <c r="N128" s="45">
        <v>0</v>
      </c>
      <c r="O128" s="45">
        <v>0</v>
      </c>
      <c r="P128" s="45">
        <f t="shared" si="40"/>
        <v>16539014</v>
      </c>
      <c r="Q128" s="46">
        <f t="shared" si="25"/>
        <v>10.72895322896523</v>
      </c>
    </row>
    <row r="129" spans="1:112">
      <c r="A129" s="11"/>
      <c r="B129" s="24">
        <v>389.1</v>
      </c>
      <c r="C129" s="19" t="s">
        <v>154</v>
      </c>
      <c r="D129" s="45">
        <v>0</v>
      </c>
      <c r="E129" s="45">
        <v>0</v>
      </c>
      <c r="F129" s="45">
        <v>0</v>
      </c>
      <c r="G129" s="45">
        <v>0</v>
      </c>
      <c r="H129" s="45">
        <v>0</v>
      </c>
      <c r="I129" s="45">
        <v>46816159</v>
      </c>
      <c r="J129" s="45">
        <v>9642854</v>
      </c>
      <c r="K129" s="45">
        <v>0</v>
      </c>
      <c r="L129" s="45">
        <v>0</v>
      </c>
      <c r="M129" s="45">
        <v>0</v>
      </c>
      <c r="N129" s="45">
        <v>0</v>
      </c>
      <c r="O129" s="45">
        <v>0</v>
      </c>
      <c r="P129" s="45">
        <f t="shared" si="40"/>
        <v>56459013</v>
      </c>
      <c r="Q129" s="46">
        <f t="shared" si="25"/>
        <v>36.625285511611509</v>
      </c>
    </row>
    <row r="130" spans="1:112">
      <c r="A130" s="11"/>
      <c r="B130" s="24">
        <v>389.4</v>
      </c>
      <c r="C130" s="19" t="s">
        <v>156</v>
      </c>
      <c r="D130" s="45">
        <v>0</v>
      </c>
      <c r="E130" s="45">
        <v>0</v>
      </c>
      <c r="F130" s="45">
        <v>0</v>
      </c>
      <c r="G130" s="45">
        <v>0</v>
      </c>
      <c r="H130" s="45">
        <v>0</v>
      </c>
      <c r="I130" s="45">
        <v>23635819</v>
      </c>
      <c r="J130" s="45">
        <v>0</v>
      </c>
      <c r="K130" s="45">
        <v>0</v>
      </c>
      <c r="L130" s="45">
        <v>0</v>
      </c>
      <c r="M130" s="45">
        <v>0</v>
      </c>
      <c r="N130" s="45">
        <v>0</v>
      </c>
      <c r="O130" s="45">
        <v>0</v>
      </c>
      <c r="P130" s="45">
        <f t="shared" si="40"/>
        <v>23635819</v>
      </c>
      <c r="Q130" s="46">
        <f t="shared" si="25"/>
        <v>15.332691330891173</v>
      </c>
    </row>
    <row r="131" spans="1:112" ht="15.75" thickBot="1">
      <c r="A131" s="11"/>
      <c r="B131" s="24">
        <v>389.9</v>
      </c>
      <c r="C131" s="19" t="s">
        <v>157</v>
      </c>
      <c r="D131" s="45">
        <v>0</v>
      </c>
      <c r="E131" s="45">
        <v>0</v>
      </c>
      <c r="F131" s="45">
        <v>0</v>
      </c>
      <c r="G131" s="45">
        <v>0</v>
      </c>
      <c r="H131" s="45">
        <v>0</v>
      </c>
      <c r="I131" s="45">
        <v>0</v>
      </c>
      <c r="J131" s="45">
        <v>8962546</v>
      </c>
      <c r="K131" s="45">
        <v>0</v>
      </c>
      <c r="L131" s="45">
        <v>0</v>
      </c>
      <c r="M131" s="45">
        <v>0</v>
      </c>
      <c r="N131" s="45">
        <v>0</v>
      </c>
      <c r="O131" s="45">
        <v>0</v>
      </c>
      <c r="P131" s="45">
        <f t="shared" si="40"/>
        <v>8962546</v>
      </c>
      <c r="Q131" s="46">
        <f t="shared" si="25"/>
        <v>5.8140549881903123</v>
      </c>
    </row>
    <row r="132" spans="1:112" ht="16.5" thickBot="1">
      <c r="A132" s="13" t="s">
        <v>114</v>
      </c>
      <c r="B132" s="22"/>
      <c r="C132" s="21"/>
      <c r="D132" s="14">
        <f t="shared" ref="D132:O132" si="41">SUM(D5,D14,D27,D67,D103,D112,D123)</f>
        <v>1561382588</v>
      </c>
      <c r="E132" s="14">
        <f t="shared" si="41"/>
        <v>1593628503</v>
      </c>
      <c r="F132" s="14">
        <f t="shared" si="41"/>
        <v>194952835</v>
      </c>
      <c r="G132" s="14">
        <f t="shared" si="41"/>
        <v>122655253</v>
      </c>
      <c r="H132" s="14">
        <f t="shared" si="41"/>
        <v>0</v>
      </c>
      <c r="I132" s="14">
        <f t="shared" si="41"/>
        <v>666042666</v>
      </c>
      <c r="J132" s="14">
        <f t="shared" si="41"/>
        <v>272932067</v>
      </c>
      <c r="K132" s="14">
        <f t="shared" ref="K132" si="42">SUM(K5,K14,K27,K67,K103,K112,K123)</f>
        <v>6787884848</v>
      </c>
      <c r="L132" s="14">
        <f t="shared" ref="L132" si="43">SUM(L5,L14,L27,L67,L103,L112,L123)</f>
        <v>0</v>
      </c>
      <c r="M132" s="14">
        <f t="shared" si="41"/>
        <v>0</v>
      </c>
      <c r="N132" s="14">
        <f t="shared" ref="N132" si="44">SUM(N5,N14,N27,N67,N103,N112,N123)</f>
        <v>0</v>
      </c>
      <c r="O132" s="14">
        <f t="shared" si="41"/>
        <v>9950180</v>
      </c>
      <c r="P132" s="14">
        <f>SUM(D132:O132)</f>
        <v>11209428940</v>
      </c>
      <c r="Q132" s="37">
        <f t="shared" si="25"/>
        <v>7271.6208366876826</v>
      </c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</row>
    <row r="133" spans="1:112">
      <c r="A133" s="15"/>
      <c r="B133" s="17"/>
      <c r="C133" s="17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8"/>
    </row>
    <row r="134" spans="1:112">
      <c r="A134" s="39"/>
      <c r="B134" s="40"/>
      <c r="C134" s="40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8" t="s">
        <v>332</v>
      </c>
      <c r="O134" s="48"/>
      <c r="P134" s="48"/>
      <c r="Q134" s="42">
        <v>1541531</v>
      </c>
    </row>
    <row r="135" spans="1:112">
      <c r="A135" s="49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1"/>
    </row>
    <row r="136" spans="1:112" ht="15.75" customHeight="1" thickBot="1">
      <c r="A136" s="52" t="s">
        <v>178</v>
      </c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4"/>
    </row>
  </sheetData>
  <mergeCells count="10">
    <mergeCell ref="N134:P134"/>
    <mergeCell ref="A135:Q135"/>
    <mergeCell ref="A136:Q136"/>
    <mergeCell ref="A1:Q1"/>
    <mergeCell ref="A2:Q2"/>
    <mergeCell ref="A3:C4"/>
    <mergeCell ref="D3:H3"/>
    <mergeCell ref="I3:J3"/>
    <mergeCell ref="K3:N3"/>
    <mergeCell ref="Q3:Q4"/>
  </mergeCells>
  <printOptions horizontalCentered="1"/>
  <pageMargins left="0.5" right="0.5" top="0.5" bottom="0.5" header="0.3" footer="0.3"/>
  <pageSetup paperSize="5" scale="51" fitToHeight="0" orientation="landscape" verticalDpi="0" r:id="rId1"/>
  <headerFooter>
    <oddFooter>&amp;L&amp;14Office of Economic and Demographic Research&amp;R&amp;14Page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E158"/>
  <sheetViews>
    <sheetView workbookViewId="0">
      <selection sqref="A1:Q1"/>
    </sheetView>
  </sheetViews>
  <sheetFormatPr defaultColWidth="9.77734375" defaultRowHeight="15"/>
  <cols>
    <col min="1" max="1" width="1.77734375" style="3" customWidth="1"/>
    <col min="2" max="2" width="6.77734375" style="3" customWidth="1"/>
    <col min="3" max="3" width="65.77734375" style="3" customWidth="1"/>
    <col min="4" max="11" width="14.77734375" style="4" customWidth="1"/>
    <col min="12" max="15" width="13.77734375" style="4" customWidth="1"/>
    <col min="16" max="16" width="16.77734375" style="4" customWidth="1"/>
    <col min="17" max="17" width="13.77734375" style="3" customWidth="1"/>
    <col min="18" max="18" width="9.77734375" style="3" customWidth="1"/>
    <col min="19" max="19" width="9.77734375" style="3"/>
  </cols>
  <sheetData>
    <row r="1" spans="1:135" ht="27.75">
      <c r="A1" s="55" t="s">
        <v>165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7"/>
      <c r="R1" s="7"/>
      <c r="S1"/>
    </row>
    <row r="2" spans="1:135" ht="24" thickBot="1">
      <c r="A2" s="58" t="s">
        <v>324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60"/>
      <c r="R2" s="7"/>
      <c r="S2"/>
    </row>
    <row r="3" spans="1:135" ht="18" customHeight="1">
      <c r="A3" s="61" t="s">
        <v>158</v>
      </c>
      <c r="B3" s="62"/>
      <c r="C3" s="63"/>
      <c r="D3" s="67" t="s">
        <v>71</v>
      </c>
      <c r="E3" s="68"/>
      <c r="F3" s="68"/>
      <c r="G3" s="68"/>
      <c r="H3" s="69"/>
      <c r="I3" s="67" t="s">
        <v>72</v>
      </c>
      <c r="J3" s="69"/>
      <c r="K3" s="67" t="s">
        <v>74</v>
      </c>
      <c r="L3" s="68"/>
      <c r="M3" s="68"/>
      <c r="N3" s="69"/>
      <c r="O3" s="35"/>
      <c r="P3" s="36"/>
      <c r="Q3" s="70" t="s">
        <v>298</v>
      </c>
      <c r="R3" s="5"/>
      <c r="S3"/>
    </row>
    <row r="4" spans="1:135" ht="32.25" customHeight="1" thickBot="1">
      <c r="A4" s="64"/>
      <c r="B4" s="65"/>
      <c r="C4" s="66"/>
      <c r="D4" s="33" t="s">
        <v>6</v>
      </c>
      <c r="E4" s="33" t="s">
        <v>159</v>
      </c>
      <c r="F4" s="33" t="s">
        <v>160</v>
      </c>
      <c r="G4" s="33" t="s">
        <v>161</v>
      </c>
      <c r="H4" s="33" t="s">
        <v>7</v>
      </c>
      <c r="I4" s="33" t="s">
        <v>8</v>
      </c>
      <c r="J4" s="34" t="s">
        <v>162</v>
      </c>
      <c r="K4" s="34" t="s">
        <v>299</v>
      </c>
      <c r="L4" s="34" t="s">
        <v>9</v>
      </c>
      <c r="M4" s="34" t="s">
        <v>10</v>
      </c>
      <c r="N4" s="34" t="s">
        <v>336</v>
      </c>
      <c r="O4" s="34" t="s">
        <v>11</v>
      </c>
      <c r="P4" s="34" t="s">
        <v>300</v>
      </c>
      <c r="Q4" s="71"/>
      <c r="R4" s="8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</row>
    <row r="5" spans="1:135" ht="15.75">
      <c r="A5" s="23" t="s">
        <v>301</v>
      </c>
      <c r="B5" s="25"/>
      <c r="C5" s="25"/>
      <c r="D5" s="26">
        <f t="shared" ref="D5:O5" si="0">SUM(D6:D13)</f>
        <v>985392000</v>
      </c>
      <c r="E5" s="26">
        <f t="shared" si="0"/>
        <v>543742000</v>
      </c>
      <c r="F5" s="26">
        <f t="shared" si="0"/>
        <v>8968000</v>
      </c>
      <c r="G5" s="26">
        <f t="shared" si="0"/>
        <v>0</v>
      </c>
      <c r="H5" s="26">
        <f t="shared" si="0"/>
        <v>0</v>
      </c>
      <c r="I5" s="26">
        <f t="shared" si="0"/>
        <v>0</v>
      </c>
      <c r="J5" s="26">
        <f t="shared" si="0"/>
        <v>0</v>
      </c>
      <c r="K5" s="26">
        <f t="shared" ref="K5" si="1">SUM(K6:K13)</f>
        <v>6356061000</v>
      </c>
      <c r="L5" s="26">
        <f t="shared" ref="L5" si="2">SUM(L6:L13)</f>
        <v>0</v>
      </c>
      <c r="M5" s="26">
        <f t="shared" si="0"/>
        <v>0</v>
      </c>
      <c r="N5" s="26">
        <f t="shared" ref="N5" si="3">SUM(N6:N13)</f>
        <v>0</v>
      </c>
      <c r="O5" s="26">
        <f t="shared" si="0"/>
        <v>0</v>
      </c>
      <c r="P5" s="27">
        <f>SUM(D5:O5)</f>
        <v>7894163000</v>
      </c>
      <c r="Q5" s="32">
        <f t="shared" ref="Q5:Q36" si="4">(P5/Q$156)</f>
        <v>5191.721433790477</v>
      </c>
      <c r="R5" s="6"/>
    </row>
    <row r="6" spans="1:135">
      <c r="A6" s="11"/>
      <c r="B6" s="24">
        <v>311</v>
      </c>
      <c r="C6" s="19" t="s">
        <v>3</v>
      </c>
      <c r="D6" s="45">
        <v>983995000</v>
      </c>
      <c r="E6" s="45">
        <v>63155000</v>
      </c>
      <c r="F6" s="45">
        <v>8968000</v>
      </c>
      <c r="G6" s="45">
        <v>0</v>
      </c>
      <c r="H6" s="45">
        <v>0</v>
      </c>
      <c r="I6" s="45">
        <v>0</v>
      </c>
      <c r="J6" s="45">
        <v>0</v>
      </c>
      <c r="K6" s="45">
        <v>6356061000</v>
      </c>
      <c r="L6" s="45">
        <v>0</v>
      </c>
      <c r="M6" s="45">
        <v>0</v>
      </c>
      <c r="N6" s="45">
        <v>0</v>
      </c>
      <c r="O6" s="45">
        <v>0</v>
      </c>
      <c r="P6" s="45">
        <f>SUM(D6:O6)</f>
        <v>7412179000</v>
      </c>
      <c r="Q6" s="46">
        <f t="shared" si="4"/>
        <v>4874.7370158675039</v>
      </c>
      <c r="R6" s="9"/>
    </row>
    <row r="7" spans="1:135">
      <c r="A7" s="11"/>
      <c r="B7" s="24">
        <v>312.13</v>
      </c>
      <c r="C7" s="19" t="s">
        <v>302</v>
      </c>
      <c r="D7" s="45">
        <v>0</v>
      </c>
      <c r="E7" s="45">
        <v>58334000</v>
      </c>
      <c r="F7" s="45">
        <v>0</v>
      </c>
      <c r="G7" s="45">
        <v>0</v>
      </c>
      <c r="H7" s="45">
        <v>0</v>
      </c>
      <c r="I7" s="45">
        <v>0</v>
      </c>
      <c r="J7" s="45">
        <v>0</v>
      </c>
      <c r="K7" s="45">
        <v>0</v>
      </c>
      <c r="L7" s="45">
        <v>0</v>
      </c>
      <c r="M7" s="45">
        <v>0</v>
      </c>
      <c r="N7" s="45">
        <v>0</v>
      </c>
      <c r="O7" s="45">
        <v>0</v>
      </c>
      <c r="P7" s="45">
        <f t="shared" ref="P7:P13" si="5">SUM(D7:O7)</f>
        <v>58334000</v>
      </c>
      <c r="Q7" s="46">
        <f t="shared" si="4"/>
        <v>38.364279799990662</v>
      </c>
      <c r="R7" s="9"/>
    </row>
    <row r="8" spans="1:135">
      <c r="A8" s="11"/>
      <c r="B8" s="24">
        <v>312.3</v>
      </c>
      <c r="C8" s="19" t="s">
        <v>13</v>
      </c>
      <c r="D8" s="45">
        <v>0</v>
      </c>
      <c r="E8" s="45">
        <v>7382000</v>
      </c>
      <c r="F8" s="45">
        <v>0</v>
      </c>
      <c r="G8" s="45">
        <v>0</v>
      </c>
      <c r="H8" s="45">
        <v>0</v>
      </c>
      <c r="I8" s="45">
        <v>0</v>
      </c>
      <c r="J8" s="45">
        <v>0</v>
      </c>
      <c r="K8" s="45">
        <v>0</v>
      </c>
      <c r="L8" s="45">
        <v>0</v>
      </c>
      <c r="M8" s="45">
        <v>0</v>
      </c>
      <c r="N8" s="45">
        <v>0</v>
      </c>
      <c r="O8" s="45">
        <v>0</v>
      </c>
      <c r="P8" s="45">
        <f t="shared" si="5"/>
        <v>7382000</v>
      </c>
      <c r="Q8" s="46">
        <f t="shared" si="4"/>
        <v>4.8548893181254682</v>
      </c>
      <c r="R8" s="9"/>
    </row>
    <row r="9" spans="1:135">
      <c r="A9" s="11"/>
      <c r="B9" s="24">
        <v>312.41000000000003</v>
      </c>
      <c r="C9" s="19" t="s">
        <v>303</v>
      </c>
      <c r="D9" s="45">
        <v>0</v>
      </c>
      <c r="E9" s="45">
        <v>28506000</v>
      </c>
      <c r="F9" s="45">
        <v>0</v>
      </c>
      <c r="G9" s="45">
        <v>0</v>
      </c>
      <c r="H9" s="45">
        <v>0</v>
      </c>
      <c r="I9" s="45">
        <v>0</v>
      </c>
      <c r="J9" s="45">
        <v>0</v>
      </c>
      <c r="K9" s="45">
        <v>0</v>
      </c>
      <c r="L9" s="45">
        <v>0</v>
      </c>
      <c r="M9" s="45">
        <v>0</v>
      </c>
      <c r="N9" s="45">
        <v>0</v>
      </c>
      <c r="O9" s="45">
        <v>0</v>
      </c>
      <c r="P9" s="45">
        <f t="shared" si="5"/>
        <v>28506000</v>
      </c>
      <c r="Q9" s="46">
        <f t="shared" si="4"/>
        <v>18.747422771943185</v>
      </c>
      <c r="R9" s="9"/>
    </row>
    <row r="10" spans="1:135">
      <c r="A10" s="11"/>
      <c r="B10" s="24">
        <v>312.62</v>
      </c>
      <c r="C10" s="19" t="s">
        <v>304</v>
      </c>
      <c r="D10" s="45">
        <v>0</v>
      </c>
      <c r="E10" s="45">
        <v>183741000</v>
      </c>
      <c r="F10" s="45">
        <v>0</v>
      </c>
      <c r="G10" s="45">
        <v>0</v>
      </c>
      <c r="H10" s="45">
        <v>0</v>
      </c>
      <c r="I10" s="45">
        <v>0</v>
      </c>
      <c r="J10" s="45">
        <v>0</v>
      </c>
      <c r="K10" s="45">
        <v>0</v>
      </c>
      <c r="L10" s="45">
        <v>0</v>
      </c>
      <c r="M10" s="45">
        <v>0</v>
      </c>
      <c r="N10" s="45">
        <v>0</v>
      </c>
      <c r="O10" s="45">
        <v>0</v>
      </c>
      <c r="P10" s="45">
        <f t="shared" si="5"/>
        <v>183741000</v>
      </c>
      <c r="Q10" s="46">
        <f t="shared" si="4"/>
        <v>120.8401812790154</v>
      </c>
      <c r="R10" s="9"/>
    </row>
    <row r="11" spans="1:135">
      <c r="A11" s="11"/>
      <c r="B11" s="24">
        <v>312.64999999999998</v>
      </c>
      <c r="C11" s="19" t="s">
        <v>306</v>
      </c>
      <c r="D11" s="45">
        <v>0</v>
      </c>
      <c r="E11" s="45">
        <v>183734000</v>
      </c>
      <c r="F11" s="45">
        <v>0</v>
      </c>
      <c r="G11" s="45">
        <v>0</v>
      </c>
      <c r="H11" s="45">
        <v>0</v>
      </c>
      <c r="I11" s="45">
        <v>0</v>
      </c>
      <c r="J11" s="45">
        <v>0</v>
      </c>
      <c r="K11" s="45">
        <v>0</v>
      </c>
      <c r="L11" s="45">
        <v>0</v>
      </c>
      <c r="M11" s="45">
        <v>0</v>
      </c>
      <c r="N11" s="45">
        <v>0</v>
      </c>
      <c r="O11" s="45">
        <v>0</v>
      </c>
      <c r="P11" s="45">
        <f t="shared" si="5"/>
        <v>183734000</v>
      </c>
      <c r="Q11" s="46">
        <f t="shared" si="4"/>
        <v>120.83557761805267</v>
      </c>
      <c r="R11" s="9"/>
    </row>
    <row r="12" spans="1:135">
      <c r="A12" s="11"/>
      <c r="B12" s="24">
        <v>315.10000000000002</v>
      </c>
      <c r="C12" s="19" t="s">
        <v>307</v>
      </c>
      <c r="D12" s="45">
        <v>0</v>
      </c>
      <c r="E12" s="45">
        <v>18842000</v>
      </c>
      <c r="F12" s="45">
        <v>0</v>
      </c>
      <c r="G12" s="45">
        <v>0</v>
      </c>
      <c r="H12" s="45">
        <v>0</v>
      </c>
      <c r="I12" s="45">
        <v>0</v>
      </c>
      <c r="J12" s="45">
        <v>0</v>
      </c>
      <c r="K12" s="45">
        <v>0</v>
      </c>
      <c r="L12" s="45">
        <v>0</v>
      </c>
      <c r="M12" s="45">
        <v>0</v>
      </c>
      <c r="N12" s="45">
        <v>0</v>
      </c>
      <c r="O12" s="45">
        <v>0</v>
      </c>
      <c r="P12" s="45">
        <f t="shared" si="5"/>
        <v>18842000</v>
      </c>
      <c r="Q12" s="46">
        <f t="shared" si="4"/>
        <v>12.391739979967499</v>
      </c>
      <c r="R12" s="9"/>
    </row>
    <row r="13" spans="1:135">
      <c r="A13" s="11"/>
      <c r="B13" s="24">
        <v>316</v>
      </c>
      <c r="C13" s="19" t="s">
        <v>203</v>
      </c>
      <c r="D13" s="45">
        <v>1397000</v>
      </c>
      <c r="E13" s="45">
        <v>48000</v>
      </c>
      <c r="F13" s="45">
        <v>0</v>
      </c>
      <c r="G13" s="45">
        <v>0</v>
      </c>
      <c r="H13" s="45">
        <v>0</v>
      </c>
      <c r="I13" s="45">
        <v>0</v>
      </c>
      <c r="J13" s="45">
        <v>0</v>
      </c>
      <c r="K13" s="45">
        <v>0</v>
      </c>
      <c r="L13" s="45">
        <v>0</v>
      </c>
      <c r="M13" s="45">
        <v>0</v>
      </c>
      <c r="N13" s="45">
        <v>0</v>
      </c>
      <c r="O13" s="45">
        <v>0</v>
      </c>
      <c r="P13" s="45">
        <f t="shared" si="5"/>
        <v>1445000</v>
      </c>
      <c r="Q13" s="46">
        <f t="shared" si="4"/>
        <v>0.95032715587798722</v>
      </c>
      <c r="R13" s="9"/>
    </row>
    <row r="14" spans="1:135" ht="15.75">
      <c r="A14" s="28" t="s">
        <v>18</v>
      </c>
      <c r="B14" s="29"/>
      <c r="C14" s="30"/>
      <c r="D14" s="31">
        <f t="shared" ref="D14:O14" si="6">SUM(D15:D26)</f>
        <v>647000</v>
      </c>
      <c r="E14" s="31">
        <f t="shared" si="6"/>
        <v>172271000</v>
      </c>
      <c r="F14" s="31">
        <f t="shared" si="6"/>
        <v>0</v>
      </c>
      <c r="G14" s="31">
        <f t="shared" si="6"/>
        <v>0</v>
      </c>
      <c r="H14" s="31">
        <f t="shared" si="6"/>
        <v>0</v>
      </c>
      <c r="I14" s="31">
        <f t="shared" si="6"/>
        <v>157000</v>
      </c>
      <c r="J14" s="31">
        <f t="shared" si="6"/>
        <v>0</v>
      </c>
      <c r="K14" s="31">
        <f t="shared" ref="K14" si="7">SUM(K15:K26)</f>
        <v>0</v>
      </c>
      <c r="L14" s="31">
        <f t="shared" ref="L14" si="8">SUM(L15:L26)</f>
        <v>0</v>
      </c>
      <c r="M14" s="31">
        <f t="shared" si="6"/>
        <v>0</v>
      </c>
      <c r="N14" s="31">
        <f t="shared" ref="N14" si="9">SUM(N15:N26)</f>
        <v>0</v>
      </c>
      <c r="O14" s="31">
        <f t="shared" si="6"/>
        <v>0</v>
      </c>
      <c r="P14" s="43">
        <f>SUM(D14:O14)</f>
        <v>173075000</v>
      </c>
      <c r="Q14" s="44">
        <f t="shared" si="4"/>
        <v>113.8255173035174</v>
      </c>
      <c r="R14" s="10"/>
    </row>
    <row r="15" spans="1:135">
      <c r="A15" s="11"/>
      <c r="B15" s="24">
        <v>322</v>
      </c>
      <c r="C15" s="19" t="s">
        <v>308</v>
      </c>
      <c r="D15" s="45">
        <v>0</v>
      </c>
      <c r="E15" s="45">
        <v>14647000</v>
      </c>
      <c r="F15" s="45">
        <v>0</v>
      </c>
      <c r="G15" s="45">
        <v>0</v>
      </c>
      <c r="H15" s="45">
        <v>0</v>
      </c>
      <c r="I15" s="45">
        <v>0</v>
      </c>
      <c r="J15" s="45">
        <v>0</v>
      </c>
      <c r="K15" s="45">
        <v>0</v>
      </c>
      <c r="L15" s="45">
        <v>0</v>
      </c>
      <c r="M15" s="45">
        <v>0</v>
      </c>
      <c r="N15" s="45">
        <v>0</v>
      </c>
      <c r="O15" s="45">
        <v>0</v>
      </c>
      <c r="P15" s="45">
        <f>SUM(D15:O15)</f>
        <v>14647000</v>
      </c>
      <c r="Q15" s="46">
        <f t="shared" si="4"/>
        <v>9.6328317315881513</v>
      </c>
      <c r="R15" s="9"/>
    </row>
    <row r="16" spans="1:135">
      <c r="A16" s="11"/>
      <c r="B16" s="24">
        <v>323.3</v>
      </c>
      <c r="C16" s="19" t="s">
        <v>19</v>
      </c>
      <c r="D16" s="45">
        <v>3000</v>
      </c>
      <c r="E16" s="45">
        <v>0</v>
      </c>
      <c r="F16" s="45">
        <v>0</v>
      </c>
      <c r="G16" s="45">
        <v>0</v>
      </c>
      <c r="H16" s="45">
        <v>0</v>
      </c>
      <c r="I16" s="45">
        <v>0</v>
      </c>
      <c r="J16" s="45">
        <v>0</v>
      </c>
      <c r="K16" s="45">
        <v>0</v>
      </c>
      <c r="L16" s="45">
        <v>0</v>
      </c>
      <c r="M16" s="45">
        <v>0</v>
      </c>
      <c r="N16" s="45">
        <v>0</v>
      </c>
      <c r="O16" s="45">
        <v>0</v>
      </c>
      <c r="P16" s="45">
        <f t="shared" ref="P16:P26" si="10">SUM(D16:O16)</f>
        <v>3000</v>
      </c>
      <c r="Q16" s="46">
        <f t="shared" si="4"/>
        <v>1.9729975554560286E-3</v>
      </c>
      <c r="R16" s="9"/>
    </row>
    <row r="17" spans="1:18">
      <c r="A17" s="11"/>
      <c r="B17" s="24">
        <v>323.60000000000002</v>
      </c>
      <c r="C17" s="19" t="s">
        <v>20</v>
      </c>
      <c r="D17" s="45">
        <v>8000</v>
      </c>
      <c r="E17" s="45">
        <v>0</v>
      </c>
      <c r="F17" s="45">
        <v>0</v>
      </c>
      <c r="G17" s="45">
        <v>0</v>
      </c>
      <c r="H17" s="45">
        <v>0</v>
      </c>
      <c r="I17" s="45">
        <v>0</v>
      </c>
      <c r="J17" s="45">
        <v>0</v>
      </c>
      <c r="K17" s="45">
        <v>0</v>
      </c>
      <c r="L17" s="45">
        <v>0</v>
      </c>
      <c r="M17" s="45">
        <v>0</v>
      </c>
      <c r="N17" s="45">
        <v>0</v>
      </c>
      <c r="O17" s="45">
        <v>0</v>
      </c>
      <c r="P17" s="45">
        <f t="shared" si="10"/>
        <v>8000</v>
      </c>
      <c r="Q17" s="46">
        <f t="shared" si="4"/>
        <v>5.2613268145494099E-3</v>
      </c>
      <c r="R17" s="9"/>
    </row>
    <row r="18" spans="1:18">
      <c r="A18" s="11"/>
      <c r="B18" s="24">
        <v>324.11</v>
      </c>
      <c r="C18" s="19" t="s">
        <v>21</v>
      </c>
      <c r="D18" s="45">
        <v>0</v>
      </c>
      <c r="E18" s="45">
        <v>2373000</v>
      </c>
      <c r="F18" s="45">
        <v>0</v>
      </c>
      <c r="G18" s="45">
        <v>0</v>
      </c>
      <c r="H18" s="45">
        <v>0</v>
      </c>
      <c r="I18" s="45">
        <v>0</v>
      </c>
      <c r="J18" s="45">
        <v>0</v>
      </c>
      <c r="K18" s="45">
        <v>0</v>
      </c>
      <c r="L18" s="45">
        <v>0</v>
      </c>
      <c r="M18" s="45">
        <v>0</v>
      </c>
      <c r="N18" s="45">
        <v>0</v>
      </c>
      <c r="O18" s="45">
        <v>0</v>
      </c>
      <c r="P18" s="45">
        <f t="shared" si="10"/>
        <v>2373000</v>
      </c>
      <c r="Q18" s="46">
        <f t="shared" si="4"/>
        <v>1.5606410663657189</v>
      </c>
      <c r="R18" s="9"/>
    </row>
    <row r="19" spans="1:18">
      <c r="A19" s="11"/>
      <c r="B19" s="24">
        <v>324.12</v>
      </c>
      <c r="C19" s="19" t="s">
        <v>180</v>
      </c>
      <c r="D19" s="45">
        <v>0</v>
      </c>
      <c r="E19" s="45">
        <v>220000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5">
        <v>0</v>
      </c>
      <c r="L19" s="45">
        <v>0</v>
      </c>
      <c r="M19" s="45">
        <v>0</v>
      </c>
      <c r="N19" s="45">
        <v>0</v>
      </c>
      <c r="O19" s="45">
        <v>0</v>
      </c>
      <c r="P19" s="45">
        <f t="shared" si="10"/>
        <v>220000</v>
      </c>
      <c r="Q19" s="46">
        <f t="shared" si="4"/>
        <v>0.14468648740010878</v>
      </c>
      <c r="R19" s="9"/>
    </row>
    <row r="20" spans="1:18">
      <c r="A20" s="11"/>
      <c r="B20" s="24">
        <v>324.31</v>
      </c>
      <c r="C20" s="19" t="s">
        <v>23</v>
      </c>
      <c r="D20" s="45">
        <v>0</v>
      </c>
      <c r="E20" s="45">
        <v>38116000</v>
      </c>
      <c r="F20" s="45">
        <v>0</v>
      </c>
      <c r="G20" s="45">
        <v>0</v>
      </c>
      <c r="H20" s="45">
        <v>0</v>
      </c>
      <c r="I20" s="45">
        <v>0</v>
      </c>
      <c r="J20" s="45">
        <v>0</v>
      </c>
      <c r="K20" s="45">
        <v>0</v>
      </c>
      <c r="L20" s="45">
        <v>0</v>
      </c>
      <c r="M20" s="45">
        <v>0</v>
      </c>
      <c r="N20" s="45">
        <v>0</v>
      </c>
      <c r="O20" s="45">
        <v>0</v>
      </c>
      <c r="P20" s="45">
        <f t="shared" si="10"/>
        <v>38116000</v>
      </c>
      <c r="Q20" s="46">
        <f t="shared" si="4"/>
        <v>25.067591607920665</v>
      </c>
      <c r="R20" s="9"/>
    </row>
    <row r="21" spans="1:18">
      <c r="A21" s="11"/>
      <c r="B21" s="24">
        <v>324.32</v>
      </c>
      <c r="C21" s="19" t="s">
        <v>167</v>
      </c>
      <c r="D21" s="45">
        <v>0</v>
      </c>
      <c r="E21" s="45">
        <v>7770000</v>
      </c>
      <c r="F21" s="45">
        <v>0</v>
      </c>
      <c r="G21" s="45">
        <v>0</v>
      </c>
      <c r="H21" s="45">
        <v>0</v>
      </c>
      <c r="I21" s="45">
        <v>0</v>
      </c>
      <c r="J21" s="45">
        <v>0</v>
      </c>
      <c r="K21" s="45">
        <v>0</v>
      </c>
      <c r="L21" s="45">
        <v>0</v>
      </c>
      <c r="M21" s="45">
        <v>0</v>
      </c>
      <c r="N21" s="45">
        <v>0</v>
      </c>
      <c r="O21" s="45">
        <v>0</v>
      </c>
      <c r="P21" s="45">
        <f t="shared" si="10"/>
        <v>7770000</v>
      </c>
      <c r="Q21" s="46">
        <f t="shared" si="4"/>
        <v>5.1100636686311143</v>
      </c>
      <c r="R21" s="9"/>
    </row>
    <row r="22" spans="1:18">
      <c r="A22" s="11"/>
      <c r="B22" s="24">
        <v>324.61</v>
      </c>
      <c r="C22" s="19" t="s">
        <v>24</v>
      </c>
      <c r="D22" s="45">
        <v>0</v>
      </c>
      <c r="E22" s="45">
        <v>9891000</v>
      </c>
      <c r="F22" s="45">
        <v>0</v>
      </c>
      <c r="G22" s="45">
        <v>0</v>
      </c>
      <c r="H22" s="45">
        <v>0</v>
      </c>
      <c r="I22" s="45">
        <v>0</v>
      </c>
      <c r="J22" s="45">
        <v>0</v>
      </c>
      <c r="K22" s="45">
        <v>0</v>
      </c>
      <c r="L22" s="45">
        <v>0</v>
      </c>
      <c r="M22" s="45">
        <v>0</v>
      </c>
      <c r="N22" s="45">
        <v>0</v>
      </c>
      <c r="O22" s="45">
        <v>0</v>
      </c>
      <c r="P22" s="45">
        <f t="shared" si="10"/>
        <v>9891000</v>
      </c>
      <c r="Q22" s="46">
        <f t="shared" si="4"/>
        <v>6.5049729403385266</v>
      </c>
      <c r="R22" s="9"/>
    </row>
    <row r="23" spans="1:18">
      <c r="A23" s="11"/>
      <c r="B23" s="24">
        <v>324.81</v>
      </c>
      <c r="C23" s="19" t="s">
        <v>309</v>
      </c>
      <c r="D23" s="45">
        <v>0</v>
      </c>
      <c r="E23" s="45">
        <v>58268000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45">
        <v>0</v>
      </c>
      <c r="L23" s="45">
        <v>0</v>
      </c>
      <c r="M23" s="45">
        <v>0</v>
      </c>
      <c r="N23" s="45">
        <v>0</v>
      </c>
      <c r="O23" s="45">
        <v>0</v>
      </c>
      <c r="P23" s="45">
        <f t="shared" si="10"/>
        <v>58268000</v>
      </c>
      <c r="Q23" s="46">
        <f t="shared" si="4"/>
        <v>38.320873853770628</v>
      </c>
      <c r="R23" s="9"/>
    </row>
    <row r="24" spans="1:18">
      <c r="A24" s="11"/>
      <c r="B24" s="24">
        <v>325.10000000000002</v>
      </c>
      <c r="C24" s="19" t="s">
        <v>25</v>
      </c>
      <c r="D24" s="45">
        <v>0</v>
      </c>
      <c r="E24" s="45">
        <v>30552000</v>
      </c>
      <c r="F24" s="45">
        <v>0</v>
      </c>
      <c r="G24" s="45">
        <v>0</v>
      </c>
      <c r="H24" s="45">
        <v>0</v>
      </c>
      <c r="I24" s="45">
        <v>157000</v>
      </c>
      <c r="J24" s="45">
        <v>0</v>
      </c>
      <c r="K24" s="45">
        <v>0</v>
      </c>
      <c r="L24" s="45">
        <v>0</v>
      </c>
      <c r="M24" s="45">
        <v>0</v>
      </c>
      <c r="N24" s="45">
        <v>0</v>
      </c>
      <c r="O24" s="45">
        <v>0</v>
      </c>
      <c r="P24" s="45">
        <f t="shared" si="10"/>
        <v>30709000</v>
      </c>
      <c r="Q24" s="46">
        <f t="shared" si="4"/>
        <v>20.19626064349973</v>
      </c>
      <c r="R24" s="9"/>
    </row>
    <row r="25" spans="1:18">
      <c r="A25" s="11"/>
      <c r="B25" s="24">
        <v>325.2</v>
      </c>
      <c r="C25" s="19" t="s">
        <v>26</v>
      </c>
      <c r="D25" s="45">
        <v>0</v>
      </c>
      <c r="E25" s="45">
        <v>9862000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f t="shared" si="10"/>
        <v>9862000</v>
      </c>
      <c r="Q25" s="46">
        <f t="shared" si="4"/>
        <v>6.4859006306357854</v>
      </c>
      <c r="R25" s="9"/>
    </row>
    <row r="26" spans="1:18">
      <c r="A26" s="11"/>
      <c r="B26" s="24">
        <v>329.5</v>
      </c>
      <c r="C26" s="19" t="s">
        <v>310</v>
      </c>
      <c r="D26" s="45">
        <v>636000</v>
      </c>
      <c r="E26" s="45">
        <v>572000</v>
      </c>
      <c r="F26" s="45">
        <v>0</v>
      </c>
      <c r="G26" s="45">
        <v>0</v>
      </c>
      <c r="H26" s="45">
        <v>0</v>
      </c>
      <c r="I26" s="45">
        <v>0</v>
      </c>
      <c r="J26" s="45">
        <v>0</v>
      </c>
      <c r="K26" s="45">
        <v>0</v>
      </c>
      <c r="L26" s="45">
        <v>0</v>
      </c>
      <c r="M26" s="45">
        <v>0</v>
      </c>
      <c r="N26" s="45">
        <v>0</v>
      </c>
      <c r="O26" s="45">
        <v>0</v>
      </c>
      <c r="P26" s="45">
        <f t="shared" si="10"/>
        <v>1208000</v>
      </c>
      <c r="Q26" s="46">
        <f t="shared" si="4"/>
        <v>0.79446034899696094</v>
      </c>
      <c r="R26" s="9"/>
    </row>
    <row r="27" spans="1:18" ht="15.75">
      <c r="A27" s="28" t="s">
        <v>311</v>
      </c>
      <c r="B27" s="29"/>
      <c r="C27" s="30"/>
      <c r="D27" s="31">
        <f t="shared" ref="D27:O27" si="11">SUM(D28:D69)</f>
        <v>55981000</v>
      </c>
      <c r="E27" s="31">
        <f t="shared" si="11"/>
        <v>456193000</v>
      </c>
      <c r="F27" s="31">
        <f t="shared" si="11"/>
        <v>0</v>
      </c>
      <c r="G27" s="31">
        <f t="shared" si="11"/>
        <v>0</v>
      </c>
      <c r="H27" s="31">
        <f t="shared" si="11"/>
        <v>0</v>
      </c>
      <c r="I27" s="31">
        <f t="shared" si="11"/>
        <v>0</v>
      </c>
      <c r="J27" s="31">
        <f t="shared" si="11"/>
        <v>213000</v>
      </c>
      <c r="K27" s="31">
        <f t="shared" ref="K27" si="12">SUM(K28:K69)</f>
        <v>0</v>
      </c>
      <c r="L27" s="31">
        <f t="shared" ref="L27" si="13">SUM(L28:L69)</f>
        <v>0</v>
      </c>
      <c r="M27" s="31">
        <f t="shared" si="11"/>
        <v>0</v>
      </c>
      <c r="N27" s="31">
        <f t="shared" ref="N27" si="14">SUM(N28:N69)</f>
        <v>0</v>
      </c>
      <c r="O27" s="31">
        <f t="shared" si="11"/>
        <v>5622000</v>
      </c>
      <c r="P27" s="43">
        <f>SUM(D27:O27)</f>
        <v>518009000</v>
      </c>
      <c r="Q27" s="44">
        <f t="shared" si="4"/>
        <v>340.67683023474069</v>
      </c>
      <c r="R27" s="10"/>
    </row>
    <row r="28" spans="1:18">
      <c r="A28" s="11"/>
      <c r="B28" s="24">
        <v>331.1</v>
      </c>
      <c r="C28" s="19" t="s">
        <v>28</v>
      </c>
      <c r="D28" s="45">
        <v>0</v>
      </c>
      <c r="E28" s="45">
        <v>51000</v>
      </c>
      <c r="F28" s="45">
        <v>0</v>
      </c>
      <c r="G28" s="45">
        <v>0</v>
      </c>
      <c r="H28" s="45">
        <v>0</v>
      </c>
      <c r="I28" s="45">
        <v>0</v>
      </c>
      <c r="J28" s="45">
        <v>0</v>
      </c>
      <c r="K28" s="45">
        <v>0</v>
      </c>
      <c r="L28" s="45">
        <v>0</v>
      </c>
      <c r="M28" s="45">
        <v>0</v>
      </c>
      <c r="N28" s="45">
        <v>0</v>
      </c>
      <c r="O28" s="45">
        <v>0</v>
      </c>
      <c r="P28" s="45">
        <f>SUM(D28:O28)</f>
        <v>51000</v>
      </c>
      <c r="Q28" s="46">
        <f t="shared" si="4"/>
        <v>3.354095844275249E-2</v>
      </c>
      <c r="R28" s="9"/>
    </row>
    <row r="29" spans="1:18">
      <c r="A29" s="11"/>
      <c r="B29" s="24">
        <v>331.2</v>
      </c>
      <c r="C29" s="19" t="s">
        <v>29</v>
      </c>
      <c r="D29" s="45">
        <v>3069000</v>
      </c>
      <c r="E29" s="45">
        <v>14775000</v>
      </c>
      <c r="F29" s="45">
        <v>0</v>
      </c>
      <c r="G29" s="45">
        <v>0</v>
      </c>
      <c r="H29" s="45">
        <v>0</v>
      </c>
      <c r="I29" s="45">
        <v>0</v>
      </c>
      <c r="J29" s="45">
        <v>0</v>
      </c>
      <c r="K29" s="45">
        <v>0</v>
      </c>
      <c r="L29" s="45">
        <v>0</v>
      </c>
      <c r="M29" s="45">
        <v>0</v>
      </c>
      <c r="N29" s="45">
        <v>0</v>
      </c>
      <c r="O29" s="45">
        <v>0</v>
      </c>
      <c r="P29" s="45">
        <f>SUM(D29:O29)</f>
        <v>17844000</v>
      </c>
      <c r="Q29" s="46">
        <f t="shared" si="4"/>
        <v>11.73538945985246</v>
      </c>
      <c r="R29" s="9"/>
    </row>
    <row r="30" spans="1:18">
      <c r="A30" s="11"/>
      <c r="B30" s="24">
        <v>331.39</v>
      </c>
      <c r="C30" s="19" t="s">
        <v>35</v>
      </c>
      <c r="D30" s="45">
        <v>0</v>
      </c>
      <c r="E30" s="45">
        <v>4140000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v>0</v>
      </c>
      <c r="O30" s="45">
        <v>0</v>
      </c>
      <c r="P30" s="45">
        <f t="shared" ref="P30:P58" si="15">SUM(D30:O30)</f>
        <v>4140000</v>
      </c>
      <c r="Q30" s="46">
        <f t="shared" si="4"/>
        <v>2.7227366265293198</v>
      </c>
      <c r="R30" s="9"/>
    </row>
    <row r="31" spans="1:18">
      <c r="A31" s="11"/>
      <c r="B31" s="24">
        <v>331.49</v>
      </c>
      <c r="C31" s="19" t="s">
        <v>36</v>
      </c>
      <c r="D31" s="45">
        <v>0</v>
      </c>
      <c r="E31" s="45">
        <v>29885000</v>
      </c>
      <c r="F31" s="45">
        <v>0</v>
      </c>
      <c r="G31" s="45">
        <v>0</v>
      </c>
      <c r="H31" s="45">
        <v>0</v>
      </c>
      <c r="I31" s="45">
        <v>0</v>
      </c>
      <c r="J31" s="45">
        <v>0</v>
      </c>
      <c r="K31" s="45">
        <v>0</v>
      </c>
      <c r="L31" s="45">
        <v>0</v>
      </c>
      <c r="M31" s="45">
        <v>0</v>
      </c>
      <c r="N31" s="45">
        <v>0</v>
      </c>
      <c r="O31" s="45">
        <v>0</v>
      </c>
      <c r="P31" s="45">
        <f t="shared" si="15"/>
        <v>29885000</v>
      </c>
      <c r="Q31" s="46">
        <f t="shared" si="4"/>
        <v>19.654343981601141</v>
      </c>
      <c r="R31" s="9"/>
    </row>
    <row r="32" spans="1:18">
      <c r="A32" s="11"/>
      <c r="B32" s="24">
        <v>331.5</v>
      </c>
      <c r="C32" s="19" t="s">
        <v>31</v>
      </c>
      <c r="D32" s="45">
        <v>0</v>
      </c>
      <c r="E32" s="45">
        <v>18965000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45">
        <v>0</v>
      </c>
      <c r="O32" s="45">
        <v>0</v>
      </c>
      <c r="P32" s="45">
        <f t="shared" si="15"/>
        <v>18965000</v>
      </c>
      <c r="Q32" s="46">
        <f t="shared" si="4"/>
        <v>12.472632879741195</v>
      </c>
      <c r="R32" s="9"/>
    </row>
    <row r="33" spans="1:18">
      <c r="A33" s="11"/>
      <c r="B33" s="24">
        <v>331.61</v>
      </c>
      <c r="C33" s="19" t="s">
        <v>37</v>
      </c>
      <c r="D33" s="45">
        <v>0</v>
      </c>
      <c r="E33" s="45">
        <v>3660000</v>
      </c>
      <c r="F33" s="45">
        <v>0</v>
      </c>
      <c r="G33" s="45">
        <v>0</v>
      </c>
      <c r="H33" s="45">
        <v>0</v>
      </c>
      <c r="I33" s="45">
        <v>0</v>
      </c>
      <c r="J33" s="45">
        <v>0</v>
      </c>
      <c r="K33" s="45">
        <v>0</v>
      </c>
      <c r="L33" s="45">
        <v>0</v>
      </c>
      <c r="M33" s="45">
        <v>0</v>
      </c>
      <c r="N33" s="45">
        <v>0</v>
      </c>
      <c r="O33" s="45">
        <v>0</v>
      </c>
      <c r="P33" s="45">
        <f t="shared" si="15"/>
        <v>3660000</v>
      </c>
      <c r="Q33" s="46">
        <f t="shared" si="4"/>
        <v>2.407057017656355</v>
      </c>
      <c r="R33" s="9"/>
    </row>
    <row r="34" spans="1:18">
      <c r="A34" s="11"/>
      <c r="B34" s="24">
        <v>331.65</v>
      </c>
      <c r="C34" s="19" t="s">
        <v>38</v>
      </c>
      <c r="D34" s="45">
        <v>1050000</v>
      </c>
      <c r="E34" s="45">
        <v>0</v>
      </c>
      <c r="F34" s="45">
        <v>0</v>
      </c>
      <c r="G34" s="45">
        <v>0</v>
      </c>
      <c r="H34" s="45">
        <v>0</v>
      </c>
      <c r="I34" s="45">
        <v>0</v>
      </c>
      <c r="J34" s="45">
        <v>0</v>
      </c>
      <c r="K34" s="45">
        <v>0</v>
      </c>
      <c r="L34" s="45">
        <v>0</v>
      </c>
      <c r="M34" s="45">
        <v>0</v>
      </c>
      <c r="N34" s="45">
        <v>0</v>
      </c>
      <c r="O34" s="45">
        <v>0</v>
      </c>
      <c r="P34" s="45">
        <f t="shared" si="15"/>
        <v>1050000</v>
      </c>
      <c r="Q34" s="46">
        <f t="shared" si="4"/>
        <v>0.69054914440961013</v>
      </c>
      <c r="R34" s="9"/>
    </row>
    <row r="35" spans="1:18">
      <c r="A35" s="11"/>
      <c r="B35" s="24">
        <v>331.69</v>
      </c>
      <c r="C35" s="19" t="s">
        <v>39</v>
      </c>
      <c r="D35" s="45">
        <v>0</v>
      </c>
      <c r="E35" s="45">
        <v>64262000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v>0</v>
      </c>
      <c r="O35" s="45">
        <v>0</v>
      </c>
      <c r="P35" s="45">
        <f t="shared" si="15"/>
        <v>64262000</v>
      </c>
      <c r="Q35" s="46">
        <f t="shared" si="4"/>
        <v>42.262922969571775</v>
      </c>
      <c r="R35" s="9"/>
    </row>
    <row r="36" spans="1:18">
      <c r="A36" s="11"/>
      <c r="B36" s="24">
        <v>331.7</v>
      </c>
      <c r="C36" s="19" t="s">
        <v>169</v>
      </c>
      <c r="D36" s="45">
        <v>0</v>
      </c>
      <c r="E36" s="45">
        <v>35000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5">
        <v>0</v>
      </c>
      <c r="P36" s="45">
        <f t="shared" si="15"/>
        <v>35000</v>
      </c>
      <c r="Q36" s="46">
        <f t="shared" si="4"/>
        <v>2.3018304813653669E-2</v>
      </c>
      <c r="R36" s="9"/>
    </row>
    <row r="37" spans="1:18">
      <c r="A37" s="11"/>
      <c r="B37" s="24">
        <v>331.89</v>
      </c>
      <c r="C37" s="19" t="s">
        <v>295</v>
      </c>
      <c r="D37" s="45">
        <v>163000</v>
      </c>
      <c r="E37" s="45">
        <v>0</v>
      </c>
      <c r="F37" s="45">
        <v>0</v>
      </c>
      <c r="G37" s="45">
        <v>0</v>
      </c>
      <c r="H37" s="45">
        <v>0</v>
      </c>
      <c r="I37" s="45">
        <v>0</v>
      </c>
      <c r="J37" s="45">
        <v>0</v>
      </c>
      <c r="K37" s="45">
        <v>0</v>
      </c>
      <c r="L37" s="45">
        <v>0</v>
      </c>
      <c r="M37" s="45">
        <v>0</v>
      </c>
      <c r="N37" s="45">
        <v>0</v>
      </c>
      <c r="O37" s="45">
        <v>0</v>
      </c>
      <c r="P37" s="45">
        <f t="shared" si="15"/>
        <v>163000</v>
      </c>
      <c r="Q37" s="46">
        <f t="shared" ref="Q37:Q68" si="16">(P37/Q$156)</f>
        <v>0.10719953384644423</v>
      </c>
      <c r="R37" s="9"/>
    </row>
    <row r="38" spans="1:18">
      <c r="A38" s="11"/>
      <c r="B38" s="24">
        <v>332</v>
      </c>
      <c r="C38" s="19" t="s">
        <v>292</v>
      </c>
      <c r="D38" s="45">
        <v>80000</v>
      </c>
      <c r="E38" s="45">
        <v>99879000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5">
        <v>0</v>
      </c>
      <c r="L38" s="45">
        <v>0</v>
      </c>
      <c r="M38" s="45">
        <v>0</v>
      </c>
      <c r="N38" s="45">
        <v>0</v>
      </c>
      <c r="O38" s="45">
        <v>0</v>
      </c>
      <c r="P38" s="45">
        <f t="shared" si="15"/>
        <v>99959000</v>
      </c>
      <c r="Q38" s="46">
        <f t="shared" si="16"/>
        <v>65.739620881943054</v>
      </c>
      <c r="R38" s="9"/>
    </row>
    <row r="39" spans="1:18">
      <c r="A39" s="11"/>
      <c r="B39" s="24">
        <v>333</v>
      </c>
      <c r="C39" s="19" t="s">
        <v>4</v>
      </c>
      <c r="D39" s="45">
        <v>1000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f t="shared" si="15"/>
        <v>1000</v>
      </c>
      <c r="Q39" s="46">
        <f t="shared" si="16"/>
        <v>6.5766585181867624E-4</v>
      </c>
      <c r="R39" s="9"/>
    </row>
    <row r="40" spans="1:18">
      <c r="A40" s="11"/>
      <c r="B40" s="24">
        <v>334.2</v>
      </c>
      <c r="C40" s="19" t="s">
        <v>33</v>
      </c>
      <c r="D40" s="45">
        <v>0</v>
      </c>
      <c r="E40" s="45">
        <v>2383000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5">
        <v>0</v>
      </c>
      <c r="L40" s="45">
        <v>0</v>
      </c>
      <c r="M40" s="45">
        <v>0</v>
      </c>
      <c r="N40" s="45">
        <v>0</v>
      </c>
      <c r="O40" s="45">
        <v>0</v>
      </c>
      <c r="P40" s="45">
        <f t="shared" si="15"/>
        <v>2383000</v>
      </c>
      <c r="Q40" s="46">
        <f t="shared" si="16"/>
        <v>1.5672177248839054</v>
      </c>
      <c r="R40" s="9"/>
    </row>
    <row r="41" spans="1:18">
      <c r="A41" s="11"/>
      <c r="B41" s="24">
        <v>334.39</v>
      </c>
      <c r="C41" s="19" t="s">
        <v>40</v>
      </c>
      <c r="D41" s="45">
        <v>86000</v>
      </c>
      <c r="E41" s="45">
        <v>1946000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f t="shared" si="15"/>
        <v>2032000</v>
      </c>
      <c r="Q41" s="46">
        <f t="shared" si="16"/>
        <v>1.3363770108955502</v>
      </c>
      <c r="R41" s="9"/>
    </row>
    <row r="42" spans="1:18">
      <c r="A42" s="11"/>
      <c r="B42" s="24">
        <v>334.49</v>
      </c>
      <c r="C42" s="19" t="s">
        <v>41</v>
      </c>
      <c r="D42" s="45">
        <v>0</v>
      </c>
      <c r="E42" s="45">
        <v>5408000</v>
      </c>
      <c r="F42" s="45">
        <v>0</v>
      </c>
      <c r="G42" s="45">
        <v>0</v>
      </c>
      <c r="H42" s="45">
        <v>0</v>
      </c>
      <c r="I42" s="45">
        <v>0</v>
      </c>
      <c r="J42" s="45">
        <v>0</v>
      </c>
      <c r="K42" s="45">
        <v>0</v>
      </c>
      <c r="L42" s="45">
        <v>0</v>
      </c>
      <c r="M42" s="45">
        <v>0</v>
      </c>
      <c r="N42" s="45">
        <v>0</v>
      </c>
      <c r="O42" s="45">
        <v>0</v>
      </c>
      <c r="P42" s="45">
        <f t="shared" si="15"/>
        <v>5408000</v>
      </c>
      <c r="Q42" s="46">
        <f t="shared" si="16"/>
        <v>3.5566569266354011</v>
      </c>
      <c r="R42" s="9"/>
    </row>
    <row r="43" spans="1:18">
      <c r="A43" s="11"/>
      <c r="B43" s="24">
        <v>334.5</v>
      </c>
      <c r="C43" s="19" t="s">
        <v>42</v>
      </c>
      <c r="D43" s="45">
        <v>0</v>
      </c>
      <c r="E43" s="45">
        <v>3000</v>
      </c>
      <c r="F43" s="45">
        <v>0</v>
      </c>
      <c r="G43" s="45">
        <v>0</v>
      </c>
      <c r="H43" s="45">
        <v>0</v>
      </c>
      <c r="I43" s="45">
        <v>0</v>
      </c>
      <c r="J43" s="45">
        <v>0</v>
      </c>
      <c r="K43" s="45">
        <v>0</v>
      </c>
      <c r="L43" s="45">
        <v>0</v>
      </c>
      <c r="M43" s="45">
        <v>0</v>
      </c>
      <c r="N43" s="45">
        <v>0</v>
      </c>
      <c r="O43" s="45">
        <v>0</v>
      </c>
      <c r="P43" s="45">
        <f t="shared" si="15"/>
        <v>3000</v>
      </c>
      <c r="Q43" s="46">
        <f t="shared" si="16"/>
        <v>1.9729975554560286E-3</v>
      </c>
      <c r="R43" s="9"/>
    </row>
    <row r="44" spans="1:18">
      <c r="A44" s="11"/>
      <c r="B44" s="24">
        <v>334.61</v>
      </c>
      <c r="C44" s="19" t="s">
        <v>43</v>
      </c>
      <c r="D44" s="45">
        <v>0</v>
      </c>
      <c r="E44" s="45">
        <v>72000</v>
      </c>
      <c r="F44" s="45">
        <v>0</v>
      </c>
      <c r="G44" s="45">
        <v>0</v>
      </c>
      <c r="H44" s="45">
        <v>0</v>
      </c>
      <c r="I44" s="45">
        <v>0</v>
      </c>
      <c r="J44" s="45">
        <v>0</v>
      </c>
      <c r="K44" s="45">
        <v>0</v>
      </c>
      <c r="L44" s="45">
        <v>0</v>
      </c>
      <c r="M44" s="45">
        <v>0</v>
      </c>
      <c r="N44" s="45">
        <v>0</v>
      </c>
      <c r="O44" s="45">
        <v>0</v>
      </c>
      <c r="P44" s="45">
        <f t="shared" si="15"/>
        <v>72000</v>
      </c>
      <c r="Q44" s="46">
        <f t="shared" si="16"/>
        <v>4.735194133094469E-2</v>
      </c>
      <c r="R44" s="9"/>
    </row>
    <row r="45" spans="1:18">
      <c r="A45" s="11"/>
      <c r="B45" s="24">
        <v>334.69</v>
      </c>
      <c r="C45" s="19" t="s">
        <v>44</v>
      </c>
      <c r="D45" s="45">
        <v>0</v>
      </c>
      <c r="E45" s="45">
        <v>6695000</v>
      </c>
      <c r="F45" s="45">
        <v>0</v>
      </c>
      <c r="G45" s="45">
        <v>0</v>
      </c>
      <c r="H45" s="45">
        <v>0</v>
      </c>
      <c r="I45" s="45">
        <v>0</v>
      </c>
      <c r="J45" s="45">
        <v>0</v>
      </c>
      <c r="K45" s="45">
        <v>0</v>
      </c>
      <c r="L45" s="45">
        <v>0</v>
      </c>
      <c r="M45" s="45">
        <v>0</v>
      </c>
      <c r="N45" s="45">
        <v>0</v>
      </c>
      <c r="O45" s="45">
        <v>0</v>
      </c>
      <c r="P45" s="45">
        <f t="shared" si="15"/>
        <v>6695000</v>
      </c>
      <c r="Q45" s="46">
        <f t="shared" si="16"/>
        <v>4.4030728779260375</v>
      </c>
      <c r="R45" s="9"/>
    </row>
    <row r="46" spans="1:18">
      <c r="A46" s="11"/>
      <c r="B46" s="24">
        <v>334.7</v>
      </c>
      <c r="C46" s="19" t="s">
        <v>45</v>
      </c>
      <c r="D46" s="45">
        <v>0</v>
      </c>
      <c r="E46" s="45">
        <v>505000</v>
      </c>
      <c r="F46" s="45">
        <v>0</v>
      </c>
      <c r="G46" s="45">
        <v>0</v>
      </c>
      <c r="H46" s="45">
        <v>0</v>
      </c>
      <c r="I46" s="45">
        <v>0</v>
      </c>
      <c r="J46" s="45">
        <v>0</v>
      </c>
      <c r="K46" s="45">
        <v>0</v>
      </c>
      <c r="L46" s="45">
        <v>0</v>
      </c>
      <c r="M46" s="45">
        <v>0</v>
      </c>
      <c r="N46" s="45">
        <v>0</v>
      </c>
      <c r="O46" s="45">
        <v>0</v>
      </c>
      <c r="P46" s="45">
        <f t="shared" si="15"/>
        <v>505000</v>
      </c>
      <c r="Q46" s="46">
        <f t="shared" si="16"/>
        <v>0.3321212551684315</v>
      </c>
      <c r="R46" s="9"/>
    </row>
    <row r="47" spans="1:18">
      <c r="A47" s="11"/>
      <c r="B47" s="24">
        <v>334.82</v>
      </c>
      <c r="C47" s="19" t="s">
        <v>312</v>
      </c>
      <c r="D47" s="45">
        <v>0</v>
      </c>
      <c r="E47" s="45">
        <v>1375000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v>0</v>
      </c>
      <c r="O47" s="45">
        <v>0</v>
      </c>
      <c r="P47" s="45">
        <f t="shared" si="15"/>
        <v>1375000</v>
      </c>
      <c r="Q47" s="46">
        <f t="shared" si="16"/>
        <v>0.90429054625067984</v>
      </c>
      <c r="R47" s="9"/>
    </row>
    <row r="48" spans="1:18">
      <c r="A48" s="11"/>
      <c r="B48" s="24">
        <v>334.89</v>
      </c>
      <c r="C48" s="19" t="s">
        <v>46</v>
      </c>
      <c r="D48" s="45">
        <v>0</v>
      </c>
      <c r="E48" s="45">
        <v>658000</v>
      </c>
      <c r="F48" s="45">
        <v>0</v>
      </c>
      <c r="G48" s="45">
        <v>0</v>
      </c>
      <c r="H48" s="45">
        <v>0</v>
      </c>
      <c r="I48" s="45">
        <v>0</v>
      </c>
      <c r="J48" s="45">
        <v>0</v>
      </c>
      <c r="K48" s="45">
        <v>0</v>
      </c>
      <c r="L48" s="45">
        <v>0</v>
      </c>
      <c r="M48" s="45">
        <v>0</v>
      </c>
      <c r="N48" s="45">
        <v>0</v>
      </c>
      <c r="O48" s="45">
        <v>0</v>
      </c>
      <c r="P48" s="45">
        <f t="shared" si="15"/>
        <v>658000</v>
      </c>
      <c r="Q48" s="46">
        <f t="shared" si="16"/>
        <v>0.43274413049668897</v>
      </c>
      <c r="R48" s="9"/>
    </row>
    <row r="49" spans="1:18">
      <c r="A49" s="11"/>
      <c r="B49" s="24">
        <v>335.12099999999998</v>
      </c>
      <c r="C49" s="19" t="s">
        <v>313</v>
      </c>
      <c r="D49" s="45">
        <v>49298000</v>
      </c>
      <c r="E49" s="45">
        <v>6752000</v>
      </c>
      <c r="F49" s="45">
        <v>0</v>
      </c>
      <c r="G49" s="45">
        <v>0</v>
      </c>
      <c r="H49" s="45">
        <v>0</v>
      </c>
      <c r="I49" s="45">
        <v>0</v>
      </c>
      <c r="J49" s="45">
        <v>0</v>
      </c>
      <c r="K49" s="45">
        <v>0</v>
      </c>
      <c r="L49" s="45">
        <v>0</v>
      </c>
      <c r="M49" s="45">
        <v>0</v>
      </c>
      <c r="N49" s="45">
        <v>0</v>
      </c>
      <c r="O49" s="45">
        <v>0</v>
      </c>
      <c r="P49" s="45">
        <f t="shared" si="15"/>
        <v>56050000</v>
      </c>
      <c r="Q49" s="46">
        <f t="shared" si="16"/>
        <v>36.862170994436802</v>
      </c>
      <c r="R49" s="9"/>
    </row>
    <row r="50" spans="1:18">
      <c r="A50" s="11"/>
      <c r="B50" s="24">
        <v>335.13</v>
      </c>
      <c r="C50" s="19" t="s">
        <v>205</v>
      </c>
      <c r="D50" s="45">
        <v>572000</v>
      </c>
      <c r="E50" s="45">
        <v>0</v>
      </c>
      <c r="F50" s="45">
        <v>0</v>
      </c>
      <c r="G50" s="45">
        <v>0</v>
      </c>
      <c r="H50" s="45">
        <v>0</v>
      </c>
      <c r="I50" s="45">
        <v>0</v>
      </c>
      <c r="J50" s="45">
        <v>0</v>
      </c>
      <c r="K50" s="45">
        <v>0</v>
      </c>
      <c r="L50" s="45">
        <v>0</v>
      </c>
      <c r="M50" s="45">
        <v>0</v>
      </c>
      <c r="N50" s="45">
        <v>0</v>
      </c>
      <c r="O50" s="45">
        <v>0</v>
      </c>
      <c r="P50" s="45">
        <f t="shared" si="15"/>
        <v>572000</v>
      </c>
      <c r="Q50" s="46">
        <f t="shared" si="16"/>
        <v>0.37618486724028283</v>
      </c>
      <c r="R50" s="9"/>
    </row>
    <row r="51" spans="1:18">
      <c r="A51" s="11"/>
      <c r="B51" s="24">
        <v>335.14</v>
      </c>
      <c r="C51" s="19" t="s">
        <v>206</v>
      </c>
      <c r="D51" s="45">
        <v>403000</v>
      </c>
      <c r="E51" s="45">
        <v>0</v>
      </c>
      <c r="F51" s="45">
        <v>0</v>
      </c>
      <c r="G51" s="45">
        <v>0</v>
      </c>
      <c r="H51" s="45">
        <v>0</v>
      </c>
      <c r="I51" s="45">
        <v>0</v>
      </c>
      <c r="J51" s="45">
        <v>0</v>
      </c>
      <c r="K51" s="45">
        <v>0</v>
      </c>
      <c r="L51" s="45">
        <v>0</v>
      </c>
      <c r="M51" s="45">
        <v>0</v>
      </c>
      <c r="N51" s="45">
        <v>0</v>
      </c>
      <c r="O51" s="45">
        <v>0</v>
      </c>
      <c r="P51" s="45">
        <f t="shared" si="15"/>
        <v>403000</v>
      </c>
      <c r="Q51" s="46">
        <f t="shared" si="16"/>
        <v>0.26503933828292653</v>
      </c>
      <c r="R51" s="9"/>
    </row>
    <row r="52" spans="1:18">
      <c r="A52" s="11"/>
      <c r="B52" s="24">
        <v>335.15</v>
      </c>
      <c r="C52" s="19" t="s">
        <v>207</v>
      </c>
      <c r="D52" s="45">
        <v>545000</v>
      </c>
      <c r="E52" s="45">
        <v>0</v>
      </c>
      <c r="F52" s="45">
        <v>0</v>
      </c>
      <c r="G52" s="45">
        <v>0</v>
      </c>
      <c r="H52" s="45">
        <v>0</v>
      </c>
      <c r="I52" s="45">
        <v>0</v>
      </c>
      <c r="J52" s="45">
        <v>0</v>
      </c>
      <c r="K52" s="45">
        <v>0</v>
      </c>
      <c r="L52" s="45">
        <v>0</v>
      </c>
      <c r="M52" s="45">
        <v>0</v>
      </c>
      <c r="N52" s="45">
        <v>0</v>
      </c>
      <c r="O52" s="45">
        <v>0</v>
      </c>
      <c r="P52" s="45">
        <f t="shared" si="15"/>
        <v>545000</v>
      </c>
      <c r="Q52" s="46">
        <f t="shared" si="16"/>
        <v>0.35842788924117858</v>
      </c>
      <c r="R52" s="9"/>
    </row>
    <row r="53" spans="1:18">
      <c r="A53" s="11"/>
      <c r="B53" s="24">
        <v>335.16</v>
      </c>
      <c r="C53" s="19" t="s">
        <v>314</v>
      </c>
      <c r="D53" s="45">
        <v>447000</v>
      </c>
      <c r="E53" s="45">
        <v>0</v>
      </c>
      <c r="F53" s="45">
        <v>0</v>
      </c>
      <c r="G53" s="45">
        <v>0</v>
      </c>
      <c r="H53" s="45">
        <v>0</v>
      </c>
      <c r="I53" s="45">
        <v>0</v>
      </c>
      <c r="J53" s="45">
        <v>0</v>
      </c>
      <c r="K53" s="45">
        <v>0</v>
      </c>
      <c r="L53" s="45">
        <v>0</v>
      </c>
      <c r="M53" s="45">
        <v>0</v>
      </c>
      <c r="N53" s="45">
        <v>0</v>
      </c>
      <c r="O53" s="45">
        <v>0</v>
      </c>
      <c r="P53" s="45">
        <f t="shared" si="15"/>
        <v>447000</v>
      </c>
      <c r="Q53" s="46">
        <f t="shared" si="16"/>
        <v>0.2939766357629483</v>
      </c>
      <c r="R53" s="9"/>
    </row>
    <row r="54" spans="1:18">
      <c r="A54" s="11"/>
      <c r="B54" s="24">
        <v>335.18</v>
      </c>
      <c r="C54" s="19" t="s">
        <v>315</v>
      </c>
      <c r="D54" s="45">
        <v>0</v>
      </c>
      <c r="E54" s="45">
        <v>151094000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f t="shared" si="15"/>
        <v>151094000</v>
      </c>
      <c r="Q54" s="46">
        <f t="shared" si="16"/>
        <v>99.369364214691075</v>
      </c>
      <c r="R54" s="9"/>
    </row>
    <row r="55" spans="1:18">
      <c r="A55" s="11"/>
      <c r="B55" s="24">
        <v>335.21</v>
      </c>
      <c r="C55" s="19" t="s">
        <v>55</v>
      </c>
      <c r="D55" s="45">
        <v>263000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v>0</v>
      </c>
      <c r="O55" s="45">
        <v>0</v>
      </c>
      <c r="P55" s="45">
        <f t="shared" si="15"/>
        <v>263000</v>
      </c>
      <c r="Q55" s="46">
        <f t="shared" si="16"/>
        <v>0.17296611902831185</v>
      </c>
      <c r="R55" s="9"/>
    </row>
    <row r="56" spans="1:18">
      <c r="A56" s="11"/>
      <c r="B56" s="24">
        <v>335.22</v>
      </c>
      <c r="C56" s="19" t="s">
        <v>56</v>
      </c>
      <c r="D56" s="45">
        <v>0</v>
      </c>
      <c r="E56" s="45">
        <v>8179000</v>
      </c>
      <c r="F56" s="45">
        <v>0</v>
      </c>
      <c r="G56" s="45">
        <v>0</v>
      </c>
      <c r="H56" s="45">
        <v>0</v>
      </c>
      <c r="I56" s="45">
        <v>0</v>
      </c>
      <c r="J56" s="45">
        <v>0</v>
      </c>
      <c r="K56" s="45">
        <v>0</v>
      </c>
      <c r="L56" s="45">
        <v>0</v>
      </c>
      <c r="M56" s="45">
        <v>0</v>
      </c>
      <c r="N56" s="45">
        <v>0</v>
      </c>
      <c r="O56" s="45">
        <v>0</v>
      </c>
      <c r="P56" s="45">
        <f t="shared" si="15"/>
        <v>8179000</v>
      </c>
      <c r="Q56" s="46">
        <f t="shared" si="16"/>
        <v>5.3790490020249528</v>
      </c>
      <c r="R56" s="9"/>
    </row>
    <row r="57" spans="1:18">
      <c r="A57" s="11"/>
      <c r="B57" s="24">
        <v>335.23</v>
      </c>
      <c r="C57" s="19" t="s">
        <v>171</v>
      </c>
      <c r="D57" s="45">
        <v>0</v>
      </c>
      <c r="E57" s="45">
        <v>81000</v>
      </c>
      <c r="F57" s="45">
        <v>0</v>
      </c>
      <c r="G57" s="45">
        <v>0</v>
      </c>
      <c r="H57" s="45">
        <v>0</v>
      </c>
      <c r="I57" s="45">
        <v>0</v>
      </c>
      <c r="J57" s="45">
        <v>0</v>
      </c>
      <c r="K57" s="45">
        <v>0</v>
      </c>
      <c r="L57" s="45">
        <v>0</v>
      </c>
      <c r="M57" s="45">
        <v>0</v>
      </c>
      <c r="N57" s="45">
        <v>0</v>
      </c>
      <c r="O57" s="45">
        <v>0</v>
      </c>
      <c r="P57" s="45">
        <f t="shared" si="15"/>
        <v>81000</v>
      </c>
      <c r="Q57" s="46">
        <f t="shared" si="16"/>
        <v>5.327093399731278E-2</v>
      </c>
      <c r="R57" s="9"/>
    </row>
    <row r="58" spans="1:18">
      <c r="A58" s="11"/>
      <c r="B58" s="24">
        <v>335.29</v>
      </c>
      <c r="C58" s="19" t="s">
        <v>57</v>
      </c>
      <c r="D58" s="45">
        <v>4000</v>
      </c>
      <c r="E58" s="45">
        <v>0</v>
      </c>
      <c r="F58" s="45">
        <v>0</v>
      </c>
      <c r="G58" s="45">
        <v>0</v>
      </c>
      <c r="H58" s="45">
        <v>0</v>
      </c>
      <c r="I58" s="45">
        <v>0</v>
      </c>
      <c r="J58" s="45">
        <v>0</v>
      </c>
      <c r="K58" s="45">
        <v>0</v>
      </c>
      <c r="L58" s="45">
        <v>0</v>
      </c>
      <c r="M58" s="45">
        <v>0</v>
      </c>
      <c r="N58" s="45">
        <v>0</v>
      </c>
      <c r="O58" s="45">
        <v>0</v>
      </c>
      <c r="P58" s="45">
        <f t="shared" si="15"/>
        <v>4000</v>
      </c>
      <c r="Q58" s="46">
        <f t="shared" si="16"/>
        <v>2.6306634072747049E-3</v>
      </c>
      <c r="R58" s="9"/>
    </row>
    <row r="59" spans="1:18">
      <c r="A59" s="11"/>
      <c r="B59" s="24">
        <v>335.38</v>
      </c>
      <c r="C59" s="19" t="s">
        <v>58</v>
      </c>
      <c r="D59" s="45">
        <v>0</v>
      </c>
      <c r="E59" s="45">
        <v>1321000</v>
      </c>
      <c r="F59" s="45">
        <v>0</v>
      </c>
      <c r="G59" s="45">
        <v>0</v>
      </c>
      <c r="H59" s="45">
        <v>0</v>
      </c>
      <c r="I59" s="45">
        <v>0</v>
      </c>
      <c r="J59" s="45">
        <v>0</v>
      </c>
      <c r="K59" s="45">
        <v>0</v>
      </c>
      <c r="L59" s="45">
        <v>0</v>
      </c>
      <c r="M59" s="45">
        <v>0</v>
      </c>
      <c r="N59" s="45">
        <v>0</v>
      </c>
      <c r="O59" s="45">
        <v>0</v>
      </c>
      <c r="P59" s="45">
        <f t="shared" ref="P59:P69" si="17">SUM(D59:O59)</f>
        <v>1321000</v>
      </c>
      <c r="Q59" s="46">
        <f t="shared" si="16"/>
        <v>0.86877659025247134</v>
      </c>
      <c r="R59" s="9"/>
    </row>
    <row r="60" spans="1:18">
      <c r="A60" s="11"/>
      <c r="B60" s="24">
        <v>335.43</v>
      </c>
      <c r="C60" s="19" t="s">
        <v>316</v>
      </c>
      <c r="D60" s="45">
        <v>0</v>
      </c>
      <c r="E60" s="45">
        <v>12663000</v>
      </c>
      <c r="F60" s="45">
        <v>0</v>
      </c>
      <c r="G60" s="45">
        <v>0</v>
      </c>
      <c r="H60" s="45">
        <v>0</v>
      </c>
      <c r="I60" s="45">
        <v>0</v>
      </c>
      <c r="J60" s="45">
        <v>0</v>
      </c>
      <c r="K60" s="45">
        <v>0</v>
      </c>
      <c r="L60" s="45">
        <v>0</v>
      </c>
      <c r="M60" s="45">
        <v>0</v>
      </c>
      <c r="N60" s="45">
        <v>0</v>
      </c>
      <c r="O60" s="45">
        <v>0</v>
      </c>
      <c r="P60" s="45">
        <f t="shared" si="17"/>
        <v>12663000</v>
      </c>
      <c r="Q60" s="46">
        <f t="shared" si="16"/>
        <v>8.3280226815798972</v>
      </c>
      <c r="R60" s="9"/>
    </row>
    <row r="61" spans="1:18">
      <c r="A61" s="11"/>
      <c r="B61" s="24">
        <v>335.44</v>
      </c>
      <c r="C61" s="19" t="s">
        <v>317</v>
      </c>
      <c r="D61" s="45">
        <v>0</v>
      </c>
      <c r="E61" s="45">
        <v>5522000</v>
      </c>
      <c r="F61" s="45">
        <v>0</v>
      </c>
      <c r="G61" s="45">
        <v>0</v>
      </c>
      <c r="H61" s="45">
        <v>0</v>
      </c>
      <c r="I61" s="45">
        <v>0</v>
      </c>
      <c r="J61" s="45">
        <v>0</v>
      </c>
      <c r="K61" s="45">
        <v>0</v>
      </c>
      <c r="L61" s="45">
        <v>0</v>
      </c>
      <c r="M61" s="45">
        <v>0</v>
      </c>
      <c r="N61" s="45">
        <v>0</v>
      </c>
      <c r="O61" s="45">
        <v>0</v>
      </c>
      <c r="P61" s="45">
        <f t="shared" si="17"/>
        <v>5522000</v>
      </c>
      <c r="Q61" s="46">
        <f t="shared" si="16"/>
        <v>3.6316308337427303</v>
      </c>
      <c r="R61" s="9"/>
    </row>
    <row r="62" spans="1:18">
      <c r="A62" s="11"/>
      <c r="B62" s="24">
        <v>335.48</v>
      </c>
      <c r="C62" s="19" t="s">
        <v>59</v>
      </c>
      <c r="D62" s="45">
        <v>0</v>
      </c>
      <c r="E62" s="45">
        <v>704000</v>
      </c>
      <c r="F62" s="45">
        <v>0</v>
      </c>
      <c r="G62" s="45">
        <v>0</v>
      </c>
      <c r="H62" s="45">
        <v>0</v>
      </c>
      <c r="I62" s="45">
        <v>0</v>
      </c>
      <c r="J62" s="45">
        <v>0</v>
      </c>
      <c r="K62" s="45">
        <v>0</v>
      </c>
      <c r="L62" s="45">
        <v>0</v>
      </c>
      <c r="M62" s="45">
        <v>0</v>
      </c>
      <c r="N62" s="45">
        <v>0</v>
      </c>
      <c r="O62" s="45">
        <v>0</v>
      </c>
      <c r="P62" s="45">
        <f t="shared" si="17"/>
        <v>704000</v>
      </c>
      <c r="Q62" s="46">
        <f t="shared" si="16"/>
        <v>0.46299675968034809</v>
      </c>
      <c r="R62" s="9"/>
    </row>
    <row r="63" spans="1:18">
      <c r="A63" s="11"/>
      <c r="B63" s="24">
        <v>335.5</v>
      </c>
      <c r="C63" s="19" t="s">
        <v>60</v>
      </c>
      <c r="D63" s="45">
        <v>0</v>
      </c>
      <c r="E63" s="45">
        <v>11428000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0</v>
      </c>
      <c r="N63" s="45">
        <v>0</v>
      </c>
      <c r="O63" s="45">
        <v>0</v>
      </c>
      <c r="P63" s="45">
        <f t="shared" si="17"/>
        <v>11428000</v>
      </c>
      <c r="Q63" s="46">
        <f t="shared" si="16"/>
        <v>7.5158053545838319</v>
      </c>
      <c r="R63" s="9"/>
    </row>
    <row r="64" spans="1:18">
      <c r="A64" s="11"/>
      <c r="B64" s="24">
        <v>335.69</v>
      </c>
      <c r="C64" s="19" t="s">
        <v>61</v>
      </c>
      <c r="D64" s="45">
        <v>0</v>
      </c>
      <c r="E64" s="45">
        <v>0</v>
      </c>
      <c r="F64" s="45">
        <v>0</v>
      </c>
      <c r="G64" s="45">
        <v>0</v>
      </c>
      <c r="H64" s="45">
        <v>0</v>
      </c>
      <c r="I64" s="45">
        <v>0</v>
      </c>
      <c r="J64" s="45">
        <v>213000</v>
      </c>
      <c r="K64" s="45">
        <v>0</v>
      </c>
      <c r="L64" s="45">
        <v>0</v>
      </c>
      <c r="M64" s="45">
        <v>0</v>
      </c>
      <c r="N64" s="45">
        <v>0</v>
      </c>
      <c r="O64" s="45">
        <v>0</v>
      </c>
      <c r="P64" s="45">
        <f t="shared" si="17"/>
        <v>213000</v>
      </c>
      <c r="Q64" s="46">
        <f t="shared" si="16"/>
        <v>0.14008282643737804</v>
      </c>
      <c r="R64" s="9"/>
    </row>
    <row r="65" spans="1:18">
      <c r="A65" s="11"/>
      <c r="B65" s="24">
        <v>335.7</v>
      </c>
      <c r="C65" s="19" t="s">
        <v>62</v>
      </c>
      <c r="D65" s="45">
        <v>0</v>
      </c>
      <c r="E65" s="45">
        <v>2355000</v>
      </c>
      <c r="F65" s="45">
        <v>0</v>
      </c>
      <c r="G65" s="45">
        <v>0</v>
      </c>
      <c r="H65" s="45">
        <v>0</v>
      </c>
      <c r="I65" s="45">
        <v>0</v>
      </c>
      <c r="J65" s="45">
        <v>0</v>
      </c>
      <c r="K65" s="45">
        <v>0</v>
      </c>
      <c r="L65" s="45">
        <v>0</v>
      </c>
      <c r="M65" s="45">
        <v>0</v>
      </c>
      <c r="N65" s="45">
        <v>0</v>
      </c>
      <c r="O65" s="45">
        <v>0</v>
      </c>
      <c r="P65" s="45">
        <f t="shared" si="17"/>
        <v>2355000</v>
      </c>
      <c r="Q65" s="46">
        <f t="shared" si="16"/>
        <v>1.5488030810329827</v>
      </c>
      <c r="R65" s="9"/>
    </row>
    <row r="66" spans="1:18">
      <c r="A66" s="11"/>
      <c r="B66" s="24">
        <v>337.1</v>
      </c>
      <c r="C66" s="19" t="s">
        <v>64</v>
      </c>
      <c r="D66" s="45">
        <v>0</v>
      </c>
      <c r="E66" s="45">
        <v>18000</v>
      </c>
      <c r="F66" s="45">
        <v>0</v>
      </c>
      <c r="G66" s="45">
        <v>0</v>
      </c>
      <c r="H66" s="45">
        <v>0</v>
      </c>
      <c r="I66" s="45">
        <v>0</v>
      </c>
      <c r="J66" s="45">
        <v>0</v>
      </c>
      <c r="K66" s="45">
        <v>0</v>
      </c>
      <c r="L66" s="45">
        <v>0</v>
      </c>
      <c r="M66" s="45">
        <v>0</v>
      </c>
      <c r="N66" s="45">
        <v>0</v>
      </c>
      <c r="O66" s="45">
        <v>4622000</v>
      </c>
      <c r="P66" s="45">
        <f t="shared" si="17"/>
        <v>4640000</v>
      </c>
      <c r="Q66" s="46">
        <f t="shared" si="16"/>
        <v>3.0515695524386577</v>
      </c>
      <c r="R66" s="9"/>
    </row>
    <row r="67" spans="1:18">
      <c r="A67" s="11"/>
      <c r="B67" s="24">
        <v>337.3</v>
      </c>
      <c r="C67" s="19" t="s">
        <v>66</v>
      </c>
      <c r="D67" s="45">
        <v>0</v>
      </c>
      <c r="E67" s="45">
        <v>1212000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>
        <v>0</v>
      </c>
      <c r="N67" s="45">
        <v>0</v>
      </c>
      <c r="O67" s="45">
        <v>0</v>
      </c>
      <c r="P67" s="45">
        <f t="shared" si="17"/>
        <v>1212000</v>
      </c>
      <c r="Q67" s="46">
        <f t="shared" si="16"/>
        <v>0.79709101240423563</v>
      </c>
      <c r="R67" s="9"/>
    </row>
    <row r="68" spans="1:18">
      <c r="A68" s="11"/>
      <c r="B68" s="24">
        <v>337.4</v>
      </c>
      <c r="C68" s="19" t="s">
        <v>172</v>
      </c>
      <c r="D68" s="45">
        <v>0</v>
      </c>
      <c r="E68" s="45">
        <v>167000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</v>
      </c>
      <c r="L68" s="45">
        <v>0</v>
      </c>
      <c r="M68" s="45">
        <v>0</v>
      </c>
      <c r="N68" s="45">
        <v>0</v>
      </c>
      <c r="O68" s="45">
        <v>0</v>
      </c>
      <c r="P68" s="45">
        <f t="shared" si="17"/>
        <v>167000</v>
      </c>
      <c r="Q68" s="46">
        <f t="shared" si="16"/>
        <v>0.10983019725371894</v>
      </c>
      <c r="R68" s="9"/>
    </row>
    <row r="69" spans="1:18">
      <c r="A69" s="11"/>
      <c r="B69" s="24">
        <v>337.5</v>
      </c>
      <c r="C69" s="19" t="s">
        <v>67</v>
      </c>
      <c r="D69" s="45">
        <v>0</v>
      </c>
      <c r="E69" s="45">
        <v>0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5">
        <v>0</v>
      </c>
      <c r="L69" s="45">
        <v>0</v>
      </c>
      <c r="M69" s="45">
        <v>0</v>
      </c>
      <c r="N69" s="45">
        <v>0</v>
      </c>
      <c r="O69" s="45">
        <v>1000000</v>
      </c>
      <c r="P69" s="45">
        <f t="shared" si="17"/>
        <v>1000000</v>
      </c>
      <c r="Q69" s="46">
        <f t="shared" ref="Q69:Q100" si="18">(P69/Q$156)</f>
        <v>0.65766585181867632</v>
      </c>
      <c r="R69" s="9"/>
    </row>
    <row r="70" spans="1:18" ht="15.75">
      <c r="A70" s="28" t="s">
        <v>75</v>
      </c>
      <c r="B70" s="29"/>
      <c r="C70" s="30"/>
      <c r="D70" s="31">
        <f t="shared" ref="D70:O70" si="19">SUM(D71:D124)</f>
        <v>155679000</v>
      </c>
      <c r="E70" s="31">
        <f t="shared" si="19"/>
        <v>52285000</v>
      </c>
      <c r="F70" s="31">
        <f t="shared" si="19"/>
        <v>545000</v>
      </c>
      <c r="G70" s="31">
        <f t="shared" si="19"/>
        <v>0</v>
      </c>
      <c r="H70" s="31">
        <f t="shared" si="19"/>
        <v>0</v>
      </c>
      <c r="I70" s="31">
        <f t="shared" si="19"/>
        <v>499378000</v>
      </c>
      <c r="J70" s="31">
        <f t="shared" si="19"/>
        <v>228763000</v>
      </c>
      <c r="K70" s="31">
        <f t="shared" ref="K70" si="20">SUM(K71:K124)</f>
        <v>0</v>
      </c>
      <c r="L70" s="31">
        <f t="shared" ref="L70" si="21">SUM(L71:L124)</f>
        <v>0</v>
      </c>
      <c r="M70" s="31">
        <f t="shared" si="19"/>
        <v>0</v>
      </c>
      <c r="N70" s="31">
        <f t="shared" ref="N70" si="22">SUM(N71:N124)</f>
        <v>0</v>
      </c>
      <c r="O70" s="31">
        <f t="shared" si="19"/>
        <v>2018000</v>
      </c>
      <c r="P70" s="31">
        <f>SUM(D70:O70)</f>
        <v>938668000</v>
      </c>
      <c r="Q70" s="44">
        <f t="shared" si="18"/>
        <v>617.32988979493325</v>
      </c>
      <c r="R70" s="10"/>
    </row>
    <row r="71" spans="1:18">
      <c r="A71" s="11"/>
      <c r="B71" s="24">
        <v>341.1</v>
      </c>
      <c r="C71" s="19" t="s">
        <v>212</v>
      </c>
      <c r="D71" s="45">
        <v>6975000</v>
      </c>
      <c r="E71" s="45">
        <v>0</v>
      </c>
      <c r="F71" s="45">
        <v>0</v>
      </c>
      <c r="G71" s="45">
        <v>0</v>
      </c>
      <c r="H71" s="45">
        <v>0</v>
      </c>
      <c r="I71" s="45">
        <v>0</v>
      </c>
      <c r="J71" s="45">
        <v>0</v>
      </c>
      <c r="K71" s="45">
        <v>0</v>
      </c>
      <c r="L71" s="45">
        <v>0</v>
      </c>
      <c r="M71" s="45">
        <v>0</v>
      </c>
      <c r="N71" s="45">
        <v>0</v>
      </c>
      <c r="O71" s="45">
        <v>0</v>
      </c>
      <c r="P71" s="45">
        <f>SUM(D71:O71)</f>
        <v>6975000</v>
      </c>
      <c r="Q71" s="46">
        <f t="shared" si="18"/>
        <v>4.5872193164352666</v>
      </c>
      <c r="R71" s="9"/>
    </row>
    <row r="72" spans="1:18">
      <c r="A72" s="11"/>
      <c r="B72" s="24">
        <v>341.15</v>
      </c>
      <c r="C72" s="19" t="s">
        <v>213</v>
      </c>
      <c r="D72" s="45">
        <v>0</v>
      </c>
      <c r="E72" s="45">
        <v>4276000</v>
      </c>
      <c r="F72" s="45">
        <v>0</v>
      </c>
      <c r="G72" s="45">
        <v>0</v>
      </c>
      <c r="H72" s="45">
        <v>0</v>
      </c>
      <c r="I72" s="45">
        <v>0</v>
      </c>
      <c r="J72" s="45">
        <v>0</v>
      </c>
      <c r="K72" s="45">
        <v>0</v>
      </c>
      <c r="L72" s="45">
        <v>0</v>
      </c>
      <c r="M72" s="45">
        <v>0</v>
      </c>
      <c r="N72" s="45">
        <v>0</v>
      </c>
      <c r="O72" s="45">
        <v>0</v>
      </c>
      <c r="P72" s="45">
        <f t="shared" ref="P72:P124" si="23">SUM(D72:O72)</f>
        <v>4276000</v>
      </c>
      <c r="Q72" s="46">
        <f t="shared" si="18"/>
        <v>2.8121791823766595</v>
      </c>
      <c r="R72" s="9"/>
    </row>
    <row r="73" spans="1:18">
      <c r="A73" s="11"/>
      <c r="B73" s="24">
        <v>341.16</v>
      </c>
      <c r="C73" s="19" t="s">
        <v>214</v>
      </c>
      <c r="D73" s="45">
        <v>0</v>
      </c>
      <c r="E73" s="45">
        <v>2983000</v>
      </c>
      <c r="F73" s="45">
        <v>0</v>
      </c>
      <c r="G73" s="45">
        <v>0</v>
      </c>
      <c r="H73" s="45">
        <v>0</v>
      </c>
      <c r="I73" s="45">
        <v>0</v>
      </c>
      <c r="J73" s="45">
        <v>0</v>
      </c>
      <c r="K73" s="45">
        <v>0</v>
      </c>
      <c r="L73" s="45">
        <v>0</v>
      </c>
      <c r="M73" s="45">
        <v>0</v>
      </c>
      <c r="N73" s="45">
        <v>0</v>
      </c>
      <c r="O73" s="45">
        <v>0</v>
      </c>
      <c r="P73" s="45">
        <f t="shared" si="23"/>
        <v>2983000</v>
      </c>
      <c r="Q73" s="46">
        <f t="shared" si="18"/>
        <v>1.9618172359751114</v>
      </c>
      <c r="R73" s="9"/>
    </row>
    <row r="74" spans="1:18">
      <c r="A74" s="11"/>
      <c r="B74" s="24">
        <v>341.2</v>
      </c>
      <c r="C74" s="19" t="s">
        <v>215</v>
      </c>
      <c r="D74" s="45">
        <v>35000</v>
      </c>
      <c r="E74" s="45">
        <v>0</v>
      </c>
      <c r="F74" s="45">
        <v>0</v>
      </c>
      <c r="G74" s="45">
        <v>0</v>
      </c>
      <c r="H74" s="45">
        <v>0</v>
      </c>
      <c r="I74" s="45">
        <v>0</v>
      </c>
      <c r="J74" s="45">
        <v>197314000</v>
      </c>
      <c r="K74" s="45">
        <v>0</v>
      </c>
      <c r="L74" s="45">
        <v>0</v>
      </c>
      <c r="M74" s="45">
        <v>0</v>
      </c>
      <c r="N74" s="45">
        <v>0</v>
      </c>
      <c r="O74" s="45">
        <v>0</v>
      </c>
      <c r="P74" s="45">
        <f t="shared" si="23"/>
        <v>197349000</v>
      </c>
      <c r="Q74" s="46">
        <f t="shared" si="18"/>
        <v>129.78969819056394</v>
      </c>
      <c r="R74" s="9"/>
    </row>
    <row r="75" spans="1:18">
      <c r="A75" s="11"/>
      <c r="B75" s="24">
        <v>341.3</v>
      </c>
      <c r="C75" s="19" t="s">
        <v>216</v>
      </c>
      <c r="D75" s="45">
        <v>70000</v>
      </c>
      <c r="E75" s="45">
        <v>3374000</v>
      </c>
      <c r="F75" s="45">
        <v>0</v>
      </c>
      <c r="G75" s="45">
        <v>0</v>
      </c>
      <c r="H75" s="45">
        <v>0</v>
      </c>
      <c r="I75" s="45">
        <v>0</v>
      </c>
      <c r="J75" s="45">
        <v>0</v>
      </c>
      <c r="K75" s="45">
        <v>0</v>
      </c>
      <c r="L75" s="45">
        <v>0</v>
      </c>
      <c r="M75" s="45">
        <v>0</v>
      </c>
      <c r="N75" s="45">
        <v>0</v>
      </c>
      <c r="O75" s="45">
        <v>0</v>
      </c>
      <c r="P75" s="45">
        <f t="shared" si="23"/>
        <v>3444000</v>
      </c>
      <c r="Q75" s="46">
        <f t="shared" si="18"/>
        <v>2.265001193663521</v>
      </c>
      <c r="R75" s="9"/>
    </row>
    <row r="76" spans="1:18">
      <c r="A76" s="11"/>
      <c r="B76" s="24">
        <v>341.52</v>
      </c>
      <c r="C76" s="19" t="s">
        <v>217</v>
      </c>
      <c r="D76" s="45">
        <v>421000</v>
      </c>
      <c r="E76" s="45">
        <v>129000</v>
      </c>
      <c r="F76" s="45">
        <v>0</v>
      </c>
      <c r="G76" s="45">
        <v>0</v>
      </c>
      <c r="H76" s="45">
        <v>0</v>
      </c>
      <c r="I76" s="45">
        <v>0</v>
      </c>
      <c r="J76" s="45">
        <v>0</v>
      </c>
      <c r="K76" s="45">
        <v>0</v>
      </c>
      <c r="L76" s="45">
        <v>0</v>
      </c>
      <c r="M76" s="45">
        <v>0</v>
      </c>
      <c r="N76" s="45">
        <v>0</v>
      </c>
      <c r="O76" s="45">
        <v>0</v>
      </c>
      <c r="P76" s="45">
        <f t="shared" si="23"/>
        <v>550000</v>
      </c>
      <c r="Q76" s="46">
        <f t="shared" si="18"/>
        <v>0.36171621850027197</v>
      </c>
      <c r="R76" s="9"/>
    </row>
    <row r="77" spans="1:18">
      <c r="A77" s="11"/>
      <c r="B77" s="24">
        <v>341.55</v>
      </c>
      <c r="C77" s="19" t="s">
        <v>218</v>
      </c>
      <c r="D77" s="45">
        <v>64000</v>
      </c>
      <c r="E77" s="45">
        <v>0</v>
      </c>
      <c r="F77" s="45">
        <v>0</v>
      </c>
      <c r="G77" s="45">
        <v>0</v>
      </c>
      <c r="H77" s="45">
        <v>0</v>
      </c>
      <c r="I77" s="45">
        <v>0</v>
      </c>
      <c r="J77" s="45">
        <v>0</v>
      </c>
      <c r="K77" s="45">
        <v>0</v>
      </c>
      <c r="L77" s="45">
        <v>0</v>
      </c>
      <c r="M77" s="45">
        <v>0</v>
      </c>
      <c r="N77" s="45">
        <v>0</v>
      </c>
      <c r="O77" s="45">
        <v>0</v>
      </c>
      <c r="P77" s="45">
        <f t="shared" si="23"/>
        <v>64000</v>
      </c>
      <c r="Q77" s="46">
        <f t="shared" si="18"/>
        <v>4.2090614516395279E-2</v>
      </c>
      <c r="R77" s="9"/>
    </row>
    <row r="78" spans="1:18">
      <c r="A78" s="11"/>
      <c r="B78" s="24">
        <v>341.8</v>
      </c>
      <c r="C78" s="19" t="s">
        <v>219</v>
      </c>
      <c r="D78" s="45">
        <v>19931000</v>
      </c>
      <c r="E78" s="45">
        <v>0</v>
      </c>
      <c r="F78" s="45">
        <v>0</v>
      </c>
      <c r="G78" s="45">
        <v>0</v>
      </c>
      <c r="H78" s="45">
        <v>0</v>
      </c>
      <c r="I78" s="45">
        <v>0</v>
      </c>
      <c r="J78" s="45">
        <v>0</v>
      </c>
      <c r="K78" s="45">
        <v>0</v>
      </c>
      <c r="L78" s="45">
        <v>0</v>
      </c>
      <c r="M78" s="45">
        <v>0</v>
      </c>
      <c r="N78" s="45">
        <v>0</v>
      </c>
      <c r="O78" s="45">
        <v>0</v>
      </c>
      <c r="P78" s="45">
        <f t="shared" si="23"/>
        <v>19931000</v>
      </c>
      <c r="Q78" s="46">
        <f t="shared" si="18"/>
        <v>13.107938092598037</v>
      </c>
      <c r="R78" s="9"/>
    </row>
    <row r="79" spans="1:18">
      <c r="A79" s="11"/>
      <c r="B79" s="24">
        <v>341.9</v>
      </c>
      <c r="C79" s="19" t="s">
        <v>220</v>
      </c>
      <c r="D79" s="45">
        <v>74560000</v>
      </c>
      <c r="E79" s="45">
        <v>1554000</v>
      </c>
      <c r="F79" s="45">
        <v>0</v>
      </c>
      <c r="G79" s="45">
        <v>0</v>
      </c>
      <c r="H79" s="45">
        <v>0</v>
      </c>
      <c r="I79" s="45">
        <v>0</v>
      </c>
      <c r="J79" s="45">
        <v>6897000</v>
      </c>
      <c r="K79" s="45">
        <v>0</v>
      </c>
      <c r="L79" s="45">
        <v>0</v>
      </c>
      <c r="M79" s="45">
        <v>0</v>
      </c>
      <c r="N79" s="45">
        <v>0</v>
      </c>
      <c r="O79" s="45">
        <v>833000</v>
      </c>
      <c r="P79" s="45">
        <f t="shared" si="23"/>
        <v>83844000</v>
      </c>
      <c r="Q79" s="46">
        <f t="shared" si="18"/>
        <v>55.141335679885096</v>
      </c>
      <c r="R79" s="9"/>
    </row>
    <row r="80" spans="1:18">
      <c r="A80" s="11"/>
      <c r="B80" s="24">
        <v>342.1</v>
      </c>
      <c r="C80" s="19" t="s">
        <v>87</v>
      </c>
      <c r="D80" s="45">
        <v>8514000</v>
      </c>
      <c r="E80" s="45">
        <v>1944000</v>
      </c>
      <c r="F80" s="45">
        <v>0</v>
      </c>
      <c r="G80" s="45">
        <v>0</v>
      </c>
      <c r="H80" s="45">
        <v>0</v>
      </c>
      <c r="I80" s="45">
        <v>0</v>
      </c>
      <c r="J80" s="45">
        <v>0</v>
      </c>
      <c r="K80" s="45">
        <v>0</v>
      </c>
      <c r="L80" s="45">
        <v>0</v>
      </c>
      <c r="M80" s="45">
        <v>0</v>
      </c>
      <c r="N80" s="45">
        <v>0</v>
      </c>
      <c r="O80" s="45">
        <v>0</v>
      </c>
      <c r="P80" s="45">
        <f t="shared" si="23"/>
        <v>10458000</v>
      </c>
      <c r="Q80" s="46">
        <f t="shared" si="18"/>
        <v>6.8778694783197167</v>
      </c>
      <c r="R80" s="9"/>
    </row>
    <row r="81" spans="1:18">
      <c r="A81" s="11"/>
      <c r="B81" s="24">
        <v>342.2</v>
      </c>
      <c r="C81" s="19" t="s">
        <v>88</v>
      </c>
      <c r="D81" s="45">
        <v>1651000</v>
      </c>
      <c r="E81" s="45">
        <v>882000</v>
      </c>
      <c r="F81" s="45">
        <v>0</v>
      </c>
      <c r="G81" s="45">
        <v>0</v>
      </c>
      <c r="H81" s="45">
        <v>0</v>
      </c>
      <c r="I81" s="45">
        <v>0</v>
      </c>
      <c r="J81" s="45">
        <v>0</v>
      </c>
      <c r="K81" s="45">
        <v>0</v>
      </c>
      <c r="L81" s="45">
        <v>0</v>
      </c>
      <c r="M81" s="45">
        <v>0</v>
      </c>
      <c r="N81" s="45">
        <v>0</v>
      </c>
      <c r="O81" s="45">
        <v>0</v>
      </c>
      <c r="P81" s="45">
        <f t="shared" si="23"/>
        <v>2533000</v>
      </c>
      <c r="Q81" s="46">
        <f t="shared" si="18"/>
        <v>1.665867602656707</v>
      </c>
      <c r="R81" s="9"/>
    </row>
    <row r="82" spans="1:18">
      <c r="A82" s="11"/>
      <c r="B82" s="24">
        <v>342.5</v>
      </c>
      <c r="C82" s="19" t="s">
        <v>90</v>
      </c>
      <c r="D82" s="45">
        <v>1286000</v>
      </c>
      <c r="E82" s="45">
        <v>0</v>
      </c>
      <c r="F82" s="45">
        <v>0</v>
      </c>
      <c r="G82" s="45">
        <v>0</v>
      </c>
      <c r="H82" s="45">
        <v>0</v>
      </c>
      <c r="I82" s="45">
        <v>0</v>
      </c>
      <c r="J82" s="45">
        <v>0</v>
      </c>
      <c r="K82" s="45">
        <v>0</v>
      </c>
      <c r="L82" s="45">
        <v>0</v>
      </c>
      <c r="M82" s="45">
        <v>0</v>
      </c>
      <c r="N82" s="45">
        <v>0</v>
      </c>
      <c r="O82" s="45">
        <v>0</v>
      </c>
      <c r="P82" s="45">
        <f t="shared" si="23"/>
        <v>1286000</v>
      </c>
      <c r="Q82" s="46">
        <f t="shared" si="18"/>
        <v>0.8457582854388177</v>
      </c>
      <c r="R82" s="9"/>
    </row>
    <row r="83" spans="1:18">
      <c r="A83" s="11"/>
      <c r="B83" s="24">
        <v>342.6</v>
      </c>
      <c r="C83" s="19" t="s">
        <v>91</v>
      </c>
      <c r="D83" s="45">
        <v>31178000</v>
      </c>
      <c r="E83" s="45">
        <v>0</v>
      </c>
      <c r="F83" s="45">
        <v>0</v>
      </c>
      <c r="G83" s="45">
        <v>0</v>
      </c>
      <c r="H83" s="45">
        <v>0</v>
      </c>
      <c r="I83" s="45">
        <v>0</v>
      </c>
      <c r="J83" s="45">
        <v>0</v>
      </c>
      <c r="K83" s="45">
        <v>0</v>
      </c>
      <c r="L83" s="45">
        <v>0</v>
      </c>
      <c r="M83" s="45">
        <v>0</v>
      </c>
      <c r="N83" s="45">
        <v>0</v>
      </c>
      <c r="O83" s="45">
        <v>0</v>
      </c>
      <c r="P83" s="45">
        <f t="shared" si="23"/>
        <v>31178000</v>
      </c>
      <c r="Q83" s="46">
        <f t="shared" si="18"/>
        <v>20.504705928002689</v>
      </c>
      <c r="R83" s="9"/>
    </row>
    <row r="84" spans="1:18">
      <c r="A84" s="11"/>
      <c r="B84" s="24">
        <v>342.9</v>
      </c>
      <c r="C84" s="19" t="s">
        <v>92</v>
      </c>
      <c r="D84" s="45">
        <v>633000</v>
      </c>
      <c r="E84" s="45">
        <v>2292000</v>
      </c>
      <c r="F84" s="45">
        <v>0</v>
      </c>
      <c r="G84" s="45">
        <v>0</v>
      </c>
      <c r="H84" s="45">
        <v>0</v>
      </c>
      <c r="I84" s="45">
        <v>0</v>
      </c>
      <c r="J84" s="45">
        <v>0</v>
      </c>
      <c r="K84" s="45">
        <v>0</v>
      </c>
      <c r="L84" s="45">
        <v>0</v>
      </c>
      <c r="M84" s="45">
        <v>0</v>
      </c>
      <c r="N84" s="45">
        <v>0</v>
      </c>
      <c r="O84" s="45">
        <v>0</v>
      </c>
      <c r="P84" s="45">
        <f t="shared" si="23"/>
        <v>2925000</v>
      </c>
      <c r="Q84" s="46">
        <f t="shared" si="18"/>
        <v>1.9236726165696281</v>
      </c>
      <c r="R84" s="9"/>
    </row>
    <row r="85" spans="1:18">
      <c r="A85" s="11"/>
      <c r="B85" s="24">
        <v>343.4</v>
      </c>
      <c r="C85" s="19" t="s">
        <v>93</v>
      </c>
      <c r="D85" s="45">
        <v>0</v>
      </c>
      <c r="E85" s="45">
        <v>0</v>
      </c>
      <c r="F85" s="45">
        <v>0</v>
      </c>
      <c r="G85" s="45">
        <v>0</v>
      </c>
      <c r="H85" s="45">
        <v>0</v>
      </c>
      <c r="I85" s="45">
        <v>160859000</v>
      </c>
      <c r="J85" s="45">
        <v>0</v>
      </c>
      <c r="K85" s="45">
        <v>0</v>
      </c>
      <c r="L85" s="45">
        <v>0</v>
      </c>
      <c r="M85" s="45">
        <v>0</v>
      </c>
      <c r="N85" s="45">
        <v>0</v>
      </c>
      <c r="O85" s="45">
        <v>0</v>
      </c>
      <c r="P85" s="45">
        <f t="shared" si="23"/>
        <v>160859000</v>
      </c>
      <c r="Q85" s="46">
        <f t="shared" si="18"/>
        <v>105.79147125770045</v>
      </c>
      <c r="R85" s="9"/>
    </row>
    <row r="86" spans="1:18">
      <c r="A86" s="11"/>
      <c r="B86" s="24">
        <v>343.6</v>
      </c>
      <c r="C86" s="19" t="s">
        <v>94</v>
      </c>
      <c r="D86" s="45">
        <v>0</v>
      </c>
      <c r="E86" s="45">
        <v>0</v>
      </c>
      <c r="F86" s="45">
        <v>0</v>
      </c>
      <c r="G86" s="45">
        <v>0</v>
      </c>
      <c r="H86" s="45">
        <v>0</v>
      </c>
      <c r="I86" s="45">
        <v>338519000</v>
      </c>
      <c r="J86" s="45">
        <v>0</v>
      </c>
      <c r="K86" s="45">
        <v>0</v>
      </c>
      <c r="L86" s="45">
        <v>0</v>
      </c>
      <c r="M86" s="45">
        <v>0</v>
      </c>
      <c r="N86" s="45">
        <v>0</v>
      </c>
      <c r="O86" s="45">
        <v>0</v>
      </c>
      <c r="P86" s="45">
        <f t="shared" si="23"/>
        <v>338519000</v>
      </c>
      <c r="Q86" s="46">
        <f t="shared" si="18"/>
        <v>222.63238649180647</v>
      </c>
      <c r="R86" s="9"/>
    </row>
    <row r="87" spans="1:18">
      <c r="A87" s="11"/>
      <c r="B87" s="24">
        <v>343.7</v>
      </c>
      <c r="C87" s="19" t="s">
        <v>95</v>
      </c>
      <c r="D87" s="45">
        <v>2238000</v>
      </c>
      <c r="E87" s="45">
        <v>2078000</v>
      </c>
      <c r="F87" s="45">
        <v>0</v>
      </c>
      <c r="G87" s="45">
        <v>0</v>
      </c>
      <c r="H87" s="45">
        <v>0</v>
      </c>
      <c r="I87" s="45">
        <v>0</v>
      </c>
      <c r="J87" s="45">
        <v>0</v>
      </c>
      <c r="K87" s="45">
        <v>0</v>
      </c>
      <c r="L87" s="45">
        <v>0</v>
      </c>
      <c r="M87" s="45">
        <v>0</v>
      </c>
      <c r="N87" s="45">
        <v>0</v>
      </c>
      <c r="O87" s="45">
        <v>342000</v>
      </c>
      <c r="P87" s="45">
        <f t="shared" si="23"/>
        <v>4658000</v>
      </c>
      <c r="Q87" s="46">
        <f t="shared" si="18"/>
        <v>3.0634075377713939</v>
      </c>
      <c r="R87" s="9"/>
    </row>
    <row r="88" spans="1:18">
      <c r="A88" s="11"/>
      <c r="B88" s="24">
        <v>343.9</v>
      </c>
      <c r="C88" s="19" t="s">
        <v>96</v>
      </c>
      <c r="D88" s="45">
        <v>1361000</v>
      </c>
      <c r="E88" s="45">
        <v>205000</v>
      </c>
      <c r="F88" s="45">
        <v>0</v>
      </c>
      <c r="G88" s="45">
        <v>0</v>
      </c>
      <c r="H88" s="45">
        <v>0</v>
      </c>
      <c r="I88" s="45">
        <v>0</v>
      </c>
      <c r="J88" s="45">
        <v>0</v>
      </c>
      <c r="K88" s="45">
        <v>0</v>
      </c>
      <c r="L88" s="45">
        <v>0</v>
      </c>
      <c r="M88" s="45">
        <v>0</v>
      </c>
      <c r="N88" s="45">
        <v>0</v>
      </c>
      <c r="O88" s="45">
        <v>0</v>
      </c>
      <c r="P88" s="45">
        <f t="shared" si="23"/>
        <v>1566000</v>
      </c>
      <c r="Q88" s="46">
        <f t="shared" si="18"/>
        <v>1.029904723948047</v>
      </c>
      <c r="R88" s="9"/>
    </row>
    <row r="89" spans="1:18">
      <c r="A89" s="11"/>
      <c r="B89" s="24">
        <v>344.5</v>
      </c>
      <c r="C89" s="19" t="s">
        <v>221</v>
      </c>
      <c r="D89" s="45">
        <v>796000</v>
      </c>
      <c r="E89" s="45">
        <v>0</v>
      </c>
      <c r="F89" s="45">
        <v>0</v>
      </c>
      <c r="G89" s="45">
        <v>0</v>
      </c>
      <c r="H89" s="45">
        <v>0</v>
      </c>
      <c r="I89" s="45">
        <v>0</v>
      </c>
      <c r="J89" s="45">
        <v>2000</v>
      </c>
      <c r="K89" s="45">
        <v>0</v>
      </c>
      <c r="L89" s="45">
        <v>0</v>
      </c>
      <c r="M89" s="45">
        <v>0</v>
      </c>
      <c r="N89" s="45">
        <v>0</v>
      </c>
      <c r="O89" s="45">
        <v>0</v>
      </c>
      <c r="P89" s="45">
        <f t="shared" si="23"/>
        <v>798000</v>
      </c>
      <c r="Q89" s="46">
        <f t="shared" si="18"/>
        <v>0.52481734975130367</v>
      </c>
      <c r="R89" s="9"/>
    </row>
    <row r="90" spans="1:18">
      <c r="A90" s="11"/>
      <c r="B90" s="24">
        <v>344.9</v>
      </c>
      <c r="C90" s="19" t="s">
        <v>222</v>
      </c>
      <c r="D90" s="45">
        <v>627000</v>
      </c>
      <c r="E90" s="45">
        <v>1603000</v>
      </c>
      <c r="F90" s="45">
        <v>0</v>
      </c>
      <c r="G90" s="45">
        <v>0</v>
      </c>
      <c r="H90" s="45">
        <v>0</v>
      </c>
      <c r="I90" s="45">
        <v>0</v>
      </c>
      <c r="J90" s="45">
        <v>0</v>
      </c>
      <c r="K90" s="45">
        <v>0</v>
      </c>
      <c r="L90" s="45">
        <v>0</v>
      </c>
      <c r="M90" s="45">
        <v>0</v>
      </c>
      <c r="N90" s="45">
        <v>0</v>
      </c>
      <c r="O90" s="45">
        <v>0</v>
      </c>
      <c r="P90" s="45">
        <f t="shared" si="23"/>
        <v>2230000</v>
      </c>
      <c r="Q90" s="46">
        <f t="shared" si="18"/>
        <v>1.466594849555648</v>
      </c>
      <c r="R90" s="9"/>
    </row>
    <row r="91" spans="1:18">
      <c r="A91" s="11"/>
      <c r="B91" s="24">
        <v>345.1</v>
      </c>
      <c r="C91" s="19" t="s">
        <v>99</v>
      </c>
      <c r="D91" s="45">
        <v>0</v>
      </c>
      <c r="E91" s="45">
        <v>0</v>
      </c>
      <c r="F91" s="45">
        <v>0</v>
      </c>
      <c r="G91" s="45">
        <v>0</v>
      </c>
      <c r="H91" s="45">
        <v>0</v>
      </c>
      <c r="I91" s="45">
        <v>0</v>
      </c>
      <c r="J91" s="45">
        <v>0</v>
      </c>
      <c r="K91" s="45">
        <v>0</v>
      </c>
      <c r="L91" s="45">
        <v>0</v>
      </c>
      <c r="M91" s="45">
        <v>0</v>
      </c>
      <c r="N91" s="45">
        <v>0</v>
      </c>
      <c r="O91" s="45">
        <v>843000</v>
      </c>
      <c r="P91" s="45">
        <f t="shared" si="23"/>
        <v>843000</v>
      </c>
      <c r="Q91" s="46">
        <f t="shared" si="18"/>
        <v>0.55441231308314409</v>
      </c>
      <c r="R91" s="9"/>
    </row>
    <row r="92" spans="1:18">
      <c r="A92" s="11"/>
      <c r="B92" s="24">
        <v>346.4</v>
      </c>
      <c r="C92" s="19" t="s">
        <v>101</v>
      </c>
      <c r="D92" s="45">
        <v>38000</v>
      </c>
      <c r="E92" s="45">
        <v>0</v>
      </c>
      <c r="F92" s="45">
        <v>0</v>
      </c>
      <c r="G92" s="45">
        <v>0</v>
      </c>
      <c r="H92" s="45">
        <v>0</v>
      </c>
      <c r="I92" s="45">
        <v>0</v>
      </c>
      <c r="J92" s="45">
        <v>0</v>
      </c>
      <c r="K92" s="45">
        <v>0</v>
      </c>
      <c r="L92" s="45">
        <v>0</v>
      </c>
      <c r="M92" s="45">
        <v>0</v>
      </c>
      <c r="N92" s="45">
        <v>0</v>
      </c>
      <c r="O92" s="45">
        <v>0</v>
      </c>
      <c r="P92" s="45">
        <f t="shared" si="23"/>
        <v>38000</v>
      </c>
      <c r="Q92" s="46">
        <f t="shared" si="18"/>
        <v>2.4991302369109698E-2</v>
      </c>
      <c r="R92" s="9"/>
    </row>
    <row r="93" spans="1:18">
      <c r="A93" s="11"/>
      <c r="B93" s="24">
        <v>346.9</v>
      </c>
      <c r="C93" s="19" t="s">
        <v>102</v>
      </c>
      <c r="D93" s="45">
        <v>6000</v>
      </c>
      <c r="E93" s="45">
        <v>0</v>
      </c>
      <c r="F93" s="45">
        <v>0</v>
      </c>
      <c r="G93" s="45">
        <v>0</v>
      </c>
      <c r="H93" s="45">
        <v>0</v>
      </c>
      <c r="I93" s="45">
        <v>0</v>
      </c>
      <c r="J93" s="45">
        <v>24550000</v>
      </c>
      <c r="K93" s="45">
        <v>0</v>
      </c>
      <c r="L93" s="45">
        <v>0</v>
      </c>
      <c r="M93" s="45">
        <v>0</v>
      </c>
      <c r="N93" s="45">
        <v>0</v>
      </c>
      <c r="O93" s="45">
        <v>0</v>
      </c>
      <c r="P93" s="45">
        <f t="shared" si="23"/>
        <v>24556000</v>
      </c>
      <c r="Q93" s="46">
        <f t="shared" si="18"/>
        <v>16.149642657259413</v>
      </c>
      <c r="R93" s="9"/>
    </row>
    <row r="94" spans="1:18">
      <c r="A94" s="11"/>
      <c r="B94" s="24">
        <v>347.1</v>
      </c>
      <c r="C94" s="19" t="s">
        <v>103</v>
      </c>
      <c r="D94" s="45">
        <v>0</v>
      </c>
      <c r="E94" s="45">
        <v>5000</v>
      </c>
      <c r="F94" s="45">
        <v>0</v>
      </c>
      <c r="G94" s="45">
        <v>0</v>
      </c>
      <c r="H94" s="45">
        <v>0</v>
      </c>
      <c r="I94" s="45">
        <v>0</v>
      </c>
      <c r="J94" s="45">
        <v>0</v>
      </c>
      <c r="K94" s="45">
        <v>0</v>
      </c>
      <c r="L94" s="45">
        <v>0</v>
      </c>
      <c r="M94" s="45">
        <v>0</v>
      </c>
      <c r="N94" s="45">
        <v>0</v>
      </c>
      <c r="O94" s="45">
        <v>0</v>
      </c>
      <c r="P94" s="45">
        <f t="shared" si="23"/>
        <v>5000</v>
      </c>
      <c r="Q94" s="46">
        <f t="shared" si="18"/>
        <v>3.2883292590933813E-3</v>
      </c>
      <c r="R94" s="9"/>
    </row>
    <row r="95" spans="1:18">
      <c r="A95" s="11"/>
      <c r="B95" s="24">
        <v>347.2</v>
      </c>
      <c r="C95" s="19" t="s">
        <v>104</v>
      </c>
      <c r="D95" s="45">
        <v>3854000</v>
      </c>
      <c r="E95" s="45">
        <v>0</v>
      </c>
      <c r="F95" s="45">
        <v>0</v>
      </c>
      <c r="G95" s="45">
        <v>0</v>
      </c>
      <c r="H95" s="45">
        <v>0</v>
      </c>
      <c r="I95" s="45">
        <v>0</v>
      </c>
      <c r="J95" s="45">
        <v>0</v>
      </c>
      <c r="K95" s="45">
        <v>0</v>
      </c>
      <c r="L95" s="45">
        <v>0</v>
      </c>
      <c r="M95" s="45">
        <v>0</v>
      </c>
      <c r="N95" s="45">
        <v>0</v>
      </c>
      <c r="O95" s="45">
        <v>0</v>
      </c>
      <c r="P95" s="45">
        <f t="shared" si="23"/>
        <v>3854000</v>
      </c>
      <c r="Q95" s="46">
        <f t="shared" si="18"/>
        <v>2.5346441929091785</v>
      </c>
      <c r="R95" s="9"/>
    </row>
    <row r="96" spans="1:18">
      <c r="A96" s="11"/>
      <c r="B96" s="24">
        <v>347.4</v>
      </c>
      <c r="C96" s="19" t="s">
        <v>105</v>
      </c>
      <c r="D96" s="45">
        <v>2000</v>
      </c>
      <c r="E96" s="45">
        <v>2000</v>
      </c>
      <c r="F96" s="45">
        <v>545000</v>
      </c>
      <c r="G96" s="45">
        <v>0</v>
      </c>
      <c r="H96" s="45">
        <v>0</v>
      </c>
      <c r="I96" s="45">
        <v>0</v>
      </c>
      <c r="J96" s="45">
        <v>0</v>
      </c>
      <c r="K96" s="45">
        <v>0</v>
      </c>
      <c r="L96" s="45">
        <v>0</v>
      </c>
      <c r="M96" s="45">
        <v>0</v>
      </c>
      <c r="N96" s="45">
        <v>0</v>
      </c>
      <c r="O96" s="45">
        <v>0</v>
      </c>
      <c r="P96" s="45">
        <f t="shared" si="23"/>
        <v>549000</v>
      </c>
      <c r="Q96" s="46">
        <f t="shared" si="18"/>
        <v>0.36105855264845327</v>
      </c>
      <c r="R96" s="9"/>
    </row>
    <row r="97" spans="1:18">
      <c r="A97" s="11"/>
      <c r="B97" s="24">
        <v>347.5</v>
      </c>
      <c r="C97" s="19" t="s">
        <v>106</v>
      </c>
      <c r="D97" s="45">
        <v>282000</v>
      </c>
      <c r="E97" s="45">
        <v>0</v>
      </c>
      <c r="F97" s="45">
        <v>0</v>
      </c>
      <c r="G97" s="45">
        <v>0</v>
      </c>
      <c r="H97" s="45">
        <v>0</v>
      </c>
      <c r="I97" s="45">
        <v>0</v>
      </c>
      <c r="J97" s="45">
        <v>0</v>
      </c>
      <c r="K97" s="45">
        <v>0</v>
      </c>
      <c r="L97" s="45">
        <v>0</v>
      </c>
      <c r="M97" s="45">
        <v>0</v>
      </c>
      <c r="N97" s="45">
        <v>0</v>
      </c>
      <c r="O97" s="45">
        <v>0</v>
      </c>
      <c r="P97" s="45">
        <f t="shared" si="23"/>
        <v>282000</v>
      </c>
      <c r="Q97" s="46">
        <f t="shared" si="18"/>
        <v>0.18546177021286669</v>
      </c>
      <c r="R97" s="9"/>
    </row>
    <row r="98" spans="1:18">
      <c r="A98" s="11"/>
      <c r="B98" s="24">
        <v>347.9</v>
      </c>
      <c r="C98" s="19" t="s">
        <v>107</v>
      </c>
      <c r="D98" s="45">
        <v>34000</v>
      </c>
      <c r="E98" s="45">
        <v>0</v>
      </c>
      <c r="F98" s="45">
        <v>0</v>
      </c>
      <c r="G98" s="45">
        <v>0</v>
      </c>
      <c r="H98" s="45">
        <v>0</v>
      </c>
      <c r="I98" s="45">
        <v>0</v>
      </c>
      <c r="J98" s="45">
        <v>0</v>
      </c>
      <c r="K98" s="45">
        <v>0</v>
      </c>
      <c r="L98" s="45">
        <v>0</v>
      </c>
      <c r="M98" s="45">
        <v>0</v>
      </c>
      <c r="N98" s="45">
        <v>0</v>
      </c>
      <c r="O98" s="45">
        <v>0</v>
      </c>
      <c r="P98" s="45">
        <f t="shared" si="23"/>
        <v>34000</v>
      </c>
      <c r="Q98" s="46">
        <f t="shared" si="18"/>
        <v>2.2360638961834992E-2</v>
      </c>
      <c r="R98" s="9"/>
    </row>
    <row r="99" spans="1:18">
      <c r="A99" s="11"/>
      <c r="B99" s="24">
        <v>348.11</v>
      </c>
      <c r="C99" s="19" t="s">
        <v>244</v>
      </c>
      <c r="D99" s="45">
        <v>0</v>
      </c>
      <c r="E99" s="45">
        <v>34000</v>
      </c>
      <c r="F99" s="45">
        <v>0</v>
      </c>
      <c r="G99" s="45">
        <v>0</v>
      </c>
      <c r="H99" s="45">
        <v>0</v>
      </c>
      <c r="I99" s="45">
        <v>0</v>
      </c>
      <c r="J99" s="45">
        <v>0</v>
      </c>
      <c r="K99" s="45">
        <v>0</v>
      </c>
      <c r="L99" s="45">
        <v>0</v>
      </c>
      <c r="M99" s="45">
        <v>0</v>
      </c>
      <c r="N99" s="45">
        <v>0</v>
      </c>
      <c r="O99" s="45">
        <v>0</v>
      </c>
      <c r="P99" s="45">
        <f>SUM(D99:O99)</f>
        <v>34000</v>
      </c>
      <c r="Q99" s="46">
        <f t="shared" si="18"/>
        <v>2.2360638961834992E-2</v>
      </c>
      <c r="R99" s="9"/>
    </row>
    <row r="100" spans="1:18">
      <c r="A100" s="11"/>
      <c r="B100" s="24">
        <v>348.12</v>
      </c>
      <c r="C100" s="19" t="s">
        <v>245</v>
      </c>
      <c r="D100" s="45">
        <v>0</v>
      </c>
      <c r="E100" s="45">
        <v>93000</v>
      </c>
      <c r="F100" s="45">
        <v>0</v>
      </c>
      <c r="G100" s="45">
        <v>0</v>
      </c>
      <c r="H100" s="45">
        <v>0</v>
      </c>
      <c r="I100" s="45">
        <v>0</v>
      </c>
      <c r="J100" s="45">
        <v>0</v>
      </c>
      <c r="K100" s="45">
        <v>0</v>
      </c>
      <c r="L100" s="45">
        <v>0</v>
      </c>
      <c r="M100" s="45">
        <v>0</v>
      </c>
      <c r="N100" s="45">
        <v>0</v>
      </c>
      <c r="O100" s="45">
        <v>0</v>
      </c>
      <c r="P100" s="45">
        <f t="shared" ref="P100:P115" si="24">SUM(D100:O100)</f>
        <v>93000</v>
      </c>
      <c r="Q100" s="46">
        <f t="shared" si="18"/>
        <v>6.116292421913689E-2</v>
      </c>
      <c r="R100" s="9"/>
    </row>
    <row r="101" spans="1:18">
      <c r="A101" s="11"/>
      <c r="B101" s="24">
        <v>348.13</v>
      </c>
      <c r="C101" s="19" t="s">
        <v>246</v>
      </c>
      <c r="D101" s="45">
        <v>0</v>
      </c>
      <c r="E101" s="45">
        <v>213000</v>
      </c>
      <c r="F101" s="45">
        <v>0</v>
      </c>
      <c r="G101" s="45">
        <v>0</v>
      </c>
      <c r="H101" s="45">
        <v>0</v>
      </c>
      <c r="I101" s="45">
        <v>0</v>
      </c>
      <c r="J101" s="45">
        <v>0</v>
      </c>
      <c r="K101" s="45">
        <v>0</v>
      </c>
      <c r="L101" s="45">
        <v>0</v>
      </c>
      <c r="M101" s="45">
        <v>0</v>
      </c>
      <c r="N101" s="45">
        <v>0</v>
      </c>
      <c r="O101" s="45">
        <v>0</v>
      </c>
      <c r="P101" s="45">
        <f t="shared" si="24"/>
        <v>213000</v>
      </c>
      <c r="Q101" s="46">
        <f t="shared" ref="Q101:Q132" si="25">(P101/Q$156)</f>
        <v>0.14008282643737804</v>
      </c>
      <c r="R101" s="9"/>
    </row>
    <row r="102" spans="1:18">
      <c r="A102" s="11"/>
      <c r="B102" s="24">
        <v>348.21</v>
      </c>
      <c r="C102" s="19" t="s">
        <v>284</v>
      </c>
      <c r="D102" s="45">
        <v>0</v>
      </c>
      <c r="E102" s="45">
        <v>4000</v>
      </c>
      <c r="F102" s="45">
        <v>0</v>
      </c>
      <c r="G102" s="45">
        <v>0</v>
      </c>
      <c r="H102" s="45">
        <v>0</v>
      </c>
      <c r="I102" s="45">
        <v>0</v>
      </c>
      <c r="J102" s="45">
        <v>0</v>
      </c>
      <c r="K102" s="45">
        <v>0</v>
      </c>
      <c r="L102" s="45">
        <v>0</v>
      </c>
      <c r="M102" s="45">
        <v>0</v>
      </c>
      <c r="N102" s="45">
        <v>0</v>
      </c>
      <c r="O102" s="45">
        <v>0</v>
      </c>
      <c r="P102" s="45">
        <f t="shared" si="24"/>
        <v>4000</v>
      </c>
      <c r="Q102" s="46">
        <f t="shared" si="25"/>
        <v>2.6306634072747049E-3</v>
      </c>
      <c r="R102" s="9"/>
    </row>
    <row r="103" spans="1:18">
      <c r="A103" s="11"/>
      <c r="B103" s="24">
        <v>348.22</v>
      </c>
      <c r="C103" s="19" t="s">
        <v>247</v>
      </c>
      <c r="D103" s="45">
        <v>0</v>
      </c>
      <c r="E103" s="45">
        <v>87000</v>
      </c>
      <c r="F103" s="45">
        <v>0</v>
      </c>
      <c r="G103" s="45">
        <v>0</v>
      </c>
      <c r="H103" s="45">
        <v>0</v>
      </c>
      <c r="I103" s="45">
        <v>0</v>
      </c>
      <c r="J103" s="45">
        <v>0</v>
      </c>
      <c r="K103" s="45">
        <v>0</v>
      </c>
      <c r="L103" s="45">
        <v>0</v>
      </c>
      <c r="M103" s="45">
        <v>0</v>
      </c>
      <c r="N103" s="45">
        <v>0</v>
      </c>
      <c r="O103" s="45">
        <v>0</v>
      </c>
      <c r="P103" s="45">
        <f t="shared" si="24"/>
        <v>87000</v>
      </c>
      <c r="Q103" s="46">
        <f t="shared" si="25"/>
        <v>5.7216929108224832E-2</v>
      </c>
      <c r="R103" s="9"/>
    </row>
    <row r="104" spans="1:18">
      <c r="A104" s="11"/>
      <c r="B104" s="24">
        <v>348.23</v>
      </c>
      <c r="C104" s="19" t="s">
        <v>248</v>
      </c>
      <c r="D104" s="45">
        <v>0</v>
      </c>
      <c r="E104" s="45">
        <v>622000</v>
      </c>
      <c r="F104" s="45">
        <v>0</v>
      </c>
      <c r="G104" s="45">
        <v>0</v>
      </c>
      <c r="H104" s="45">
        <v>0</v>
      </c>
      <c r="I104" s="45">
        <v>0</v>
      </c>
      <c r="J104" s="45">
        <v>0</v>
      </c>
      <c r="K104" s="45">
        <v>0</v>
      </c>
      <c r="L104" s="45">
        <v>0</v>
      </c>
      <c r="M104" s="45">
        <v>0</v>
      </c>
      <c r="N104" s="45">
        <v>0</v>
      </c>
      <c r="O104" s="45">
        <v>0</v>
      </c>
      <c r="P104" s="45">
        <f t="shared" si="24"/>
        <v>622000</v>
      </c>
      <c r="Q104" s="46">
        <f t="shared" si="25"/>
        <v>0.40906815983121664</v>
      </c>
      <c r="R104" s="9"/>
    </row>
    <row r="105" spans="1:18">
      <c r="A105" s="11"/>
      <c r="B105" s="24">
        <v>348.31</v>
      </c>
      <c r="C105" s="19" t="s">
        <v>249</v>
      </c>
      <c r="D105" s="45">
        <v>0</v>
      </c>
      <c r="E105" s="45">
        <v>13476000</v>
      </c>
      <c r="F105" s="45">
        <v>0</v>
      </c>
      <c r="G105" s="45">
        <v>0</v>
      </c>
      <c r="H105" s="45">
        <v>0</v>
      </c>
      <c r="I105" s="45">
        <v>0</v>
      </c>
      <c r="J105" s="45">
        <v>0</v>
      </c>
      <c r="K105" s="45">
        <v>0</v>
      </c>
      <c r="L105" s="45">
        <v>0</v>
      </c>
      <c r="M105" s="45">
        <v>0</v>
      </c>
      <c r="N105" s="45">
        <v>0</v>
      </c>
      <c r="O105" s="45">
        <v>0</v>
      </c>
      <c r="P105" s="45">
        <f t="shared" si="24"/>
        <v>13476000</v>
      </c>
      <c r="Q105" s="46">
        <f t="shared" si="25"/>
        <v>8.862705019108482</v>
      </c>
      <c r="R105" s="9"/>
    </row>
    <row r="106" spans="1:18">
      <c r="A106" s="11"/>
      <c r="B106" s="24">
        <v>348.32</v>
      </c>
      <c r="C106" s="19" t="s">
        <v>250</v>
      </c>
      <c r="D106" s="45">
        <v>0</v>
      </c>
      <c r="E106" s="45">
        <v>234000</v>
      </c>
      <c r="F106" s="45">
        <v>0</v>
      </c>
      <c r="G106" s="45">
        <v>0</v>
      </c>
      <c r="H106" s="45">
        <v>0</v>
      </c>
      <c r="I106" s="45">
        <v>0</v>
      </c>
      <c r="J106" s="45">
        <v>0</v>
      </c>
      <c r="K106" s="45">
        <v>0</v>
      </c>
      <c r="L106" s="45">
        <v>0</v>
      </c>
      <c r="M106" s="45">
        <v>0</v>
      </c>
      <c r="N106" s="45">
        <v>0</v>
      </c>
      <c r="O106" s="45">
        <v>0</v>
      </c>
      <c r="P106" s="45">
        <f t="shared" si="24"/>
        <v>234000</v>
      </c>
      <c r="Q106" s="46">
        <f t="shared" si="25"/>
        <v>0.15389380932557026</v>
      </c>
      <c r="R106" s="9"/>
    </row>
    <row r="107" spans="1:18">
      <c r="A107" s="11"/>
      <c r="B107" s="24">
        <v>348.41</v>
      </c>
      <c r="C107" s="19" t="s">
        <v>251</v>
      </c>
      <c r="D107" s="45">
        <v>0</v>
      </c>
      <c r="E107" s="45">
        <v>3579000</v>
      </c>
      <c r="F107" s="45">
        <v>0</v>
      </c>
      <c r="G107" s="45">
        <v>0</v>
      </c>
      <c r="H107" s="45">
        <v>0</v>
      </c>
      <c r="I107" s="45">
        <v>0</v>
      </c>
      <c r="J107" s="45">
        <v>0</v>
      </c>
      <c r="K107" s="45">
        <v>0</v>
      </c>
      <c r="L107" s="45">
        <v>0</v>
      </c>
      <c r="M107" s="45">
        <v>0</v>
      </c>
      <c r="N107" s="45">
        <v>0</v>
      </c>
      <c r="O107" s="45">
        <v>0</v>
      </c>
      <c r="P107" s="45">
        <f t="shared" si="24"/>
        <v>3579000</v>
      </c>
      <c r="Q107" s="46">
        <f t="shared" si="25"/>
        <v>2.3537860836590423</v>
      </c>
      <c r="R107" s="9"/>
    </row>
    <row r="108" spans="1:18">
      <c r="A108" s="11"/>
      <c r="B108" s="24">
        <v>348.42</v>
      </c>
      <c r="C108" s="19" t="s">
        <v>252</v>
      </c>
      <c r="D108" s="45">
        <v>0</v>
      </c>
      <c r="E108" s="45">
        <v>1764000</v>
      </c>
      <c r="F108" s="45">
        <v>0</v>
      </c>
      <c r="G108" s="45">
        <v>0</v>
      </c>
      <c r="H108" s="45">
        <v>0</v>
      </c>
      <c r="I108" s="45">
        <v>0</v>
      </c>
      <c r="J108" s="45">
        <v>0</v>
      </c>
      <c r="K108" s="45">
        <v>0</v>
      </c>
      <c r="L108" s="45">
        <v>0</v>
      </c>
      <c r="M108" s="45">
        <v>0</v>
      </c>
      <c r="N108" s="45">
        <v>0</v>
      </c>
      <c r="O108" s="45">
        <v>0</v>
      </c>
      <c r="P108" s="45">
        <f t="shared" si="24"/>
        <v>1764000</v>
      </c>
      <c r="Q108" s="46">
        <f t="shared" si="25"/>
        <v>1.1601225626081448</v>
      </c>
      <c r="R108" s="9"/>
    </row>
    <row r="109" spans="1:18">
      <c r="A109" s="11"/>
      <c r="B109" s="24">
        <v>348.51</v>
      </c>
      <c r="C109" s="19" t="s">
        <v>318</v>
      </c>
      <c r="D109" s="45">
        <v>0</v>
      </c>
      <c r="E109" s="45">
        <v>5000</v>
      </c>
      <c r="F109" s="45">
        <v>0</v>
      </c>
      <c r="G109" s="45">
        <v>0</v>
      </c>
      <c r="H109" s="45">
        <v>0</v>
      </c>
      <c r="I109" s="45">
        <v>0</v>
      </c>
      <c r="J109" s="45">
        <v>0</v>
      </c>
      <c r="K109" s="45">
        <v>0</v>
      </c>
      <c r="L109" s="45">
        <v>0</v>
      </c>
      <c r="M109" s="45">
        <v>0</v>
      </c>
      <c r="N109" s="45">
        <v>0</v>
      </c>
      <c r="O109" s="45">
        <v>0</v>
      </c>
      <c r="P109" s="45">
        <f t="shared" si="24"/>
        <v>5000</v>
      </c>
      <c r="Q109" s="46">
        <f t="shared" si="25"/>
        <v>3.2883292590933813E-3</v>
      </c>
      <c r="R109" s="9"/>
    </row>
    <row r="110" spans="1:18">
      <c r="A110" s="11"/>
      <c r="B110" s="24">
        <v>348.52</v>
      </c>
      <c r="C110" s="19" t="s">
        <v>319</v>
      </c>
      <c r="D110" s="45">
        <v>0</v>
      </c>
      <c r="E110" s="45">
        <v>1049000</v>
      </c>
      <c r="F110" s="45">
        <v>0</v>
      </c>
      <c r="G110" s="45">
        <v>0</v>
      </c>
      <c r="H110" s="45">
        <v>0</v>
      </c>
      <c r="I110" s="45">
        <v>0</v>
      </c>
      <c r="J110" s="45">
        <v>0</v>
      </c>
      <c r="K110" s="45">
        <v>0</v>
      </c>
      <c r="L110" s="45">
        <v>0</v>
      </c>
      <c r="M110" s="45">
        <v>0</v>
      </c>
      <c r="N110" s="45">
        <v>0</v>
      </c>
      <c r="O110" s="45">
        <v>0</v>
      </c>
      <c r="P110" s="45">
        <f t="shared" si="24"/>
        <v>1049000</v>
      </c>
      <c r="Q110" s="46">
        <f t="shared" si="25"/>
        <v>0.68989147855779143</v>
      </c>
      <c r="R110" s="9"/>
    </row>
    <row r="111" spans="1:18">
      <c r="A111" s="11"/>
      <c r="B111" s="24">
        <v>348.53</v>
      </c>
      <c r="C111" s="19" t="s">
        <v>320</v>
      </c>
      <c r="D111" s="45">
        <v>0</v>
      </c>
      <c r="E111" s="45">
        <v>2526000</v>
      </c>
      <c r="F111" s="45">
        <v>0</v>
      </c>
      <c r="G111" s="45">
        <v>0</v>
      </c>
      <c r="H111" s="45">
        <v>0</v>
      </c>
      <c r="I111" s="45">
        <v>0</v>
      </c>
      <c r="J111" s="45">
        <v>0</v>
      </c>
      <c r="K111" s="45">
        <v>0</v>
      </c>
      <c r="L111" s="45">
        <v>0</v>
      </c>
      <c r="M111" s="45">
        <v>0</v>
      </c>
      <c r="N111" s="45">
        <v>0</v>
      </c>
      <c r="O111" s="45">
        <v>0</v>
      </c>
      <c r="P111" s="45">
        <f t="shared" si="24"/>
        <v>2526000</v>
      </c>
      <c r="Q111" s="46">
        <f t="shared" si="25"/>
        <v>1.6612639416939763</v>
      </c>
      <c r="R111" s="9"/>
    </row>
    <row r="112" spans="1:18">
      <c r="A112" s="11"/>
      <c r="B112" s="24">
        <v>348.61</v>
      </c>
      <c r="C112" s="19" t="s">
        <v>257</v>
      </c>
      <c r="D112" s="45">
        <v>0</v>
      </c>
      <c r="E112" s="45">
        <v>35000</v>
      </c>
      <c r="F112" s="45">
        <v>0</v>
      </c>
      <c r="G112" s="45">
        <v>0</v>
      </c>
      <c r="H112" s="45">
        <v>0</v>
      </c>
      <c r="I112" s="45">
        <v>0</v>
      </c>
      <c r="J112" s="45">
        <v>0</v>
      </c>
      <c r="K112" s="45">
        <v>0</v>
      </c>
      <c r="L112" s="45">
        <v>0</v>
      </c>
      <c r="M112" s="45">
        <v>0</v>
      </c>
      <c r="N112" s="45">
        <v>0</v>
      </c>
      <c r="O112" s="45">
        <v>0</v>
      </c>
      <c r="P112" s="45">
        <f t="shared" si="24"/>
        <v>35000</v>
      </c>
      <c r="Q112" s="46">
        <f t="shared" si="25"/>
        <v>2.3018304813653669E-2</v>
      </c>
      <c r="R112" s="9"/>
    </row>
    <row r="113" spans="1:18">
      <c r="A113" s="11"/>
      <c r="B113" s="24">
        <v>348.62</v>
      </c>
      <c r="C113" s="19" t="s">
        <v>258</v>
      </c>
      <c r="D113" s="45">
        <v>0</v>
      </c>
      <c r="E113" s="45">
        <v>4000</v>
      </c>
      <c r="F113" s="45">
        <v>0</v>
      </c>
      <c r="G113" s="45">
        <v>0</v>
      </c>
      <c r="H113" s="45">
        <v>0</v>
      </c>
      <c r="I113" s="45">
        <v>0</v>
      </c>
      <c r="J113" s="45">
        <v>0</v>
      </c>
      <c r="K113" s="45">
        <v>0</v>
      </c>
      <c r="L113" s="45">
        <v>0</v>
      </c>
      <c r="M113" s="45">
        <v>0</v>
      </c>
      <c r="N113" s="45">
        <v>0</v>
      </c>
      <c r="O113" s="45">
        <v>0</v>
      </c>
      <c r="P113" s="45">
        <f t="shared" si="24"/>
        <v>4000</v>
      </c>
      <c r="Q113" s="46">
        <f t="shared" si="25"/>
        <v>2.6306634072747049E-3</v>
      </c>
      <c r="R113" s="9"/>
    </row>
    <row r="114" spans="1:18">
      <c r="A114" s="11"/>
      <c r="B114" s="24">
        <v>348.71</v>
      </c>
      <c r="C114" s="19" t="s">
        <v>259</v>
      </c>
      <c r="D114" s="45">
        <v>0</v>
      </c>
      <c r="E114" s="45">
        <v>897000</v>
      </c>
      <c r="F114" s="45">
        <v>0</v>
      </c>
      <c r="G114" s="45">
        <v>0</v>
      </c>
      <c r="H114" s="45">
        <v>0</v>
      </c>
      <c r="I114" s="45">
        <v>0</v>
      </c>
      <c r="J114" s="45">
        <v>0</v>
      </c>
      <c r="K114" s="45">
        <v>0</v>
      </c>
      <c r="L114" s="45">
        <v>0</v>
      </c>
      <c r="M114" s="45">
        <v>0</v>
      </c>
      <c r="N114" s="45">
        <v>0</v>
      </c>
      <c r="O114" s="45">
        <v>0</v>
      </c>
      <c r="P114" s="45">
        <f t="shared" si="24"/>
        <v>897000</v>
      </c>
      <c r="Q114" s="46">
        <f t="shared" si="25"/>
        <v>0.58992626908135259</v>
      </c>
      <c r="R114" s="9"/>
    </row>
    <row r="115" spans="1:18">
      <c r="A115" s="11"/>
      <c r="B115" s="24">
        <v>348.72</v>
      </c>
      <c r="C115" s="19" t="s">
        <v>260</v>
      </c>
      <c r="D115" s="45">
        <v>0</v>
      </c>
      <c r="E115" s="45">
        <v>121000</v>
      </c>
      <c r="F115" s="45">
        <v>0</v>
      </c>
      <c r="G115" s="45">
        <v>0</v>
      </c>
      <c r="H115" s="45">
        <v>0</v>
      </c>
      <c r="I115" s="45">
        <v>0</v>
      </c>
      <c r="J115" s="45">
        <v>0</v>
      </c>
      <c r="K115" s="45">
        <v>0</v>
      </c>
      <c r="L115" s="45">
        <v>0</v>
      </c>
      <c r="M115" s="45">
        <v>0</v>
      </c>
      <c r="N115" s="45">
        <v>0</v>
      </c>
      <c r="O115" s="45">
        <v>0</v>
      </c>
      <c r="P115" s="45">
        <f t="shared" si="24"/>
        <v>121000</v>
      </c>
      <c r="Q115" s="46">
        <f t="shared" si="25"/>
        <v>7.9577568070059834E-2</v>
      </c>
      <c r="R115" s="9"/>
    </row>
    <row r="116" spans="1:18">
      <c r="A116" s="11"/>
      <c r="B116" s="24">
        <v>348.88</v>
      </c>
      <c r="C116" s="19" t="s">
        <v>223</v>
      </c>
      <c r="D116" s="45">
        <v>29000</v>
      </c>
      <c r="E116" s="45">
        <v>0</v>
      </c>
      <c r="F116" s="45">
        <v>0</v>
      </c>
      <c r="G116" s="45">
        <v>0</v>
      </c>
      <c r="H116" s="45">
        <v>0</v>
      </c>
      <c r="I116" s="45">
        <v>0</v>
      </c>
      <c r="J116" s="45">
        <v>0</v>
      </c>
      <c r="K116" s="45">
        <v>0</v>
      </c>
      <c r="L116" s="45">
        <v>0</v>
      </c>
      <c r="M116" s="45">
        <v>0</v>
      </c>
      <c r="N116" s="45">
        <v>0</v>
      </c>
      <c r="O116" s="45">
        <v>0</v>
      </c>
      <c r="P116" s="45">
        <f t="shared" si="23"/>
        <v>29000</v>
      </c>
      <c r="Q116" s="46">
        <f t="shared" si="25"/>
        <v>1.9072309702741611E-2</v>
      </c>
      <c r="R116" s="9"/>
    </row>
    <row r="117" spans="1:18">
      <c r="A117" s="11"/>
      <c r="B117" s="24">
        <v>348.92099999999999</v>
      </c>
      <c r="C117" s="19" t="s">
        <v>224</v>
      </c>
      <c r="D117" s="45">
        <v>0</v>
      </c>
      <c r="E117" s="45">
        <v>208000</v>
      </c>
      <c r="F117" s="45">
        <v>0</v>
      </c>
      <c r="G117" s="45">
        <v>0</v>
      </c>
      <c r="H117" s="45">
        <v>0</v>
      </c>
      <c r="I117" s="45">
        <v>0</v>
      </c>
      <c r="J117" s="45">
        <v>0</v>
      </c>
      <c r="K117" s="45">
        <v>0</v>
      </c>
      <c r="L117" s="45">
        <v>0</v>
      </c>
      <c r="M117" s="45">
        <v>0</v>
      </c>
      <c r="N117" s="45">
        <v>0</v>
      </c>
      <c r="O117" s="45">
        <v>0</v>
      </c>
      <c r="P117" s="45">
        <f t="shared" ref="P117:P123" si="26">SUM(D117:O117)</f>
        <v>208000</v>
      </c>
      <c r="Q117" s="46">
        <f t="shared" si="25"/>
        <v>0.13679449717828465</v>
      </c>
      <c r="R117" s="9"/>
    </row>
    <row r="118" spans="1:18">
      <c r="A118" s="11"/>
      <c r="B118" s="24">
        <v>348.92200000000003</v>
      </c>
      <c r="C118" s="19" t="s">
        <v>225</v>
      </c>
      <c r="D118" s="45">
        <v>0</v>
      </c>
      <c r="E118" s="45">
        <v>208000</v>
      </c>
      <c r="F118" s="45">
        <v>0</v>
      </c>
      <c r="G118" s="45">
        <v>0</v>
      </c>
      <c r="H118" s="45">
        <v>0</v>
      </c>
      <c r="I118" s="45">
        <v>0</v>
      </c>
      <c r="J118" s="45">
        <v>0</v>
      </c>
      <c r="K118" s="45">
        <v>0</v>
      </c>
      <c r="L118" s="45">
        <v>0</v>
      </c>
      <c r="M118" s="45">
        <v>0</v>
      </c>
      <c r="N118" s="45">
        <v>0</v>
      </c>
      <c r="O118" s="45">
        <v>0</v>
      </c>
      <c r="P118" s="45">
        <f t="shared" si="26"/>
        <v>208000</v>
      </c>
      <c r="Q118" s="46">
        <f t="shared" si="25"/>
        <v>0.13679449717828465</v>
      </c>
      <c r="R118" s="9"/>
    </row>
    <row r="119" spans="1:18">
      <c r="A119" s="11"/>
      <c r="B119" s="24">
        <v>348.923</v>
      </c>
      <c r="C119" s="19" t="s">
        <v>226</v>
      </c>
      <c r="D119" s="45">
        <v>0</v>
      </c>
      <c r="E119" s="45">
        <v>208000</v>
      </c>
      <c r="F119" s="45">
        <v>0</v>
      </c>
      <c r="G119" s="45">
        <v>0</v>
      </c>
      <c r="H119" s="45">
        <v>0</v>
      </c>
      <c r="I119" s="45">
        <v>0</v>
      </c>
      <c r="J119" s="45">
        <v>0</v>
      </c>
      <c r="K119" s="45">
        <v>0</v>
      </c>
      <c r="L119" s="45">
        <v>0</v>
      </c>
      <c r="M119" s="45">
        <v>0</v>
      </c>
      <c r="N119" s="45">
        <v>0</v>
      </c>
      <c r="O119" s="45">
        <v>0</v>
      </c>
      <c r="P119" s="45">
        <f t="shared" si="26"/>
        <v>208000</v>
      </c>
      <c r="Q119" s="46">
        <f t="shared" si="25"/>
        <v>0.13679449717828465</v>
      </c>
      <c r="R119" s="9"/>
    </row>
    <row r="120" spans="1:18">
      <c r="A120" s="11"/>
      <c r="B120" s="24">
        <v>348.92399999999998</v>
      </c>
      <c r="C120" s="19" t="s">
        <v>227</v>
      </c>
      <c r="D120" s="45">
        <v>0</v>
      </c>
      <c r="E120" s="45">
        <v>208000</v>
      </c>
      <c r="F120" s="45">
        <v>0</v>
      </c>
      <c r="G120" s="45">
        <v>0</v>
      </c>
      <c r="H120" s="45">
        <v>0</v>
      </c>
      <c r="I120" s="45">
        <v>0</v>
      </c>
      <c r="J120" s="45">
        <v>0</v>
      </c>
      <c r="K120" s="45">
        <v>0</v>
      </c>
      <c r="L120" s="45">
        <v>0</v>
      </c>
      <c r="M120" s="45">
        <v>0</v>
      </c>
      <c r="N120" s="45">
        <v>0</v>
      </c>
      <c r="O120" s="45">
        <v>0</v>
      </c>
      <c r="P120" s="45">
        <f t="shared" si="26"/>
        <v>208000</v>
      </c>
      <c r="Q120" s="46">
        <f t="shared" si="25"/>
        <v>0.13679449717828465</v>
      </c>
      <c r="R120" s="9"/>
    </row>
    <row r="121" spans="1:18">
      <c r="A121" s="11"/>
      <c r="B121" s="24">
        <v>348.93</v>
      </c>
      <c r="C121" s="19" t="s">
        <v>228</v>
      </c>
      <c r="D121" s="45">
        <v>5000</v>
      </c>
      <c r="E121" s="45">
        <v>2528000</v>
      </c>
      <c r="F121" s="45">
        <v>0</v>
      </c>
      <c r="G121" s="45">
        <v>0</v>
      </c>
      <c r="H121" s="45">
        <v>0</v>
      </c>
      <c r="I121" s="45">
        <v>0</v>
      </c>
      <c r="J121" s="45">
        <v>0</v>
      </c>
      <c r="K121" s="45">
        <v>0</v>
      </c>
      <c r="L121" s="45">
        <v>0</v>
      </c>
      <c r="M121" s="45">
        <v>0</v>
      </c>
      <c r="N121" s="45">
        <v>0</v>
      </c>
      <c r="O121" s="45">
        <v>0</v>
      </c>
      <c r="P121" s="45">
        <f t="shared" si="26"/>
        <v>2533000</v>
      </c>
      <c r="Q121" s="46">
        <f t="shared" si="25"/>
        <v>1.665867602656707</v>
      </c>
      <c r="R121" s="9"/>
    </row>
    <row r="122" spans="1:18">
      <c r="A122" s="11"/>
      <c r="B122" s="24">
        <v>348.93200000000002</v>
      </c>
      <c r="C122" s="19" t="s">
        <v>229</v>
      </c>
      <c r="D122" s="45">
        <v>80000</v>
      </c>
      <c r="E122" s="45">
        <v>0</v>
      </c>
      <c r="F122" s="45">
        <v>0</v>
      </c>
      <c r="G122" s="45">
        <v>0</v>
      </c>
      <c r="H122" s="45">
        <v>0</v>
      </c>
      <c r="I122" s="45">
        <v>0</v>
      </c>
      <c r="J122" s="45">
        <v>0</v>
      </c>
      <c r="K122" s="45">
        <v>0</v>
      </c>
      <c r="L122" s="45">
        <v>0</v>
      </c>
      <c r="M122" s="45">
        <v>0</v>
      </c>
      <c r="N122" s="45">
        <v>0</v>
      </c>
      <c r="O122" s="45">
        <v>0</v>
      </c>
      <c r="P122" s="45">
        <f t="shared" si="26"/>
        <v>80000</v>
      </c>
      <c r="Q122" s="46">
        <f t="shared" si="25"/>
        <v>5.2613268145494101E-2</v>
      </c>
      <c r="R122" s="9"/>
    </row>
    <row r="123" spans="1:18">
      <c r="A123" s="11"/>
      <c r="B123" s="24">
        <v>348.99</v>
      </c>
      <c r="C123" s="19" t="s">
        <v>231</v>
      </c>
      <c r="D123" s="45">
        <v>0</v>
      </c>
      <c r="E123" s="45">
        <v>2709000</v>
      </c>
      <c r="F123" s="45">
        <v>0</v>
      </c>
      <c r="G123" s="45">
        <v>0</v>
      </c>
      <c r="H123" s="45">
        <v>0</v>
      </c>
      <c r="I123" s="45">
        <v>0</v>
      </c>
      <c r="J123" s="45">
        <v>0</v>
      </c>
      <c r="K123" s="45">
        <v>0</v>
      </c>
      <c r="L123" s="45">
        <v>0</v>
      </c>
      <c r="M123" s="45">
        <v>0</v>
      </c>
      <c r="N123" s="45">
        <v>0</v>
      </c>
      <c r="O123" s="45">
        <v>0</v>
      </c>
      <c r="P123" s="45">
        <f t="shared" si="26"/>
        <v>2709000</v>
      </c>
      <c r="Q123" s="46">
        <f t="shared" si="25"/>
        <v>1.7816167925767941</v>
      </c>
      <c r="R123" s="9"/>
    </row>
    <row r="124" spans="1:18">
      <c r="A124" s="11"/>
      <c r="B124" s="24">
        <v>349</v>
      </c>
      <c r="C124" s="19" t="s">
        <v>321</v>
      </c>
      <c r="D124" s="45">
        <v>1009000</v>
      </c>
      <c r="E124" s="45">
        <v>146000</v>
      </c>
      <c r="F124" s="45">
        <v>0</v>
      </c>
      <c r="G124" s="45">
        <v>0</v>
      </c>
      <c r="H124" s="45">
        <v>0</v>
      </c>
      <c r="I124" s="45">
        <v>0</v>
      </c>
      <c r="J124" s="45">
        <v>0</v>
      </c>
      <c r="K124" s="45">
        <v>0</v>
      </c>
      <c r="L124" s="45">
        <v>0</v>
      </c>
      <c r="M124" s="45">
        <v>0</v>
      </c>
      <c r="N124" s="45">
        <v>0</v>
      </c>
      <c r="O124" s="45">
        <v>0</v>
      </c>
      <c r="P124" s="45">
        <f t="shared" si="23"/>
        <v>1155000</v>
      </c>
      <c r="Q124" s="46">
        <f t="shared" si="25"/>
        <v>0.75960405885057103</v>
      </c>
      <c r="R124" s="9"/>
    </row>
    <row r="125" spans="1:18" ht="15.75">
      <c r="A125" s="28" t="s">
        <v>76</v>
      </c>
      <c r="B125" s="29"/>
      <c r="C125" s="30"/>
      <c r="D125" s="31">
        <f t="shared" ref="D125:O125" si="27">SUM(D126:D134)</f>
        <v>5707000</v>
      </c>
      <c r="E125" s="31">
        <f t="shared" si="27"/>
        <v>5995000</v>
      </c>
      <c r="F125" s="31">
        <f t="shared" si="27"/>
        <v>0</v>
      </c>
      <c r="G125" s="31">
        <f t="shared" si="27"/>
        <v>0</v>
      </c>
      <c r="H125" s="31">
        <f t="shared" si="27"/>
        <v>0</v>
      </c>
      <c r="I125" s="31">
        <f t="shared" si="27"/>
        <v>0</v>
      </c>
      <c r="J125" s="31">
        <f t="shared" si="27"/>
        <v>0</v>
      </c>
      <c r="K125" s="31">
        <f t="shared" ref="K125" si="28">SUM(K126:K134)</f>
        <v>0</v>
      </c>
      <c r="L125" s="31">
        <f t="shared" ref="L125" si="29">SUM(L126:L134)</f>
        <v>0</v>
      </c>
      <c r="M125" s="31">
        <f t="shared" si="27"/>
        <v>0</v>
      </c>
      <c r="N125" s="31">
        <f t="shared" ref="N125" si="30">SUM(N126:N134)</f>
        <v>0</v>
      </c>
      <c r="O125" s="31">
        <f t="shared" si="27"/>
        <v>0</v>
      </c>
      <c r="P125" s="31">
        <f>SUM(D125:O125)</f>
        <v>11702000</v>
      </c>
      <c r="Q125" s="44">
        <f t="shared" si="25"/>
        <v>7.6960057979821492</v>
      </c>
      <c r="R125" s="10"/>
    </row>
    <row r="126" spans="1:18">
      <c r="A126" s="12"/>
      <c r="B126" s="38">
        <v>351.1</v>
      </c>
      <c r="C126" s="20" t="s">
        <v>134</v>
      </c>
      <c r="D126" s="45">
        <v>0</v>
      </c>
      <c r="E126" s="45">
        <v>505000</v>
      </c>
      <c r="F126" s="45">
        <v>0</v>
      </c>
      <c r="G126" s="45">
        <v>0</v>
      </c>
      <c r="H126" s="45">
        <v>0</v>
      </c>
      <c r="I126" s="45">
        <v>0</v>
      </c>
      <c r="J126" s="45">
        <v>0</v>
      </c>
      <c r="K126" s="45">
        <v>0</v>
      </c>
      <c r="L126" s="45">
        <v>0</v>
      </c>
      <c r="M126" s="45">
        <v>0</v>
      </c>
      <c r="N126" s="45">
        <v>0</v>
      </c>
      <c r="O126" s="45">
        <v>0</v>
      </c>
      <c r="P126" s="45">
        <f>SUM(D126:O126)</f>
        <v>505000</v>
      </c>
      <c r="Q126" s="46">
        <f t="shared" si="25"/>
        <v>0.3321212551684315</v>
      </c>
      <c r="R126" s="9"/>
    </row>
    <row r="127" spans="1:18">
      <c r="A127" s="12"/>
      <c r="B127" s="38">
        <v>351.2</v>
      </c>
      <c r="C127" s="20" t="s">
        <v>136</v>
      </c>
      <c r="D127" s="45">
        <v>0</v>
      </c>
      <c r="E127" s="45">
        <v>325000</v>
      </c>
      <c r="F127" s="45">
        <v>0</v>
      </c>
      <c r="G127" s="45">
        <v>0</v>
      </c>
      <c r="H127" s="45">
        <v>0</v>
      </c>
      <c r="I127" s="45">
        <v>0</v>
      </c>
      <c r="J127" s="45">
        <v>0</v>
      </c>
      <c r="K127" s="45">
        <v>0</v>
      </c>
      <c r="L127" s="45">
        <v>0</v>
      </c>
      <c r="M127" s="45">
        <v>0</v>
      </c>
      <c r="N127" s="45">
        <v>0</v>
      </c>
      <c r="O127" s="45">
        <v>0</v>
      </c>
      <c r="P127" s="45">
        <f t="shared" ref="P127:P134" si="31">SUM(D127:O127)</f>
        <v>325000</v>
      </c>
      <c r="Q127" s="46">
        <f t="shared" si="25"/>
        <v>0.21374140184106979</v>
      </c>
      <c r="R127" s="9"/>
    </row>
    <row r="128" spans="1:18">
      <c r="A128" s="12"/>
      <c r="B128" s="38">
        <v>351.5</v>
      </c>
      <c r="C128" s="20" t="s">
        <v>137</v>
      </c>
      <c r="D128" s="45">
        <v>520000</v>
      </c>
      <c r="E128" s="45">
        <v>2986000</v>
      </c>
      <c r="F128" s="45">
        <v>0</v>
      </c>
      <c r="G128" s="45">
        <v>0</v>
      </c>
      <c r="H128" s="45">
        <v>0</v>
      </c>
      <c r="I128" s="45">
        <v>0</v>
      </c>
      <c r="J128" s="45">
        <v>0</v>
      </c>
      <c r="K128" s="45">
        <v>0</v>
      </c>
      <c r="L128" s="45">
        <v>0</v>
      </c>
      <c r="M128" s="45">
        <v>0</v>
      </c>
      <c r="N128" s="45">
        <v>0</v>
      </c>
      <c r="O128" s="45">
        <v>0</v>
      </c>
      <c r="P128" s="45">
        <f t="shared" si="31"/>
        <v>3506000</v>
      </c>
      <c r="Q128" s="46">
        <f t="shared" si="25"/>
        <v>2.3057764764762791</v>
      </c>
      <c r="R128" s="9"/>
    </row>
    <row r="129" spans="1:18">
      <c r="A129" s="12"/>
      <c r="B129" s="38">
        <v>351.7</v>
      </c>
      <c r="C129" s="20" t="s">
        <v>232</v>
      </c>
      <c r="D129" s="45">
        <v>0</v>
      </c>
      <c r="E129" s="45">
        <v>465000</v>
      </c>
      <c r="F129" s="45">
        <v>0</v>
      </c>
      <c r="G129" s="45">
        <v>0</v>
      </c>
      <c r="H129" s="45">
        <v>0</v>
      </c>
      <c r="I129" s="45">
        <v>0</v>
      </c>
      <c r="J129" s="45">
        <v>0</v>
      </c>
      <c r="K129" s="45">
        <v>0</v>
      </c>
      <c r="L129" s="45">
        <v>0</v>
      </c>
      <c r="M129" s="45">
        <v>0</v>
      </c>
      <c r="N129" s="45">
        <v>0</v>
      </c>
      <c r="O129" s="45">
        <v>0</v>
      </c>
      <c r="P129" s="45">
        <f t="shared" si="31"/>
        <v>465000</v>
      </c>
      <c r="Q129" s="46">
        <f t="shared" si="25"/>
        <v>0.30581462109568447</v>
      </c>
      <c r="R129" s="9"/>
    </row>
    <row r="130" spans="1:18">
      <c r="A130" s="12"/>
      <c r="B130" s="38">
        <v>351.9</v>
      </c>
      <c r="C130" s="20" t="s">
        <v>322</v>
      </c>
      <c r="D130" s="45">
        <v>0</v>
      </c>
      <c r="E130" s="45">
        <v>822000</v>
      </c>
      <c r="F130" s="45">
        <v>0</v>
      </c>
      <c r="G130" s="45">
        <v>0</v>
      </c>
      <c r="H130" s="45">
        <v>0</v>
      </c>
      <c r="I130" s="45">
        <v>0</v>
      </c>
      <c r="J130" s="45">
        <v>0</v>
      </c>
      <c r="K130" s="45">
        <v>0</v>
      </c>
      <c r="L130" s="45">
        <v>0</v>
      </c>
      <c r="M130" s="45">
        <v>0</v>
      </c>
      <c r="N130" s="45">
        <v>0</v>
      </c>
      <c r="O130" s="45">
        <v>0</v>
      </c>
      <c r="P130" s="45">
        <f t="shared" si="31"/>
        <v>822000</v>
      </c>
      <c r="Q130" s="46">
        <f t="shared" si="25"/>
        <v>0.54060133019495193</v>
      </c>
      <c r="R130" s="9"/>
    </row>
    <row r="131" spans="1:18">
      <c r="A131" s="12"/>
      <c r="B131" s="38">
        <v>352</v>
      </c>
      <c r="C131" s="20" t="s">
        <v>138</v>
      </c>
      <c r="D131" s="45">
        <v>0</v>
      </c>
      <c r="E131" s="45">
        <v>65000</v>
      </c>
      <c r="F131" s="45">
        <v>0</v>
      </c>
      <c r="G131" s="45">
        <v>0</v>
      </c>
      <c r="H131" s="45">
        <v>0</v>
      </c>
      <c r="I131" s="45">
        <v>0</v>
      </c>
      <c r="J131" s="45">
        <v>0</v>
      </c>
      <c r="K131" s="45">
        <v>0</v>
      </c>
      <c r="L131" s="45">
        <v>0</v>
      </c>
      <c r="M131" s="45">
        <v>0</v>
      </c>
      <c r="N131" s="45">
        <v>0</v>
      </c>
      <c r="O131" s="45">
        <v>0</v>
      </c>
      <c r="P131" s="45">
        <f t="shared" si="31"/>
        <v>65000</v>
      </c>
      <c r="Q131" s="46">
        <f t="shared" si="25"/>
        <v>4.2748280368213959E-2</v>
      </c>
      <c r="R131" s="9"/>
    </row>
    <row r="132" spans="1:18">
      <c r="A132" s="12"/>
      <c r="B132" s="38">
        <v>353</v>
      </c>
      <c r="C132" s="20" t="s">
        <v>139</v>
      </c>
      <c r="D132" s="45">
        <v>0</v>
      </c>
      <c r="E132" s="45">
        <v>418000</v>
      </c>
      <c r="F132" s="45">
        <v>0</v>
      </c>
      <c r="G132" s="45">
        <v>0</v>
      </c>
      <c r="H132" s="45">
        <v>0</v>
      </c>
      <c r="I132" s="45">
        <v>0</v>
      </c>
      <c r="J132" s="45">
        <v>0</v>
      </c>
      <c r="K132" s="45">
        <v>0</v>
      </c>
      <c r="L132" s="45">
        <v>0</v>
      </c>
      <c r="M132" s="45">
        <v>0</v>
      </c>
      <c r="N132" s="45">
        <v>0</v>
      </c>
      <c r="O132" s="45">
        <v>0</v>
      </c>
      <c r="P132" s="45">
        <f t="shared" si="31"/>
        <v>418000</v>
      </c>
      <c r="Q132" s="46">
        <f t="shared" si="25"/>
        <v>0.27490432606020671</v>
      </c>
      <c r="R132" s="9"/>
    </row>
    <row r="133" spans="1:18">
      <c r="A133" s="12"/>
      <c r="B133" s="38">
        <v>354</v>
      </c>
      <c r="C133" s="20" t="s">
        <v>140</v>
      </c>
      <c r="D133" s="45">
        <v>5139000</v>
      </c>
      <c r="E133" s="45">
        <v>116000</v>
      </c>
      <c r="F133" s="45">
        <v>0</v>
      </c>
      <c r="G133" s="45">
        <v>0</v>
      </c>
      <c r="H133" s="45">
        <v>0</v>
      </c>
      <c r="I133" s="45">
        <v>0</v>
      </c>
      <c r="J133" s="45">
        <v>0</v>
      </c>
      <c r="K133" s="45">
        <v>0</v>
      </c>
      <c r="L133" s="45">
        <v>0</v>
      </c>
      <c r="M133" s="45">
        <v>0</v>
      </c>
      <c r="N133" s="45">
        <v>0</v>
      </c>
      <c r="O133" s="45">
        <v>0</v>
      </c>
      <c r="P133" s="45">
        <f t="shared" si="31"/>
        <v>5255000</v>
      </c>
      <c r="Q133" s="46">
        <f t="shared" ref="Q133:Q154" si="32">(P133/Q$156)</f>
        <v>3.4560340513071437</v>
      </c>
      <c r="R133" s="9"/>
    </row>
    <row r="134" spans="1:18">
      <c r="A134" s="12"/>
      <c r="B134" s="38">
        <v>359</v>
      </c>
      <c r="C134" s="20" t="s">
        <v>141</v>
      </c>
      <c r="D134" s="45">
        <v>48000</v>
      </c>
      <c r="E134" s="45">
        <v>293000</v>
      </c>
      <c r="F134" s="45">
        <v>0</v>
      </c>
      <c r="G134" s="45">
        <v>0</v>
      </c>
      <c r="H134" s="45">
        <v>0</v>
      </c>
      <c r="I134" s="45">
        <v>0</v>
      </c>
      <c r="J134" s="45">
        <v>0</v>
      </c>
      <c r="K134" s="45">
        <v>0</v>
      </c>
      <c r="L134" s="45">
        <v>0</v>
      </c>
      <c r="M134" s="45">
        <v>0</v>
      </c>
      <c r="N134" s="45">
        <v>0</v>
      </c>
      <c r="O134" s="45">
        <v>0</v>
      </c>
      <c r="P134" s="45">
        <f t="shared" si="31"/>
        <v>341000</v>
      </c>
      <c r="Q134" s="46">
        <f t="shared" si="32"/>
        <v>0.22426405547016862</v>
      </c>
      <c r="R134" s="9"/>
    </row>
    <row r="135" spans="1:18" ht="15.75">
      <c r="A135" s="28" t="s">
        <v>5</v>
      </c>
      <c r="B135" s="29"/>
      <c r="C135" s="30"/>
      <c r="D135" s="31">
        <f t="shared" ref="D135:O135" si="33">SUM(D136:D145)</f>
        <v>4318000</v>
      </c>
      <c r="E135" s="31">
        <f t="shared" si="33"/>
        <v>9741000</v>
      </c>
      <c r="F135" s="31">
        <f t="shared" si="33"/>
        <v>-175000</v>
      </c>
      <c r="G135" s="31">
        <f t="shared" si="33"/>
        <v>-758000</v>
      </c>
      <c r="H135" s="31">
        <f t="shared" si="33"/>
        <v>0</v>
      </c>
      <c r="I135" s="31">
        <f t="shared" si="33"/>
        <v>280000</v>
      </c>
      <c r="J135" s="31">
        <f t="shared" si="33"/>
        <v>-6067000</v>
      </c>
      <c r="K135" s="31">
        <f t="shared" ref="K135" si="34">SUM(K136:K145)</f>
        <v>458790000</v>
      </c>
      <c r="L135" s="31">
        <f t="shared" ref="L135" si="35">SUM(L136:L145)</f>
        <v>0</v>
      </c>
      <c r="M135" s="31">
        <f t="shared" si="33"/>
        <v>0</v>
      </c>
      <c r="N135" s="31">
        <f t="shared" ref="N135" si="36">SUM(N136:N145)</f>
        <v>0</v>
      </c>
      <c r="O135" s="31">
        <f t="shared" si="33"/>
        <v>-4095000</v>
      </c>
      <c r="P135" s="31">
        <f>SUM(D135:O135)</f>
        <v>462034000</v>
      </c>
      <c r="Q135" s="44">
        <f t="shared" si="32"/>
        <v>303.86398417919025</v>
      </c>
      <c r="R135" s="10"/>
    </row>
    <row r="136" spans="1:18">
      <c r="A136" s="11"/>
      <c r="B136" s="24">
        <v>361.1</v>
      </c>
      <c r="C136" s="19" t="s">
        <v>142</v>
      </c>
      <c r="D136" s="45">
        <v>5654000</v>
      </c>
      <c r="E136" s="45">
        <v>6044000</v>
      </c>
      <c r="F136" s="45">
        <v>231000</v>
      </c>
      <c r="G136" s="45">
        <v>265000</v>
      </c>
      <c r="H136" s="45">
        <v>0</v>
      </c>
      <c r="I136" s="45">
        <v>0</v>
      </c>
      <c r="J136" s="45">
        <v>0</v>
      </c>
      <c r="K136" s="45">
        <v>0</v>
      </c>
      <c r="L136" s="45">
        <v>0</v>
      </c>
      <c r="M136" s="45">
        <v>0</v>
      </c>
      <c r="N136" s="45">
        <v>0</v>
      </c>
      <c r="O136" s="45">
        <v>94000</v>
      </c>
      <c r="P136" s="45">
        <f>SUM(D136:O136)</f>
        <v>12288000</v>
      </c>
      <c r="Q136" s="46">
        <f t="shared" si="32"/>
        <v>8.0813979871478931</v>
      </c>
      <c r="R136" s="9"/>
    </row>
    <row r="137" spans="1:18">
      <c r="A137" s="11"/>
      <c r="B137" s="24">
        <v>361.3</v>
      </c>
      <c r="C137" s="19" t="s">
        <v>143</v>
      </c>
      <c r="D137" s="45">
        <v>-21552000</v>
      </c>
      <c r="E137" s="45">
        <v>-25558000</v>
      </c>
      <c r="F137" s="45">
        <v>-1051000</v>
      </c>
      <c r="G137" s="45">
        <v>-1213000</v>
      </c>
      <c r="H137" s="45">
        <v>0</v>
      </c>
      <c r="I137" s="45">
        <v>0</v>
      </c>
      <c r="J137" s="45">
        <v>-7074000</v>
      </c>
      <c r="K137" s="45">
        <v>0</v>
      </c>
      <c r="L137" s="45">
        <v>0</v>
      </c>
      <c r="M137" s="45">
        <v>0</v>
      </c>
      <c r="N137" s="45">
        <v>0</v>
      </c>
      <c r="O137" s="45">
        <v>0</v>
      </c>
      <c r="P137" s="45">
        <f t="shared" ref="P137:P145" si="37">SUM(D137:O137)</f>
        <v>-56448000</v>
      </c>
      <c r="Q137" s="46">
        <f t="shared" si="32"/>
        <v>-37.123922003460635</v>
      </c>
      <c r="R137" s="9"/>
    </row>
    <row r="138" spans="1:18">
      <c r="A138" s="11"/>
      <c r="B138" s="24">
        <v>361.4</v>
      </c>
      <c r="C138" s="19" t="s">
        <v>261</v>
      </c>
      <c r="D138" s="45">
        <v>0</v>
      </c>
      <c r="E138" s="45">
        <v>0</v>
      </c>
      <c r="F138" s="45">
        <v>0</v>
      </c>
      <c r="G138" s="45">
        <v>0</v>
      </c>
      <c r="H138" s="45">
        <v>0</v>
      </c>
      <c r="I138" s="45">
        <v>0</v>
      </c>
      <c r="J138" s="45">
        <v>0</v>
      </c>
      <c r="K138" s="45">
        <v>0</v>
      </c>
      <c r="L138" s="45">
        <v>0</v>
      </c>
      <c r="M138" s="45">
        <v>0</v>
      </c>
      <c r="N138" s="45">
        <v>0</v>
      </c>
      <c r="O138" s="45">
        <v>606000</v>
      </c>
      <c r="P138" s="45">
        <f t="shared" si="37"/>
        <v>606000</v>
      </c>
      <c r="Q138" s="46">
        <f t="shared" si="32"/>
        <v>0.39854550620211782</v>
      </c>
      <c r="R138" s="9"/>
    </row>
    <row r="139" spans="1:18">
      <c r="A139" s="11"/>
      <c r="B139" s="24">
        <v>362</v>
      </c>
      <c r="C139" s="19" t="s">
        <v>145</v>
      </c>
      <c r="D139" s="45">
        <v>1957000</v>
      </c>
      <c r="E139" s="45">
        <v>9000</v>
      </c>
      <c r="F139" s="45">
        <v>645000</v>
      </c>
      <c r="G139" s="45">
        <v>190000</v>
      </c>
      <c r="H139" s="45">
        <v>0</v>
      </c>
      <c r="I139" s="45">
        <v>4000</v>
      </c>
      <c r="J139" s="45">
        <v>0</v>
      </c>
      <c r="K139" s="45">
        <v>0</v>
      </c>
      <c r="L139" s="45">
        <v>0</v>
      </c>
      <c r="M139" s="45">
        <v>0</v>
      </c>
      <c r="N139" s="45">
        <v>0</v>
      </c>
      <c r="O139" s="45">
        <v>0</v>
      </c>
      <c r="P139" s="45">
        <f t="shared" si="37"/>
        <v>2805000</v>
      </c>
      <c r="Q139" s="46">
        <f t="shared" si="32"/>
        <v>1.8447527143513869</v>
      </c>
      <c r="R139" s="9"/>
    </row>
    <row r="140" spans="1:18">
      <c r="A140" s="11"/>
      <c r="B140" s="24">
        <v>364</v>
      </c>
      <c r="C140" s="19" t="s">
        <v>237</v>
      </c>
      <c r="D140" s="45">
        <v>11646000</v>
      </c>
      <c r="E140" s="45">
        <v>821000</v>
      </c>
      <c r="F140" s="45">
        <v>0</v>
      </c>
      <c r="G140" s="45">
        <v>0</v>
      </c>
      <c r="H140" s="45">
        <v>0</v>
      </c>
      <c r="I140" s="45">
        <v>-628000</v>
      </c>
      <c r="J140" s="45">
        <v>1026000</v>
      </c>
      <c r="K140" s="45">
        <v>0</v>
      </c>
      <c r="L140" s="45">
        <v>0</v>
      </c>
      <c r="M140" s="45">
        <v>0</v>
      </c>
      <c r="N140" s="45">
        <v>0</v>
      </c>
      <c r="O140" s="45">
        <v>0</v>
      </c>
      <c r="P140" s="45">
        <f t="shared" si="37"/>
        <v>12865000</v>
      </c>
      <c r="Q140" s="46">
        <f t="shared" si="32"/>
        <v>8.4608711836472708</v>
      </c>
      <c r="R140" s="9"/>
    </row>
    <row r="141" spans="1:18">
      <c r="A141" s="11"/>
      <c r="B141" s="24">
        <v>365</v>
      </c>
      <c r="C141" s="19" t="s">
        <v>238</v>
      </c>
      <c r="D141" s="45">
        <v>93000</v>
      </c>
      <c r="E141" s="45">
        <v>39000</v>
      </c>
      <c r="F141" s="45">
        <v>0</v>
      </c>
      <c r="G141" s="45">
        <v>0</v>
      </c>
      <c r="H141" s="45">
        <v>0</v>
      </c>
      <c r="I141" s="45">
        <v>95000</v>
      </c>
      <c r="J141" s="45">
        <v>17000</v>
      </c>
      <c r="K141" s="45">
        <v>0</v>
      </c>
      <c r="L141" s="45">
        <v>0</v>
      </c>
      <c r="M141" s="45">
        <v>0</v>
      </c>
      <c r="N141" s="45">
        <v>0</v>
      </c>
      <c r="O141" s="45">
        <v>0</v>
      </c>
      <c r="P141" s="45">
        <f t="shared" si="37"/>
        <v>244000</v>
      </c>
      <c r="Q141" s="46">
        <f t="shared" si="32"/>
        <v>0.16047046784375701</v>
      </c>
      <c r="R141" s="9"/>
    </row>
    <row r="142" spans="1:18">
      <c r="A142" s="11"/>
      <c r="B142" s="24">
        <v>366</v>
      </c>
      <c r="C142" s="19" t="s">
        <v>148</v>
      </c>
      <c r="D142" s="45">
        <v>86000</v>
      </c>
      <c r="E142" s="45">
        <v>145000</v>
      </c>
      <c r="F142" s="45">
        <v>0</v>
      </c>
      <c r="G142" s="45">
        <v>0</v>
      </c>
      <c r="H142" s="45">
        <v>0</v>
      </c>
      <c r="I142" s="45">
        <v>0</v>
      </c>
      <c r="J142" s="45">
        <v>0</v>
      </c>
      <c r="K142" s="45">
        <v>0</v>
      </c>
      <c r="L142" s="45">
        <v>0</v>
      </c>
      <c r="M142" s="45">
        <v>0</v>
      </c>
      <c r="N142" s="45">
        <v>0</v>
      </c>
      <c r="O142" s="45">
        <v>19000</v>
      </c>
      <c r="P142" s="45">
        <f t="shared" si="37"/>
        <v>250000</v>
      </c>
      <c r="Q142" s="46">
        <f t="shared" si="32"/>
        <v>0.16441646295466908</v>
      </c>
      <c r="R142" s="9"/>
    </row>
    <row r="143" spans="1:18">
      <c r="A143" s="11"/>
      <c r="B143" s="24">
        <v>367</v>
      </c>
      <c r="C143" s="19" t="s">
        <v>149</v>
      </c>
      <c r="D143" s="45">
        <v>2600000</v>
      </c>
      <c r="E143" s="45">
        <v>219000</v>
      </c>
      <c r="F143" s="45">
        <v>0</v>
      </c>
      <c r="G143" s="45">
        <v>0</v>
      </c>
      <c r="H143" s="45">
        <v>0</v>
      </c>
      <c r="I143" s="45">
        <v>0</v>
      </c>
      <c r="J143" s="45">
        <v>0</v>
      </c>
      <c r="K143" s="45">
        <v>0</v>
      </c>
      <c r="L143" s="45">
        <v>0</v>
      </c>
      <c r="M143" s="45">
        <v>0</v>
      </c>
      <c r="N143" s="45">
        <v>0</v>
      </c>
      <c r="O143" s="45">
        <v>0</v>
      </c>
      <c r="P143" s="45">
        <f t="shared" si="37"/>
        <v>2819000</v>
      </c>
      <c r="Q143" s="46">
        <f t="shared" si="32"/>
        <v>1.8539600362768485</v>
      </c>
      <c r="R143" s="9"/>
    </row>
    <row r="144" spans="1:18">
      <c r="A144" s="11"/>
      <c r="B144" s="24">
        <v>369.3</v>
      </c>
      <c r="C144" s="19" t="s">
        <v>150</v>
      </c>
      <c r="D144" s="45">
        <v>166000</v>
      </c>
      <c r="E144" s="45">
        <v>1463000</v>
      </c>
      <c r="F144" s="45">
        <v>0</v>
      </c>
      <c r="G144" s="45">
        <v>0</v>
      </c>
      <c r="H144" s="45">
        <v>0</v>
      </c>
      <c r="I144" s="45">
        <v>1000</v>
      </c>
      <c r="J144" s="45">
        <v>0</v>
      </c>
      <c r="K144" s="45">
        <v>0</v>
      </c>
      <c r="L144" s="45">
        <v>0</v>
      </c>
      <c r="M144" s="45">
        <v>0</v>
      </c>
      <c r="N144" s="45">
        <v>0</v>
      </c>
      <c r="O144" s="45">
        <v>0</v>
      </c>
      <c r="P144" s="45">
        <f t="shared" si="37"/>
        <v>1630000</v>
      </c>
      <c r="Q144" s="46">
        <f t="shared" si="32"/>
        <v>1.0719953384644423</v>
      </c>
      <c r="R144" s="9"/>
    </row>
    <row r="145" spans="1:121">
      <c r="A145" s="11"/>
      <c r="B145" s="24">
        <v>369.9</v>
      </c>
      <c r="C145" s="19" t="s">
        <v>151</v>
      </c>
      <c r="D145" s="45">
        <v>3668000</v>
      </c>
      <c r="E145" s="45">
        <v>26559000</v>
      </c>
      <c r="F145" s="45">
        <v>0</v>
      </c>
      <c r="G145" s="45">
        <v>0</v>
      </c>
      <c r="H145" s="45">
        <v>0</v>
      </c>
      <c r="I145" s="45">
        <v>808000</v>
      </c>
      <c r="J145" s="45">
        <v>-36000</v>
      </c>
      <c r="K145" s="45">
        <v>458790000</v>
      </c>
      <c r="L145" s="45">
        <v>0</v>
      </c>
      <c r="M145" s="45">
        <v>0</v>
      </c>
      <c r="N145" s="45">
        <v>0</v>
      </c>
      <c r="O145" s="45">
        <v>-4814000</v>
      </c>
      <c r="P145" s="45">
        <f t="shared" si="37"/>
        <v>484975000</v>
      </c>
      <c r="Q145" s="46">
        <f t="shared" si="32"/>
        <v>318.9514964857625</v>
      </c>
      <c r="R145" s="9"/>
    </row>
    <row r="146" spans="1:121" ht="15.75">
      <c r="A146" s="28" t="s">
        <v>77</v>
      </c>
      <c r="B146" s="29"/>
      <c r="C146" s="30"/>
      <c r="D146" s="31">
        <f t="shared" ref="D146:O146" si="38">SUM(D147:D153)</f>
        <v>114043000</v>
      </c>
      <c r="E146" s="31">
        <f t="shared" si="38"/>
        <v>133449000</v>
      </c>
      <c r="F146" s="31">
        <f t="shared" si="38"/>
        <v>92848000</v>
      </c>
      <c r="G146" s="31">
        <f t="shared" si="38"/>
        <v>41117000</v>
      </c>
      <c r="H146" s="31">
        <f t="shared" si="38"/>
        <v>0</v>
      </c>
      <c r="I146" s="31">
        <f t="shared" si="38"/>
        <v>3984000</v>
      </c>
      <c r="J146" s="31">
        <f t="shared" si="38"/>
        <v>15554000</v>
      </c>
      <c r="K146" s="31">
        <f t="shared" ref="K146" si="39">SUM(K147:K153)</f>
        <v>0</v>
      </c>
      <c r="L146" s="31">
        <f t="shared" ref="L146" si="40">SUM(L147:L153)</f>
        <v>0</v>
      </c>
      <c r="M146" s="31">
        <f t="shared" si="38"/>
        <v>0</v>
      </c>
      <c r="N146" s="31">
        <f t="shared" ref="N146" si="41">SUM(N147:N153)</f>
        <v>0</v>
      </c>
      <c r="O146" s="31">
        <f t="shared" si="38"/>
        <v>0</v>
      </c>
      <c r="P146" s="31">
        <f>SUM(D146:O146)</f>
        <v>400995000</v>
      </c>
      <c r="Q146" s="44">
        <f t="shared" si="32"/>
        <v>263.72071825003007</v>
      </c>
      <c r="R146" s="9"/>
    </row>
    <row r="147" spans="1:121">
      <c r="A147" s="11"/>
      <c r="B147" s="24">
        <v>381</v>
      </c>
      <c r="C147" s="19" t="s">
        <v>152</v>
      </c>
      <c r="D147" s="45">
        <v>109629000</v>
      </c>
      <c r="E147" s="45">
        <v>133449000</v>
      </c>
      <c r="F147" s="45">
        <v>90648000</v>
      </c>
      <c r="G147" s="45">
        <v>37017000</v>
      </c>
      <c r="H147" s="45">
        <v>0</v>
      </c>
      <c r="I147" s="45">
        <v>0</v>
      </c>
      <c r="J147" s="45">
        <v>10814000</v>
      </c>
      <c r="K147" s="45">
        <v>0</v>
      </c>
      <c r="L147" s="45">
        <v>0</v>
      </c>
      <c r="M147" s="45">
        <v>0</v>
      </c>
      <c r="N147" s="45">
        <v>0</v>
      </c>
      <c r="O147" s="45">
        <v>0</v>
      </c>
      <c r="P147" s="45">
        <f>SUM(D147:O147)</f>
        <v>381557000</v>
      </c>
      <c r="Q147" s="46">
        <f t="shared" si="32"/>
        <v>250.93700942237865</v>
      </c>
      <c r="R147" s="9"/>
    </row>
    <row r="148" spans="1:121">
      <c r="A148" s="11"/>
      <c r="B148" s="24">
        <v>383.1</v>
      </c>
      <c r="C148" s="19" t="s">
        <v>325</v>
      </c>
      <c r="D148" s="45">
        <v>4274000</v>
      </c>
      <c r="E148" s="45">
        <v>0</v>
      </c>
      <c r="F148" s="45">
        <v>0</v>
      </c>
      <c r="G148" s="45">
        <v>0</v>
      </c>
      <c r="H148" s="45">
        <v>0</v>
      </c>
      <c r="I148" s="45">
        <v>37000</v>
      </c>
      <c r="J148" s="45">
        <v>0</v>
      </c>
      <c r="K148" s="45">
        <v>0</v>
      </c>
      <c r="L148" s="45">
        <v>0</v>
      </c>
      <c r="M148" s="45">
        <v>0</v>
      </c>
      <c r="N148" s="45">
        <v>0</v>
      </c>
      <c r="O148" s="45">
        <v>0</v>
      </c>
      <c r="P148" s="45">
        <f t="shared" ref="P148:P153" si="42">SUM(D148:O148)</f>
        <v>4311000</v>
      </c>
      <c r="Q148" s="46">
        <f t="shared" si="32"/>
        <v>2.8351974871903134</v>
      </c>
      <c r="R148" s="9"/>
    </row>
    <row r="149" spans="1:121">
      <c r="A149" s="11"/>
      <c r="B149" s="24">
        <v>383.2</v>
      </c>
      <c r="C149" s="19" t="s">
        <v>326</v>
      </c>
      <c r="D149" s="45">
        <v>140000</v>
      </c>
      <c r="E149" s="45">
        <v>0</v>
      </c>
      <c r="F149" s="45">
        <v>0</v>
      </c>
      <c r="G149" s="45">
        <v>0</v>
      </c>
      <c r="H149" s="45">
        <v>0</v>
      </c>
      <c r="I149" s="45">
        <v>0</v>
      </c>
      <c r="J149" s="45">
        <v>0</v>
      </c>
      <c r="K149" s="45">
        <v>0</v>
      </c>
      <c r="L149" s="45">
        <v>0</v>
      </c>
      <c r="M149" s="45">
        <v>0</v>
      </c>
      <c r="N149" s="45">
        <v>0</v>
      </c>
      <c r="O149" s="45">
        <v>0</v>
      </c>
      <c r="P149" s="45">
        <f>SUM(D149:O149)</f>
        <v>140000</v>
      </c>
      <c r="Q149" s="46">
        <f t="shared" si="32"/>
        <v>9.2073219254614674E-2</v>
      </c>
      <c r="R149" s="9"/>
    </row>
    <row r="150" spans="1:121">
      <c r="A150" s="11"/>
      <c r="B150" s="24">
        <v>384</v>
      </c>
      <c r="C150" s="19" t="s">
        <v>153</v>
      </c>
      <c r="D150" s="45">
        <v>0</v>
      </c>
      <c r="E150" s="45">
        <v>0</v>
      </c>
      <c r="F150" s="45">
        <v>2200000</v>
      </c>
      <c r="G150" s="45">
        <v>4100000</v>
      </c>
      <c r="H150" s="45">
        <v>0</v>
      </c>
      <c r="I150" s="45">
        <v>0</v>
      </c>
      <c r="J150" s="45">
        <v>0</v>
      </c>
      <c r="K150" s="45">
        <v>0</v>
      </c>
      <c r="L150" s="45">
        <v>0</v>
      </c>
      <c r="M150" s="45">
        <v>0</v>
      </c>
      <c r="N150" s="45">
        <v>0</v>
      </c>
      <c r="O150" s="45">
        <v>0</v>
      </c>
      <c r="P150" s="45">
        <f t="shared" si="42"/>
        <v>6300000</v>
      </c>
      <c r="Q150" s="46">
        <f t="shared" si="32"/>
        <v>4.1432948664576603</v>
      </c>
      <c r="R150" s="9"/>
    </row>
    <row r="151" spans="1:121">
      <c r="A151" s="11"/>
      <c r="B151" s="24">
        <v>389.1</v>
      </c>
      <c r="C151" s="19" t="s">
        <v>154</v>
      </c>
      <c r="D151" s="45">
        <v>0</v>
      </c>
      <c r="E151" s="45">
        <v>0</v>
      </c>
      <c r="F151" s="45">
        <v>0</v>
      </c>
      <c r="G151" s="45">
        <v>0</v>
      </c>
      <c r="H151" s="45">
        <v>0</v>
      </c>
      <c r="I151" s="45">
        <v>-11780000</v>
      </c>
      <c r="J151" s="45">
        <v>1635000</v>
      </c>
      <c r="K151" s="45">
        <v>0</v>
      </c>
      <c r="L151" s="45">
        <v>0</v>
      </c>
      <c r="M151" s="45">
        <v>0</v>
      </c>
      <c r="N151" s="45">
        <v>0</v>
      </c>
      <c r="O151" s="45">
        <v>0</v>
      </c>
      <c r="P151" s="45">
        <f t="shared" si="42"/>
        <v>-10145000</v>
      </c>
      <c r="Q151" s="46">
        <f t="shared" si="32"/>
        <v>-6.6720200667004708</v>
      </c>
      <c r="R151" s="9"/>
    </row>
    <row r="152" spans="1:121">
      <c r="A152" s="11"/>
      <c r="B152" s="24">
        <v>389.4</v>
      </c>
      <c r="C152" s="19" t="s">
        <v>156</v>
      </c>
      <c r="D152" s="45">
        <v>0</v>
      </c>
      <c r="E152" s="45">
        <v>0</v>
      </c>
      <c r="F152" s="45">
        <v>0</v>
      </c>
      <c r="G152" s="45">
        <v>0</v>
      </c>
      <c r="H152" s="45">
        <v>0</v>
      </c>
      <c r="I152" s="45">
        <v>13891000</v>
      </c>
      <c r="J152" s="45">
        <v>0</v>
      </c>
      <c r="K152" s="45">
        <v>0</v>
      </c>
      <c r="L152" s="45">
        <v>0</v>
      </c>
      <c r="M152" s="45">
        <v>0</v>
      </c>
      <c r="N152" s="45">
        <v>0</v>
      </c>
      <c r="O152" s="45">
        <v>0</v>
      </c>
      <c r="P152" s="45">
        <f t="shared" si="42"/>
        <v>13891000</v>
      </c>
      <c r="Q152" s="46">
        <f t="shared" si="32"/>
        <v>9.1356363476132323</v>
      </c>
      <c r="R152" s="9"/>
    </row>
    <row r="153" spans="1:121" ht="15.75" thickBot="1">
      <c r="A153" s="11"/>
      <c r="B153" s="24">
        <v>389.7</v>
      </c>
      <c r="C153" s="19" t="s">
        <v>323</v>
      </c>
      <c r="D153" s="45">
        <v>0</v>
      </c>
      <c r="E153" s="45">
        <v>0</v>
      </c>
      <c r="F153" s="45">
        <v>0</v>
      </c>
      <c r="G153" s="45">
        <v>0</v>
      </c>
      <c r="H153" s="45">
        <v>0</v>
      </c>
      <c r="I153" s="45">
        <v>1836000</v>
      </c>
      <c r="J153" s="45">
        <v>3105000</v>
      </c>
      <c r="K153" s="45">
        <v>0</v>
      </c>
      <c r="L153" s="45">
        <v>0</v>
      </c>
      <c r="M153" s="45">
        <v>0</v>
      </c>
      <c r="N153" s="45">
        <v>0</v>
      </c>
      <c r="O153" s="45">
        <v>0</v>
      </c>
      <c r="P153" s="45">
        <f t="shared" si="42"/>
        <v>4941000</v>
      </c>
      <c r="Q153" s="46">
        <f t="shared" si="32"/>
        <v>3.2495269738360792</v>
      </c>
      <c r="R153" s="9"/>
    </row>
    <row r="154" spans="1:121" ht="16.5" thickBot="1">
      <c r="A154" s="13" t="s">
        <v>114</v>
      </c>
      <c r="B154" s="22"/>
      <c r="C154" s="21"/>
      <c r="D154" s="14">
        <f t="shared" ref="D154:O154" si="43">SUM(D5,D14,D27,D70,D125,D135,D146)</f>
        <v>1321767000</v>
      </c>
      <c r="E154" s="14">
        <f t="shared" si="43"/>
        <v>1373676000</v>
      </c>
      <c r="F154" s="14">
        <f t="shared" si="43"/>
        <v>102186000</v>
      </c>
      <c r="G154" s="14">
        <f t="shared" si="43"/>
        <v>40359000</v>
      </c>
      <c r="H154" s="14">
        <f t="shared" si="43"/>
        <v>0</v>
      </c>
      <c r="I154" s="14">
        <f t="shared" si="43"/>
        <v>503799000</v>
      </c>
      <c r="J154" s="14">
        <f t="shared" si="43"/>
        <v>238463000</v>
      </c>
      <c r="K154" s="14">
        <f t="shared" ref="K154" si="44">SUM(K5,K14,K27,K70,K125,K135,K146)</f>
        <v>6814851000</v>
      </c>
      <c r="L154" s="14">
        <f t="shared" ref="L154" si="45">SUM(L5,L14,L27,L70,L125,L135,L146)</f>
        <v>0</v>
      </c>
      <c r="M154" s="14">
        <f t="shared" si="43"/>
        <v>0</v>
      </c>
      <c r="N154" s="14">
        <f t="shared" ref="N154" si="46">SUM(N5,N14,N27,N70,N125,N135,N146)</f>
        <v>0</v>
      </c>
      <c r="O154" s="14">
        <f t="shared" si="43"/>
        <v>3545000</v>
      </c>
      <c r="P154" s="14">
        <f>SUM(D154:O154)</f>
        <v>10398646000</v>
      </c>
      <c r="Q154" s="37">
        <f t="shared" si="32"/>
        <v>6838.8343793508702</v>
      </c>
      <c r="R154" s="6"/>
      <c r="S154" s="2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</row>
    <row r="155" spans="1:121">
      <c r="A155" s="15"/>
      <c r="B155" s="17"/>
      <c r="C155" s="17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8"/>
    </row>
    <row r="156" spans="1:121">
      <c r="A156" s="39"/>
      <c r="B156" s="40"/>
      <c r="C156" s="40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8" t="s">
        <v>327</v>
      </c>
      <c r="O156" s="48"/>
      <c r="P156" s="48"/>
      <c r="Q156" s="42">
        <v>1520529</v>
      </c>
    </row>
    <row r="157" spans="1:121">
      <c r="A157" s="49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1"/>
    </row>
    <row r="158" spans="1:121" ht="15.75" customHeight="1" thickBot="1">
      <c r="A158" s="52" t="s">
        <v>178</v>
      </c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4"/>
    </row>
  </sheetData>
  <mergeCells count="10">
    <mergeCell ref="N156:P156"/>
    <mergeCell ref="A157:Q157"/>
    <mergeCell ref="A158:Q158"/>
    <mergeCell ref="A1:Q1"/>
    <mergeCell ref="A2:Q2"/>
    <mergeCell ref="A3:C4"/>
    <mergeCell ref="D3:H3"/>
    <mergeCell ref="I3:J3"/>
    <mergeCell ref="K3:N3"/>
    <mergeCell ref="Q3:Q4"/>
  </mergeCells>
  <printOptions horizontalCentered="1"/>
  <pageMargins left="0.5" right="0.5" top="0.5" bottom="0.5" header="0.3" footer="0.3"/>
  <pageSetup paperSize="5" scale="49" fitToHeight="0" orientation="landscape" verticalDpi="0" r:id="rId1"/>
  <headerFooter>
    <oddFooter>&amp;L&amp;14Office of Economic and Demographic Research&amp;R&amp;14Page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E162"/>
  <sheetViews>
    <sheetView workbookViewId="0">
      <selection sqref="A1:Q1"/>
    </sheetView>
  </sheetViews>
  <sheetFormatPr defaultColWidth="9.77734375" defaultRowHeight="15"/>
  <cols>
    <col min="1" max="1" width="1.77734375" style="3" customWidth="1"/>
    <col min="2" max="2" width="6.77734375" style="3" customWidth="1"/>
    <col min="3" max="3" width="65.77734375" style="3" bestFit="1" customWidth="1"/>
    <col min="4" max="10" width="14.77734375" style="4" customWidth="1"/>
    <col min="11" max="15" width="13.77734375" style="4" customWidth="1"/>
    <col min="16" max="16" width="16.77734375" style="4" customWidth="1"/>
    <col min="17" max="17" width="13.77734375" style="3" customWidth="1"/>
    <col min="18" max="18" width="9.77734375" style="3" customWidth="1"/>
    <col min="19" max="19" width="9.77734375" style="3"/>
  </cols>
  <sheetData>
    <row r="1" spans="1:135" ht="27.75">
      <c r="A1" s="55" t="s">
        <v>165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7"/>
      <c r="R1" s="7"/>
      <c r="S1"/>
    </row>
    <row r="2" spans="1:135" ht="24" thickBot="1">
      <c r="A2" s="58" t="s">
        <v>294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60"/>
      <c r="R2" s="7"/>
      <c r="S2"/>
    </row>
    <row r="3" spans="1:135" ht="18" customHeight="1">
      <c r="A3" s="61" t="s">
        <v>158</v>
      </c>
      <c r="B3" s="62"/>
      <c r="C3" s="63"/>
      <c r="D3" s="67" t="s">
        <v>71</v>
      </c>
      <c r="E3" s="68"/>
      <c r="F3" s="68"/>
      <c r="G3" s="68"/>
      <c r="H3" s="69"/>
      <c r="I3" s="67" t="s">
        <v>72</v>
      </c>
      <c r="J3" s="69"/>
      <c r="K3" s="67" t="s">
        <v>74</v>
      </c>
      <c r="L3" s="68"/>
      <c r="M3" s="68"/>
      <c r="N3" s="69"/>
      <c r="O3" s="35"/>
      <c r="P3" s="36"/>
      <c r="Q3" s="70" t="s">
        <v>298</v>
      </c>
      <c r="R3" s="5"/>
      <c r="S3"/>
    </row>
    <row r="4" spans="1:135" ht="32.25" customHeight="1" thickBot="1">
      <c r="A4" s="64"/>
      <c r="B4" s="65"/>
      <c r="C4" s="66"/>
      <c r="D4" s="33" t="s">
        <v>6</v>
      </c>
      <c r="E4" s="33" t="s">
        <v>159</v>
      </c>
      <c r="F4" s="33" t="s">
        <v>160</v>
      </c>
      <c r="G4" s="33" t="s">
        <v>161</v>
      </c>
      <c r="H4" s="33" t="s">
        <v>7</v>
      </c>
      <c r="I4" s="33" t="s">
        <v>8</v>
      </c>
      <c r="J4" s="34" t="s">
        <v>162</v>
      </c>
      <c r="K4" s="34" t="s">
        <v>299</v>
      </c>
      <c r="L4" s="34" t="s">
        <v>9</v>
      </c>
      <c r="M4" s="34" t="s">
        <v>10</v>
      </c>
      <c r="N4" s="34" t="s">
        <v>336</v>
      </c>
      <c r="O4" s="34" t="s">
        <v>11</v>
      </c>
      <c r="P4" s="34" t="s">
        <v>300</v>
      </c>
      <c r="Q4" s="71"/>
      <c r="R4" s="8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</row>
    <row r="5" spans="1:135" ht="15.75">
      <c r="A5" s="23" t="s">
        <v>301</v>
      </c>
      <c r="B5" s="25"/>
      <c r="C5" s="25"/>
      <c r="D5" s="26">
        <f t="shared" ref="D5:O5" si="0">SUM(D6:D14)</f>
        <v>908798000</v>
      </c>
      <c r="E5" s="26">
        <f t="shared" si="0"/>
        <v>473188000</v>
      </c>
      <c r="F5" s="26">
        <f t="shared" si="0"/>
        <v>8270000</v>
      </c>
      <c r="G5" s="26">
        <f t="shared" si="0"/>
        <v>0</v>
      </c>
      <c r="H5" s="26">
        <f t="shared" si="0"/>
        <v>0</v>
      </c>
      <c r="I5" s="26">
        <f t="shared" si="0"/>
        <v>0</v>
      </c>
      <c r="J5" s="26">
        <f t="shared" si="0"/>
        <v>0</v>
      </c>
      <c r="K5" s="26">
        <f t="shared" si="0"/>
        <v>0</v>
      </c>
      <c r="L5" s="26">
        <f t="shared" ref="L5" si="1">SUM(L6:L14)</f>
        <v>0</v>
      </c>
      <c r="M5" s="26">
        <f t="shared" si="0"/>
        <v>0</v>
      </c>
      <c r="N5" s="26">
        <f t="shared" si="0"/>
        <v>0</v>
      </c>
      <c r="O5" s="26">
        <f t="shared" si="0"/>
        <v>467000</v>
      </c>
      <c r="P5" s="27">
        <f>SUM(D5:O5)</f>
        <v>1390723000</v>
      </c>
      <c r="Q5" s="32">
        <f t="shared" ref="Q5:Q36" si="2">(P5/Q$160)</f>
        <v>933.13691731068843</v>
      </c>
      <c r="R5" s="6"/>
    </row>
    <row r="6" spans="1:135">
      <c r="A6" s="11"/>
      <c r="B6" s="24">
        <v>311</v>
      </c>
      <c r="C6" s="19" t="s">
        <v>3</v>
      </c>
      <c r="D6" s="45">
        <v>907257000</v>
      </c>
      <c r="E6" s="45">
        <v>58266000</v>
      </c>
      <c r="F6" s="45">
        <v>8270000</v>
      </c>
      <c r="G6" s="45">
        <v>0</v>
      </c>
      <c r="H6" s="45">
        <v>0</v>
      </c>
      <c r="I6" s="45">
        <v>0</v>
      </c>
      <c r="J6" s="45">
        <v>0</v>
      </c>
      <c r="K6" s="45">
        <v>0</v>
      </c>
      <c r="L6" s="45">
        <v>0</v>
      </c>
      <c r="M6" s="45">
        <v>0</v>
      </c>
      <c r="N6" s="45">
        <v>0</v>
      </c>
      <c r="O6" s="45">
        <v>0</v>
      </c>
      <c r="P6" s="45">
        <f>SUM(D6:O6)</f>
        <v>973793000</v>
      </c>
      <c r="Q6" s="46">
        <f t="shared" si="2"/>
        <v>653.38834413375434</v>
      </c>
      <c r="R6" s="9"/>
    </row>
    <row r="7" spans="1:135">
      <c r="A7" s="11"/>
      <c r="B7" s="24">
        <v>312.13</v>
      </c>
      <c r="C7" s="19" t="s">
        <v>302</v>
      </c>
      <c r="D7" s="45">
        <v>0</v>
      </c>
      <c r="E7" s="45">
        <v>38497000</v>
      </c>
      <c r="F7" s="45">
        <v>0</v>
      </c>
      <c r="G7" s="45">
        <v>0</v>
      </c>
      <c r="H7" s="45">
        <v>0</v>
      </c>
      <c r="I7" s="45">
        <v>0</v>
      </c>
      <c r="J7" s="45">
        <v>0</v>
      </c>
      <c r="K7" s="45">
        <v>0</v>
      </c>
      <c r="L7" s="45">
        <v>0</v>
      </c>
      <c r="M7" s="45">
        <v>0</v>
      </c>
      <c r="N7" s="45">
        <v>0</v>
      </c>
      <c r="O7" s="45">
        <v>0</v>
      </c>
      <c r="P7" s="45">
        <f t="shared" ref="P7:P14" si="3">SUM(D7:O7)</f>
        <v>38497000</v>
      </c>
      <c r="Q7" s="46">
        <f t="shared" si="2"/>
        <v>25.830429140604977</v>
      </c>
      <c r="R7" s="9"/>
    </row>
    <row r="8" spans="1:135">
      <c r="A8" s="11"/>
      <c r="B8" s="24">
        <v>312.3</v>
      </c>
      <c r="C8" s="19" t="s">
        <v>13</v>
      </c>
      <c r="D8" s="45">
        <v>0</v>
      </c>
      <c r="E8" s="45">
        <v>7179000</v>
      </c>
      <c r="F8" s="45">
        <v>0</v>
      </c>
      <c r="G8" s="45">
        <v>0</v>
      </c>
      <c r="H8" s="45">
        <v>0</v>
      </c>
      <c r="I8" s="45">
        <v>0</v>
      </c>
      <c r="J8" s="45">
        <v>0</v>
      </c>
      <c r="K8" s="45">
        <v>0</v>
      </c>
      <c r="L8" s="45">
        <v>0</v>
      </c>
      <c r="M8" s="45">
        <v>0</v>
      </c>
      <c r="N8" s="45">
        <v>0</v>
      </c>
      <c r="O8" s="45">
        <v>0</v>
      </c>
      <c r="P8" s="45">
        <f t="shared" si="3"/>
        <v>7179000</v>
      </c>
      <c r="Q8" s="46">
        <f t="shared" si="2"/>
        <v>4.8169117281970832</v>
      </c>
      <c r="R8" s="9"/>
    </row>
    <row r="9" spans="1:135">
      <c r="A9" s="11"/>
      <c r="B9" s="24">
        <v>312.41000000000003</v>
      </c>
      <c r="C9" s="19" t="s">
        <v>303</v>
      </c>
      <c r="D9" s="45">
        <v>0</v>
      </c>
      <c r="E9" s="45">
        <v>27578000</v>
      </c>
      <c r="F9" s="45">
        <v>0</v>
      </c>
      <c r="G9" s="45">
        <v>0</v>
      </c>
      <c r="H9" s="45">
        <v>0</v>
      </c>
      <c r="I9" s="45">
        <v>0</v>
      </c>
      <c r="J9" s="45">
        <v>0</v>
      </c>
      <c r="K9" s="45">
        <v>0</v>
      </c>
      <c r="L9" s="45">
        <v>0</v>
      </c>
      <c r="M9" s="45">
        <v>0</v>
      </c>
      <c r="N9" s="45">
        <v>0</v>
      </c>
      <c r="O9" s="45">
        <v>0</v>
      </c>
      <c r="P9" s="45">
        <f t="shared" si="3"/>
        <v>27578000</v>
      </c>
      <c r="Q9" s="46">
        <f t="shared" si="2"/>
        <v>18.50408018390015</v>
      </c>
      <c r="R9" s="9"/>
    </row>
    <row r="10" spans="1:135">
      <c r="A10" s="11"/>
      <c r="B10" s="24">
        <v>312.62</v>
      </c>
      <c r="C10" s="19" t="s">
        <v>304</v>
      </c>
      <c r="D10" s="45">
        <v>0</v>
      </c>
      <c r="E10" s="45">
        <v>18639000</v>
      </c>
      <c r="F10" s="45">
        <v>0</v>
      </c>
      <c r="G10" s="45">
        <v>0</v>
      </c>
      <c r="H10" s="45">
        <v>0</v>
      </c>
      <c r="I10" s="45">
        <v>0</v>
      </c>
      <c r="J10" s="45">
        <v>0</v>
      </c>
      <c r="K10" s="45">
        <v>0</v>
      </c>
      <c r="L10" s="45">
        <v>0</v>
      </c>
      <c r="M10" s="45">
        <v>0</v>
      </c>
      <c r="N10" s="45">
        <v>0</v>
      </c>
      <c r="O10" s="45">
        <v>467000</v>
      </c>
      <c r="P10" s="45">
        <f t="shared" si="3"/>
        <v>19106000</v>
      </c>
      <c r="Q10" s="46">
        <f t="shared" si="2"/>
        <v>12.819600986061216</v>
      </c>
      <c r="R10" s="9"/>
    </row>
    <row r="11" spans="1:135">
      <c r="A11" s="11"/>
      <c r="B11" s="24">
        <v>312.63</v>
      </c>
      <c r="C11" s="19" t="s">
        <v>305</v>
      </c>
      <c r="D11" s="45">
        <v>0</v>
      </c>
      <c r="E11" s="45">
        <v>152320000</v>
      </c>
      <c r="F11" s="45">
        <v>0</v>
      </c>
      <c r="G11" s="45">
        <v>0</v>
      </c>
      <c r="H11" s="45">
        <v>0</v>
      </c>
      <c r="I11" s="45">
        <v>0</v>
      </c>
      <c r="J11" s="45">
        <v>0</v>
      </c>
      <c r="K11" s="45">
        <v>0</v>
      </c>
      <c r="L11" s="45">
        <v>0</v>
      </c>
      <c r="M11" s="45">
        <v>0</v>
      </c>
      <c r="N11" s="45">
        <v>0</v>
      </c>
      <c r="O11" s="45">
        <v>0</v>
      </c>
      <c r="P11" s="45">
        <f t="shared" si="3"/>
        <v>152320000</v>
      </c>
      <c r="Q11" s="46">
        <f t="shared" si="2"/>
        <v>102.20253439740628</v>
      </c>
      <c r="R11" s="9"/>
    </row>
    <row r="12" spans="1:135">
      <c r="A12" s="11"/>
      <c r="B12" s="24">
        <v>312.64999999999998</v>
      </c>
      <c r="C12" s="19" t="s">
        <v>306</v>
      </c>
      <c r="D12" s="45">
        <v>0</v>
      </c>
      <c r="E12" s="45">
        <v>152316000</v>
      </c>
      <c r="F12" s="45">
        <v>0</v>
      </c>
      <c r="G12" s="45">
        <v>0</v>
      </c>
      <c r="H12" s="45">
        <v>0</v>
      </c>
      <c r="I12" s="45">
        <v>0</v>
      </c>
      <c r="J12" s="45">
        <v>0</v>
      </c>
      <c r="K12" s="45">
        <v>0</v>
      </c>
      <c r="L12" s="45">
        <v>0</v>
      </c>
      <c r="M12" s="45">
        <v>0</v>
      </c>
      <c r="N12" s="45">
        <v>0</v>
      </c>
      <c r="O12" s="45">
        <v>0</v>
      </c>
      <c r="P12" s="45">
        <f t="shared" si="3"/>
        <v>152316000</v>
      </c>
      <c r="Q12" s="46">
        <f t="shared" si="2"/>
        <v>102.19985050732232</v>
      </c>
      <c r="R12" s="9"/>
    </row>
    <row r="13" spans="1:135">
      <c r="A13" s="11"/>
      <c r="B13" s="24">
        <v>315.10000000000002</v>
      </c>
      <c r="C13" s="19" t="s">
        <v>307</v>
      </c>
      <c r="D13" s="45">
        <v>0</v>
      </c>
      <c r="E13" s="45">
        <v>18306000</v>
      </c>
      <c r="F13" s="45">
        <v>0</v>
      </c>
      <c r="G13" s="45">
        <v>0</v>
      </c>
      <c r="H13" s="45">
        <v>0</v>
      </c>
      <c r="I13" s="45">
        <v>0</v>
      </c>
      <c r="J13" s="45">
        <v>0</v>
      </c>
      <c r="K13" s="45">
        <v>0</v>
      </c>
      <c r="L13" s="45">
        <v>0</v>
      </c>
      <c r="M13" s="45">
        <v>0</v>
      </c>
      <c r="N13" s="45">
        <v>0</v>
      </c>
      <c r="O13" s="45">
        <v>0</v>
      </c>
      <c r="P13" s="45">
        <f t="shared" si="3"/>
        <v>18306000</v>
      </c>
      <c r="Q13" s="46">
        <f t="shared" si="2"/>
        <v>12.282822969268116</v>
      </c>
      <c r="R13" s="9"/>
    </row>
    <row r="14" spans="1:135">
      <c r="A14" s="11"/>
      <c r="B14" s="24">
        <v>316</v>
      </c>
      <c r="C14" s="19" t="s">
        <v>203</v>
      </c>
      <c r="D14" s="45">
        <v>1541000</v>
      </c>
      <c r="E14" s="45">
        <v>87000</v>
      </c>
      <c r="F14" s="45">
        <v>0</v>
      </c>
      <c r="G14" s="45">
        <v>0</v>
      </c>
      <c r="H14" s="45">
        <v>0</v>
      </c>
      <c r="I14" s="45">
        <v>0</v>
      </c>
      <c r="J14" s="45">
        <v>0</v>
      </c>
      <c r="K14" s="45">
        <v>0</v>
      </c>
      <c r="L14" s="45">
        <v>0</v>
      </c>
      <c r="M14" s="45">
        <v>0</v>
      </c>
      <c r="N14" s="45">
        <v>0</v>
      </c>
      <c r="O14" s="45">
        <v>0</v>
      </c>
      <c r="P14" s="45">
        <f t="shared" si="3"/>
        <v>1628000</v>
      </c>
      <c r="Q14" s="46">
        <f t="shared" si="2"/>
        <v>1.092343264173959</v>
      </c>
      <c r="R14" s="9"/>
    </row>
    <row r="15" spans="1:135" ht="15.75">
      <c r="A15" s="28" t="s">
        <v>18</v>
      </c>
      <c r="B15" s="29"/>
      <c r="C15" s="30"/>
      <c r="D15" s="31">
        <f t="shared" ref="D15:O15" si="4">SUM(D16:D27)</f>
        <v>624000</v>
      </c>
      <c r="E15" s="31">
        <f t="shared" si="4"/>
        <v>155447000</v>
      </c>
      <c r="F15" s="31">
        <f t="shared" si="4"/>
        <v>0</v>
      </c>
      <c r="G15" s="31">
        <f t="shared" si="4"/>
        <v>0</v>
      </c>
      <c r="H15" s="31">
        <f t="shared" si="4"/>
        <v>0</v>
      </c>
      <c r="I15" s="31">
        <f t="shared" si="4"/>
        <v>6530000</v>
      </c>
      <c r="J15" s="31">
        <f t="shared" si="4"/>
        <v>0</v>
      </c>
      <c r="K15" s="31">
        <f t="shared" si="4"/>
        <v>0</v>
      </c>
      <c r="L15" s="31">
        <f t="shared" ref="L15" si="5">SUM(L16:L27)</f>
        <v>0</v>
      </c>
      <c r="M15" s="31">
        <f t="shared" si="4"/>
        <v>0</v>
      </c>
      <c r="N15" s="31">
        <f t="shared" si="4"/>
        <v>0</v>
      </c>
      <c r="O15" s="31">
        <f t="shared" si="4"/>
        <v>0</v>
      </c>
      <c r="P15" s="43">
        <f>SUM(D15:O15)</f>
        <v>162601000</v>
      </c>
      <c r="Q15" s="44">
        <f t="shared" si="2"/>
        <v>109.10080288571862</v>
      </c>
      <c r="R15" s="10"/>
    </row>
    <row r="16" spans="1:135">
      <c r="A16" s="11"/>
      <c r="B16" s="24">
        <v>322</v>
      </c>
      <c r="C16" s="19" t="s">
        <v>308</v>
      </c>
      <c r="D16" s="45">
        <v>0</v>
      </c>
      <c r="E16" s="45">
        <v>18841000</v>
      </c>
      <c r="F16" s="45">
        <v>0</v>
      </c>
      <c r="G16" s="45">
        <v>0</v>
      </c>
      <c r="H16" s="45">
        <v>0</v>
      </c>
      <c r="I16" s="45">
        <v>0</v>
      </c>
      <c r="J16" s="45">
        <v>0</v>
      </c>
      <c r="K16" s="45">
        <v>0</v>
      </c>
      <c r="L16" s="45">
        <v>0</v>
      </c>
      <c r="M16" s="45">
        <v>0</v>
      </c>
      <c r="N16" s="45">
        <v>0</v>
      </c>
      <c r="O16" s="45">
        <v>0</v>
      </c>
      <c r="P16" s="45">
        <f>SUM(D16:O16)</f>
        <v>18841000</v>
      </c>
      <c r="Q16" s="46">
        <f t="shared" si="2"/>
        <v>12.641793267998503</v>
      </c>
      <c r="R16" s="9"/>
    </row>
    <row r="17" spans="1:18">
      <c r="A17" s="11"/>
      <c r="B17" s="24">
        <v>323.3</v>
      </c>
      <c r="C17" s="19" t="s">
        <v>19</v>
      </c>
      <c r="D17" s="45">
        <v>3000</v>
      </c>
      <c r="E17" s="45">
        <v>0</v>
      </c>
      <c r="F17" s="45">
        <v>0</v>
      </c>
      <c r="G17" s="45">
        <v>0</v>
      </c>
      <c r="H17" s="45">
        <v>0</v>
      </c>
      <c r="I17" s="45">
        <v>0</v>
      </c>
      <c r="J17" s="45">
        <v>0</v>
      </c>
      <c r="K17" s="45">
        <v>0</v>
      </c>
      <c r="L17" s="45">
        <v>0</v>
      </c>
      <c r="M17" s="45">
        <v>0</v>
      </c>
      <c r="N17" s="45">
        <v>0</v>
      </c>
      <c r="O17" s="45">
        <v>0</v>
      </c>
      <c r="P17" s="45">
        <f t="shared" ref="P17:P27" si="6">SUM(D17:O17)</f>
        <v>3000</v>
      </c>
      <c r="Q17" s="46">
        <f t="shared" si="2"/>
        <v>2.012917562974126E-3</v>
      </c>
      <c r="R17" s="9"/>
    </row>
    <row r="18" spans="1:18">
      <c r="A18" s="11"/>
      <c r="B18" s="24">
        <v>323.60000000000002</v>
      </c>
      <c r="C18" s="19" t="s">
        <v>20</v>
      </c>
      <c r="D18" s="45">
        <v>7000</v>
      </c>
      <c r="E18" s="45">
        <v>0</v>
      </c>
      <c r="F18" s="45">
        <v>0</v>
      </c>
      <c r="G18" s="45">
        <v>0</v>
      </c>
      <c r="H18" s="45">
        <v>0</v>
      </c>
      <c r="I18" s="45">
        <v>0</v>
      </c>
      <c r="J18" s="45">
        <v>0</v>
      </c>
      <c r="K18" s="45">
        <v>0</v>
      </c>
      <c r="L18" s="45">
        <v>0</v>
      </c>
      <c r="M18" s="45">
        <v>0</v>
      </c>
      <c r="N18" s="45">
        <v>0</v>
      </c>
      <c r="O18" s="45">
        <v>0</v>
      </c>
      <c r="P18" s="45">
        <f t="shared" si="6"/>
        <v>7000</v>
      </c>
      <c r="Q18" s="46">
        <f t="shared" si="2"/>
        <v>4.6968076469396276E-3</v>
      </c>
      <c r="R18" s="9"/>
    </row>
    <row r="19" spans="1:18">
      <c r="A19" s="11"/>
      <c r="B19" s="24">
        <v>324.11</v>
      </c>
      <c r="C19" s="19" t="s">
        <v>21</v>
      </c>
      <c r="D19" s="45">
        <v>0</v>
      </c>
      <c r="E19" s="45">
        <v>2247000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5">
        <v>0</v>
      </c>
      <c r="L19" s="45">
        <v>0</v>
      </c>
      <c r="M19" s="45">
        <v>0</v>
      </c>
      <c r="N19" s="45">
        <v>0</v>
      </c>
      <c r="O19" s="45">
        <v>0</v>
      </c>
      <c r="P19" s="45">
        <f t="shared" si="6"/>
        <v>2247000</v>
      </c>
      <c r="Q19" s="46">
        <f t="shared" si="2"/>
        <v>1.5076752546676204</v>
      </c>
      <c r="R19" s="9"/>
    </row>
    <row r="20" spans="1:18">
      <c r="A20" s="11"/>
      <c r="B20" s="24">
        <v>324.12</v>
      </c>
      <c r="C20" s="19" t="s">
        <v>180</v>
      </c>
      <c r="D20" s="45">
        <v>0</v>
      </c>
      <c r="E20" s="45">
        <v>170000</v>
      </c>
      <c r="F20" s="45">
        <v>0</v>
      </c>
      <c r="G20" s="45">
        <v>0</v>
      </c>
      <c r="H20" s="45">
        <v>0</v>
      </c>
      <c r="I20" s="45">
        <v>0</v>
      </c>
      <c r="J20" s="45">
        <v>0</v>
      </c>
      <c r="K20" s="45">
        <v>0</v>
      </c>
      <c r="L20" s="45">
        <v>0</v>
      </c>
      <c r="M20" s="45">
        <v>0</v>
      </c>
      <c r="N20" s="45">
        <v>0</v>
      </c>
      <c r="O20" s="45">
        <v>0</v>
      </c>
      <c r="P20" s="45">
        <f t="shared" si="6"/>
        <v>170000</v>
      </c>
      <c r="Q20" s="46">
        <f t="shared" si="2"/>
        <v>0.11406532856853381</v>
      </c>
      <c r="R20" s="9"/>
    </row>
    <row r="21" spans="1:18">
      <c r="A21" s="11"/>
      <c r="B21" s="24">
        <v>324.31</v>
      </c>
      <c r="C21" s="19" t="s">
        <v>23</v>
      </c>
      <c r="D21" s="45">
        <v>0</v>
      </c>
      <c r="E21" s="45">
        <v>20491000</v>
      </c>
      <c r="F21" s="45">
        <v>0</v>
      </c>
      <c r="G21" s="45">
        <v>0</v>
      </c>
      <c r="H21" s="45">
        <v>0</v>
      </c>
      <c r="I21" s="45">
        <v>0</v>
      </c>
      <c r="J21" s="45">
        <v>0</v>
      </c>
      <c r="K21" s="45">
        <v>0</v>
      </c>
      <c r="L21" s="45">
        <v>0</v>
      </c>
      <c r="M21" s="45">
        <v>0</v>
      </c>
      <c r="N21" s="45">
        <v>0</v>
      </c>
      <c r="O21" s="45">
        <v>0</v>
      </c>
      <c r="P21" s="45">
        <f t="shared" si="6"/>
        <v>20491000</v>
      </c>
      <c r="Q21" s="46">
        <f t="shared" si="2"/>
        <v>13.748897927634271</v>
      </c>
      <c r="R21" s="9"/>
    </row>
    <row r="22" spans="1:18">
      <c r="A22" s="11"/>
      <c r="B22" s="24">
        <v>324.32</v>
      </c>
      <c r="C22" s="19" t="s">
        <v>167</v>
      </c>
      <c r="D22" s="45">
        <v>0</v>
      </c>
      <c r="E22" s="45">
        <v>6044000</v>
      </c>
      <c r="F22" s="45">
        <v>0</v>
      </c>
      <c r="G22" s="45">
        <v>0</v>
      </c>
      <c r="H22" s="45">
        <v>0</v>
      </c>
      <c r="I22" s="45">
        <v>0</v>
      </c>
      <c r="J22" s="45">
        <v>0</v>
      </c>
      <c r="K22" s="45">
        <v>0</v>
      </c>
      <c r="L22" s="45">
        <v>0</v>
      </c>
      <c r="M22" s="45">
        <v>0</v>
      </c>
      <c r="N22" s="45">
        <v>0</v>
      </c>
      <c r="O22" s="45">
        <v>0</v>
      </c>
      <c r="P22" s="45">
        <f t="shared" si="6"/>
        <v>6044000</v>
      </c>
      <c r="Q22" s="46">
        <f t="shared" si="2"/>
        <v>4.0553579168718725</v>
      </c>
      <c r="R22" s="9"/>
    </row>
    <row r="23" spans="1:18">
      <c r="A23" s="11"/>
      <c r="B23" s="24">
        <v>324.61</v>
      </c>
      <c r="C23" s="19" t="s">
        <v>24</v>
      </c>
      <c r="D23" s="45">
        <v>0</v>
      </c>
      <c r="E23" s="45">
        <v>4878000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45">
        <v>0</v>
      </c>
      <c r="L23" s="45">
        <v>0</v>
      </c>
      <c r="M23" s="45">
        <v>0</v>
      </c>
      <c r="N23" s="45">
        <v>0</v>
      </c>
      <c r="O23" s="45">
        <v>0</v>
      </c>
      <c r="P23" s="45">
        <f t="shared" si="6"/>
        <v>4878000</v>
      </c>
      <c r="Q23" s="46">
        <f t="shared" si="2"/>
        <v>3.2730039573959289</v>
      </c>
      <c r="R23" s="9"/>
    </row>
    <row r="24" spans="1:18">
      <c r="A24" s="11"/>
      <c r="B24" s="24">
        <v>324.81</v>
      </c>
      <c r="C24" s="19" t="s">
        <v>309</v>
      </c>
      <c r="D24" s="45">
        <v>0</v>
      </c>
      <c r="E24" s="45">
        <v>62283000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5">
        <v>0</v>
      </c>
      <c r="L24" s="45">
        <v>0</v>
      </c>
      <c r="M24" s="45">
        <v>0</v>
      </c>
      <c r="N24" s="45">
        <v>0</v>
      </c>
      <c r="O24" s="45">
        <v>0</v>
      </c>
      <c r="P24" s="45">
        <f t="shared" si="6"/>
        <v>62283000</v>
      </c>
      <c r="Q24" s="46">
        <f t="shared" si="2"/>
        <v>41.790181524905826</v>
      </c>
      <c r="R24" s="9"/>
    </row>
    <row r="25" spans="1:18">
      <c r="A25" s="11"/>
      <c r="B25" s="24">
        <v>325.10000000000002</v>
      </c>
      <c r="C25" s="19" t="s">
        <v>25</v>
      </c>
      <c r="D25" s="45">
        <v>0</v>
      </c>
      <c r="E25" s="45">
        <v>30042000</v>
      </c>
      <c r="F25" s="45">
        <v>0</v>
      </c>
      <c r="G25" s="45">
        <v>0</v>
      </c>
      <c r="H25" s="45">
        <v>0</v>
      </c>
      <c r="I25" s="45">
        <v>6530000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f t="shared" si="6"/>
        <v>36572000</v>
      </c>
      <c r="Q25" s="46">
        <f t="shared" si="2"/>
        <v>24.538807037696579</v>
      </c>
      <c r="R25" s="9"/>
    </row>
    <row r="26" spans="1:18">
      <c r="A26" s="11"/>
      <c r="B26" s="24">
        <v>325.2</v>
      </c>
      <c r="C26" s="19" t="s">
        <v>26</v>
      </c>
      <c r="D26" s="45">
        <v>0</v>
      </c>
      <c r="E26" s="45">
        <v>9856000</v>
      </c>
      <c r="F26" s="45">
        <v>0</v>
      </c>
      <c r="G26" s="45">
        <v>0</v>
      </c>
      <c r="H26" s="45">
        <v>0</v>
      </c>
      <c r="I26" s="45">
        <v>0</v>
      </c>
      <c r="J26" s="45">
        <v>0</v>
      </c>
      <c r="K26" s="45">
        <v>0</v>
      </c>
      <c r="L26" s="45">
        <v>0</v>
      </c>
      <c r="M26" s="45">
        <v>0</v>
      </c>
      <c r="N26" s="45">
        <v>0</v>
      </c>
      <c r="O26" s="45">
        <v>0</v>
      </c>
      <c r="P26" s="45">
        <f t="shared" si="6"/>
        <v>9856000</v>
      </c>
      <c r="Q26" s="46">
        <f t="shared" si="2"/>
        <v>6.6131051668909953</v>
      </c>
      <c r="R26" s="9"/>
    </row>
    <row r="27" spans="1:18">
      <c r="A27" s="11"/>
      <c r="B27" s="24">
        <v>329.5</v>
      </c>
      <c r="C27" s="19" t="s">
        <v>310</v>
      </c>
      <c r="D27" s="45">
        <v>614000</v>
      </c>
      <c r="E27" s="45">
        <v>595000</v>
      </c>
      <c r="F27" s="45">
        <v>0</v>
      </c>
      <c r="G27" s="45">
        <v>0</v>
      </c>
      <c r="H27" s="45">
        <v>0</v>
      </c>
      <c r="I27" s="45">
        <v>0</v>
      </c>
      <c r="J27" s="45">
        <v>0</v>
      </c>
      <c r="K27" s="45">
        <v>0</v>
      </c>
      <c r="L27" s="45">
        <v>0</v>
      </c>
      <c r="M27" s="45">
        <v>0</v>
      </c>
      <c r="N27" s="45">
        <v>0</v>
      </c>
      <c r="O27" s="45">
        <v>0</v>
      </c>
      <c r="P27" s="45">
        <f t="shared" si="6"/>
        <v>1209000</v>
      </c>
      <c r="Q27" s="46">
        <f t="shared" si="2"/>
        <v>0.81120577787857273</v>
      </c>
      <c r="R27" s="9"/>
    </row>
    <row r="28" spans="1:18" ht="15.75">
      <c r="A28" s="28" t="s">
        <v>311</v>
      </c>
      <c r="B28" s="29"/>
      <c r="C28" s="30"/>
      <c r="D28" s="31">
        <f t="shared" ref="D28:O28" si="7">SUM(D29:D72)</f>
        <v>45291000</v>
      </c>
      <c r="E28" s="31">
        <f t="shared" si="7"/>
        <v>524087000</v>
      </c>
      <c r="F28" s="31">
        <f t="shared" si="7"/>
        <v>0</v>
      </c>
      <c r="G28" s="31">
        <f t="shared" si="7"/>
        <v>0</v>
      </c>
      <c r="H28" s="31">
        <f t="shared" si="7"/>
        <v>0</v>
      </c>
      <c r="I28" s="31">
        <f t="shared" si="7"/>
        <v>-183000</v>
      </c>
      <c r="J28" s="31">
        <f t="shared" si="7"/>
        <v>0</v>
      </c>
      <c r="K28" s="31">
        <f t="shared" si="7"/>
        <v>0</v>
      </c>
      <c r="L28" s="31">
        <f t="shared" ref="L28" si="8">SUM(L29:L72)</f>
        <v>0</v>
      </c>
      <c r="M28" s="31">
        <f t="shared" si="7"/>
        <v>0</v>
      </c>
      <c r="N28" s="31">
        <f t="shared" si="7"/>
        <v>0</v>
      </c>
      <c r="O28" s="31">
        <f t="shared" si="7"/>
        <v>4869000</v>
      </c>
      <c r="P28" s="43">
        <f>SUM(D28:O28)</f>
        <v>574064000</v>
      </c>
      <c r="Q28" s="44">
        <f t="shared" si="2"/>
        <v>385.18116929039286</v>
      </c>
      <c r="R28" s="10"/>
    </row>
    <row r="29" spans="1:18">
      <c r="A29" s="11"/>
      <c r="B29" s="24">
        <v>331.1</v>
      </c>
      <c r="C29" s="19" t="s">
        <v>28</v>
      </c>
      <c r="D29" s="45">
        <v>0</v>
      </c>
      <c r="E29" s="45">
        <v>405000</v>
      </c>
      <c r="F29" s="45">
        <v>0</v>
      </c>
      <c r="G29" s="45">
        <v>0</v>
      </c>
      <c r="H29" s="45">
        <v>0</v>
      </c>
      <c r="I29" s="45">
        <v>0</v>
      </c>
      <c r="J29" s="45">
        <v>0</v>
      </c>
      <c r="K29" s="45">
        <v>0</v>
      </c>
      <c r="L29" s="45">
        <v>0</v>
      </c>
      <c r="M29" s="45">
        <v>0</v>
      </c>
      <c r="N29" s="45">
        <v>0</v>
      </c>
      <c r="O29" s="45">
        <v>0</v>
      </c>
      <c r="P29" s="45">
        <f>SUM(D29:O29)</f>
        <v>405000</v>
      </c>
      <c r="Q29" s="46">
        <f t="shared" si="2"/>
        <v>0.27174387100150699</v>
      </c>
      <c r="R29" s="9"/>
    </row>
    <row r="30" spans="1:18">
      <c r="A30" s="11"/>
      <c r="B30" s="24">
        <v>331.2</v>
      </c>
      <c r="C30" s="19" t="s">
        <v>29</v>
      </c>
      <c r="D30" s="45">
        <v>4083000</v>
      </c>
      <c r="E30" s="45">
        <v>8170000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v>0</v>
      </c>
      <c r="O30" s="45">
        <v>0</v>
      </c>
      <c r="P30" s="45">
        <f>SUM(D30:O30)</f>
        <v>12253000</v>
      </c>
      <c r="Q30" s="46">
        <f t="shared" si="2"/>
        <v>8.2214262997073213</v>
      </c>
      <c r="R30" s="9"/>
    </row>
    <row r="31" spans="1:18">
      <c r="A31" s="11"/>
      <c r="B31" s="24">
        <v>331.39</v>
      </c>
      <c r="C31" s="19" t="s">
        <v>35</v>
      </c>
      <c r="D31" s="45">
        <v>0</v>
      </c>
      <c r="E31" s="45">
        <v>875000</v>
      </c>
      <c r="F31" s="45">
        <v>0</v>
      </c>
      <c r="G31" s="45">
        <v>0</v>
      </c>
      <c r="H31" s="45">
        <v>0</v>
      </c>
      <c r="I31" s="45">
        <v>0</v>
      </c>
      <c r="J31" s="45">
        <v>0</v>
      </c>
      <c r="K31" s="45">
        <v>0</v>
      </c>
      <c r="L31" s="45">
        <v>0</v>
      </c>
      <c r="M31" s="45">
        <v>0</v>
      </c>
      <c r="N31" s="45">
        <v>0</v>
      </c>
      <c r="O31" s="45">
        <v>0</v>
      </c>
      <c r="P31" s="45">
        <f t="shared" ref="P31:P61" si="9">SUM(D31:O31)</f>
        <v>875000</v>
      </c>
      <c r="Q31" s="46">
        <f t="shared" si="2"/>
        <v>0.58710095586745337</v>
      </c>
      <c r="R31" s="9"/>
    </row>
    <row r="32" spans="1:18">
      <c r="A32" s="11"/>
      <c r="B32" s="24">
        <v>331.49</v>
      </c>
      <c r="C32" s="19" t="s">
        <v>36</v>
      </c>
      <c r="D32" s="45">
        <v>0</v>
      </c>
      <c r="E32" s="45">
        <v>7441000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45">
        <v>0</v>
      </c>
      <c r="O32" s="45">
        <v>0</v>
      </c>
      <c r="P32" s="45">
        <f t="shared" si="9"/>
        <v>7441000</v>
      </c>
      <c r="Q32" s="46">
        <f t="shared" si="2"/>
        <v>4.9927065286968242</v>
      </c>
      <c r="R32" s="9"/>
    </row>
    <row r="33" spans="1:18">
      <c r="A33" s="11"/>
      <c r="B33" s="24">
        <v>331.5</v>
      </c>
      <c r="C33" s="19" t="s">
        <v>31</v>
      </c>
      <c r="D33" s="45">
        <v>202000</v>
      </c>
      <c r="E33" s="45">
        <v>21602000</v>
      </c>
      <c r="F33" s="45">
        <v>0</v>
      </c>
      <c r="G33" s="45">
        <v>0</v>
      </c>
      <c r="H33" s="45">
        <v>0</v>
      </c>
      <c r="I33" s="45">
        <v>0</v>
      </c>
      <c r="J33" s="45">
        <v>0</v>
      </c>
      <c r="K33" s="45">
        <v>0</v>
      </c>
      <c r="L33" s="45">
        <v>0</v>
      </c>
      <c r="M33" s="45">
        <v>0</v>
      </c>
      <c r="N33" s="45">
        <v>0</v>
      </c>
      <c r="O33" s="45">
        <v>0</v>
      </c>
      <c r="P33" s="45">
        <f t="shared" si="9"/>
        <v>21804000</v>
      </c>
      <c r="Q33" s="46">
        <f t="shared" si="2"/>
        <v>14.629884847695948</v>
      </c>
      <c r="R33" s="9"/>
    </row>
    <row r="34" spans="1:18">
      <c r="A34" s="11"/>
      <c r="B34" s="24">
        <v>331.61</v>
      </c>
      <c r="C34" s="19" t="s">
        <v>37</v>
      </c>
      <c r="D34" s="45">
        <v>0</v>
      </c>
      <c r="E34" s="45">
        <v>4756000</v>
      </c>
      <c r="F34" s="45">
        <v>0</v>
      </c>
      <c r="G34" s="45">
        <v>0</v>
      </c>
      <c r="H34" s="45">
        <v>0</v>
      </c>
      <c r="I34" s="45">
        <v>0</v>
      </c>
      <c r="J34" s="45">
        <v>0</v>
      </c>
      <c r="K34" s="45">
        <v>0</v>
      </c>
      <c r="L34" s="45">
        <v>0</v>
      </c>
      <c r="M34" s="45">
        <v>0</v>
      </c>
      <c r="N34" s="45">
        <v>0</v>
      </c>
      <c r="O34" s="45">
        <v>0</v>
      </c>
      <c r="P34" s="45">
        <f t="shared" si="9"/>
        <v>4756000</v>
      </c>
      <c r="Q34" s="46">
        <f t="shared" si="2"/>
        <v>3.1911453098349809</v>
      </c>
      <c r="R34" s="9"/>
    </row>
    <row r="35" spans="1:18">
      <c r="A35" s="11"/>
      <c r="B35" s="24">
        <v>331.65</v>
      </c>
      <c r="C35" s="19" t="s">
        <v>38</v>
      </c>
      <c r="D35" s="45">
        <v>1408000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v>0</v>
      </c>
      <c r="O35" s="45">
        <v>0</v>
      </c>
      <c r="P35" s="45">
        <f t="shared" si="9"/>
        <v>1408000</v>
      </c>
      <c r="Q35" s="46">
        <f t="shared" si="2"/>
        <v>0.94472930955585643</v>
      </c>
      <c r="R35" s="9"/>
    </row>
    <row r="36" spans="1:18">
      <c r="A36" s="11"/>
      <c r="B36" s="24">
        <v>331.69</v>
      </c>
      <c r="C36" s="19" t="s">
        <v>39</v>
      </c>
      <c r="D36" s="45">
        <v>0</v>
      </c>
      <c r="E36" s="45">
        <v>55780000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5">
        <v>0</v>
      </c>
      <c r="P36" s="45">
        <f t="shared" si="9"/>
        <v>55780000</v>
      </c>
      <c r="Q36" s="46">
        <f t="shared" si="2"/>
        <v>37.426847220898914</v>
      </c>
      <c r="R36" s="9"/>
    </row>
    <row r="37" spans="1:18">
      <c r="A37" s="11"/>
      <c r="B37" s="24">
        <v>331.7</v>
      </c>
      <c r="C37" s="19" t="s">
        <v>169</v>
      </c>
      <c r="D37" s="45">
        <v>0</v>
      </c>
      <c r="E37" s="45">
        <v>45000</v>
      </c>
      <c r="F37" s="45">
        <v>0</v>
      </c>
      <c r="G37" s="45">
        <v>0</v>
      </c>
      <c r="H37" s="45">
        <v>0</v>
      </c>
      <c r="I37" s="45">
        <v>0</v>
      </c>
      <c r="J37" s="45">
        <v>0</v>
      </c>
      <c r="K37" s="45">
        <v>0</v>
      </c>
      <c r="L37" s="45">
        <v>0</v>
      </c>
      <c r="M37" s="45">
        <v>0</v>
      </c>
      <c r="N37" s="45">
        <v>0</v>
      </c>
      <c r="O37" s="45">
        <v>0</v>
      </c>
      <c r="P37" s="45">
        <f t="shared" si="9"/>
        <v>45000</v>
      </c>
      <c r="Q37" s="46">
        <f t="shared" ref="Q37:Q68" si="10">(P37/Q$160)</f>
        <v>3.0193763444611891E-2</v>
      </c>
      <c r="R37" s="9"/>
    </row>
    <row r="38" spans="1:18">
      <c r="A38" s="11"/>
      <c r="B38" s="24">
        <v>331.89</v>
      </c>
      <c r="C38" s="19" t="s">
        <v>295</v>
      </c>
      <c r="D38" s="45">
        <v>63000</v>
      </c>
      <c r="E38" s="45">
        <v>0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5">
        <v>0</v>
      </c>
      <c r="L38" s="45">
        <v>0</v>
      </c>
      <c r="M38" s="45">
        <v>0</v>
      </c>
      <c r="N38" s="45">
        <v>0</v>
      </c>
      <c r="O38" s="45">
        <v>0</v>
      </c>
      <c r="P38" s="45">
        <f t="shared" si="9"/>
        <v>63000</v>
      </c>
      <c r="Q38" s="46">
        <f t="shared" si="10"/>
        <v>4.2271268822456645E-2</v>
      </c>
      <c r="R38" s="9"/>
    </row>
    <row r="39" spans="1:18">
      <c r="A39" s="11"/>
      <c r="B39" s="24">
        <v>332</v>
      </c>
      <c r="C39" s="19" t="s">
        <v>292</v>
      </c>
      <c r="D39" s="45">
        <v>442000</v>
      </c>
      <c r="E39" s="45">
        <v>235039000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f t="shared" si="9"/>
        <v>235481000</v>
      </c>
      <c r="Q39" s="46">
        <f t="shared" si="10"/>
        <v>158.00128021557006</v>
      </c>
      <c r="R39" s="9"/>
    </row>
    <row r="40" spans="1:18">
      <c r="A40" s="11"/>
      <c r="B40" s="24">
        <v>333</v>
      </c>
      <c r="C40" s="19" t="s">
        <v>4</v>
      </c>
      <c r="D40" s="45">
        <v>1000</v>
      </c>
      <c r="E40" s="45">
        <v>0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5">
        <v>0</v>
      </c>
      <c r="L40" s="45">
        <v>0</v>
      </c>
      <c r="M40" s="45">
        <v>0</v>
      </c>
      <c r="N40" s="45">
        <v>0</v>
      </c>
      <c r="O40" s="45">
        <v>0</v>
      </c>
      <c r="P40" s="45">
        <f t="shared" si="9"/>
        <v>1000</v>
      </c>
      <c r="Q40" s="46">
        <f t="shared" si="10"/>
        <v>6.709725209913753E-4</v>
      </c>
      <c r="R40" s="9"/>
    </row>
    <row r="41" spans="1:18">
      <c r="A41" s="11"/>
      <c r="B41" s="24">
        <v>334.2</v>
      </c>
      <c r="C41" s="19" t="s">
        <v>33</v>
      </c>
      <c r="D41" s="45">
        <v>-17000</v>
      </c>
      <c r="E41" s="45">
        <v>2088000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f t="shared" si="9"/>
        <v>2071000</v>
      </c>
      <c r="Q41" s="46">
        <f t="shared" si="10"/>
        <v>1.3895840909731383</v>
      </c>
      <c r="R41" s="9"/>
    </row>
    <row r="42" spans="1:18">
      <c r="A42" s="11"/>
      <c r="B42" s="24">
        <v>334.36</v>
      </c>
      <c r="C42" s="19" t="s">
        <v>296</v>
      </c>
      <c r="D42" s="45">
        <v>0</v>
      </c>
      <c r="E42" s="45">
        <v>500000</v>
      </c>
      <c r="F42" s="45">
        <v>0</v>
      </c>
      <c r="G42" s="45">
        <v>0</v>
      </c>
      <c r="H42" s="45">
        <v>0</v>
      </c>
      <c r="I42" s="45">
        <v>0</v>
      </c>
      <c r="J42" s="45">
        <v>0</v>
      </c>
      <c r="K42" s="45">
        <v>0</v>
      </c>
      <c r="L42" s="45">
        <v>0</v>
      </c>
      <c r="M42" s="45">
        <v>0</v>
      </c>
      <c r="N42" s="45">
        <v>0</v>
      </c>
      <c r="O42" s="45">
        <v>0</v>
      </c>
      <c r="P42" s="45">
        <f t="shared" si="9"/>
        <v>500000</v>
      </c>
      <c r="Q42" s="46">
        <f t="shared" si="10"/>
        <v>0.33548626049568764</v>
      </c>
      <c r="R42" s="9"/>
    </row>
    <row r="43" spans="1:18">
      <c r="A43" s="11"/>
      <c r="B43" s="24">
        <v>334.39</v>
      </c>
      <c r="C43" s="19" t="s">
        <v>40</v>
      </c>
      <c r="D43" s="45">
        <v>70000</v>
      </c>
      <c r="E43" s="45">
        <v>2498000</v>
      </c>
      <c r="F43" s="45">
        <v>0</v>
      </c>
      <c r="G43" s="45">
        <v>0</v>
      </c>
      <c r="H43" s="45">
        <v>0</v>
      </c>
      <c r="I43" s="45">
        <v>-434000</v>
      </c>
      <c r="J43" s="45">
        <v>0</v>
      </c>
      <c r="K43" s="45">
        <v>0</v>
      </c>
      <c r="L43" s="45">
        <v>0</v>
      </c>
      <c r="M43" s="45">
        <v>0</v>
      </c>
      <c r="N43" s="45">
        <v>0</v>
      </c>
      <c r="O43" s="45">
        <v>0</v>
      </c>
      <c r="P43" s="45">
        <f t="shared" si="9"/>
        <v>2134000</v>
      </c>
      <c r="Q43" s="46">
        <f t="shared" si="10"/>
        <v>1.431855359795595</v>
      </c>
      <c r="R43" s="9"/>
    </row>
    <row r="44" spans="1:18">
      <c r="A44" s="11"/>
      <c r="B44" s="24">
        <v>334.49</v>
      </c>
      <c r="C44" s="19" t="s">
        <v>41</v>
      </c>
      <c r="D44" s="45">
        <v>0</v>
      </c>
      <c r="E44" s="45">
        <v>142000</v>
      </c>
      <c r="F44" s="45">
        <v>0</v>
      </c>
      <c r="G44" s="45">
        <v>0</v>
      </c>
      <c r="H44" s="45">
        <v>0</v>
      </c>
      <c r="I44" s="45">
        <v>0</v>
      </c>
      <c r="J44" s="45">
        <v>0</v>
      </c>
      <c r="K44" s="45">
        <v>0</v>
      </c>
      <c r="L44" s="45">
        <v>0</v>
      </c>
      <c r="M44" s="45">
        <v>0</v>
      </c>
      <c r="N44" s="45">
        <v>0</v>
      </c>
      <c r="O44" s="45">
        <v>0</v>
      </c>
      <c r="P44" s="45">
        <f t="shared" si="9"/>
        <v>142000</v>
      </c>
      <c r="Q44" s="46">
        <f t="shared" si="10"/>
        <v>9.52780979807753E-2</v>
      </c>
      <c r="R44" s="9"/>
    </row>
    <row r="45" spans="1:18">
      <c r="A45" s="11"/>
      <c r="B45" s="24">
        <v>334.5</v>
      </c>
      <c r="C45" s="19" t="s">
        <v>42</v>
      </c>
      <c r="D45" s="45">
        <v>0</v>
      </c>
      <c r="E45" s="45">
        <v>26000</v>
      </c>
      <c r="F45" s="45">
        <v>0</v>
      </c>
      <c r="G45" s="45">
        <v>0</v>
      </c>
      <c r="H45" s="45">
        <v>0</v>
      </c>
      <c r="I45" s="45">
        <v>0</v>
      </c>
      <c r="J45" s="45">
        <v>0</v>
      </c>
      <c r="K45" s="45">
        <v>0</v>
      </c>
      <c r="L45" s="45">
        <v>0</v>
      </c>
      <c r="M45" s="45">
        <v>0</v>
      </c>
      <c r="N45" s="45">
        <v>0</v>
      </c>
      <c r="O45" s="45">
        <v>0</v>
      </c>
      <c r="P45" s="45">
        <f t="shared" si="9"/>
        <v>26000</v>
      </c>
      <c r="Q45" s="46">
        <f t="shared" si="10"/>
        <v>1.7445285545775759E-2</v>
      </c>
      <c r="R45" s="9"/>
    </row>
    <row r="46" spans="1:18">
      <c r="A46" s="11"/>
      <c r="B46" s="24">
        <v>334.61</v>
      </c>
      <c r="C46" s="19" t="s">
        <v>43</v>
      </c>
      <c r="D46" s="45">
        <v>0</v>
      </c>
      <c r="E46" s="45">
        <v>94000</v>
      </c>
      <c r="F46" s="45">
        <v>0</v>
      </c>
      <c r="G46" s="45">
        <v>0</v>
      </c>
      <c r="H46" s="45">
        <v>0</v>
      </c>
      <c r="I46" s="45">
        <v>0</v>
      </c>
      <c r="J46" s="45">
        <v>0</v>
      </c>
      <c r="K46" s="45">
        <v>0</v>
      </c>
      <c r="L46" s="45">
        <v>0</v>
      </c>
      <c r="M46" s="45">
        <v>0</v>
      </c>
      <c r="N46" s="45">
        <v>0</v>
      </c>
      <c r="O46" s="45">
        <v>0</v>
      </c>
      <c r="P46" s="45">
        <f t="shared" si="9"/>
        <v>94000</v>
      </c>
      <c r="Q46" s="46">
        <f t="shared" si="10"/>
        <v>6.3071416973189284E-2</v>
      </c>
      <c r="R46" s="9"/>
    </row>
    <row r="47" spans="1:18">
      <c r="A47" s="11"/>
      <c r="B47" s="24">
        <v>334.69</v>
      </c>
      <c r="C47" s="19" t="s">
        <v>44</v>
      </c>
      <c r="D47" s="45">
        <v>0</v>
      </c>
      <c r="E47" s="45">
        <v>6073000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v>0</v>
      </c>
      <c r="O47" s="45">
        <v>0</v>
      </c>
      <c r="P47" s="45">
        <f t="shared" si="9"/>
        <v>6073000</v>
      </c>
      <c r="Q47" s="46">
        <f t="shared" si="10"/>
        <v>4.0748161199806221</v>
      </c>
      <c r="R47" s="9"/>
    </row>
    <row r="48" spans="1:18">
      <c r="A48" s="11"/>
      <c r="B48" s="24">
        <v>334.7</v>
      </c>
      <c r="C48" s="19" t="s">
        <v>45</v>
      </c>
      <c r="D48" s="45">
        <v>0</v>
      </c>
      <c r="E48" s="45">
        <v>1086000</v>
      </c>
      <c r="F48" s="45">
        <v>0</v>
      </c>
      <c r="G48" s="45">
        <v>0</v>
      </c>
      <c r="H48" s="45">
        <v>0</v>
      </c>
      <c r="I48" s="45">
        <v>0</v>
      </c>
      <c r="J48" s="45">
        <v>0</v>
      </c>
      <c r="K48" s="45">
        <v>0</v>
      </c>
      <c r="L48" s="45">
        <v>0</v>
      </c>
      <c r="M48" s="45">
        <v>0</v>
      </c>
      <c r="N48" s="45">
        <v>0</v>
      </c>
      <c r="O48" s="45">
        <v>0</v>
      </c>
      <c r="P48" s="45">
        <f t="shared" si="9"/>
        <v>1086000</v>
      </c>
      <c r="Q48" s="46">
        <f t="shared" si="10"/>
        <v>0.72867615779663364</v>
      </c>
      <c r="R48" s="9"/>
    </row>
    <row r="49" spans="1:18">
      <c r="A49" s="11"/>
      <c r="B49" s="24">
        <v>334.82</v>
      </c>
      <c r="C49" s="19" t="s">
        <v>312</v>
      </c>
      <c r="D49" s="45">
        <v>0</v>
      </c>
      <c r="E49" s="45">
        <v>182000</v>
      </c>
      <c r="F49" s="45">
        <v>0</v>
      </c>
      <c r="G49" s="45">
        <v>0</v>
      </c>
      <c r="H49" s="45">
        <v>0</v>
      </c>
      <c r="I49" s="45">
        <v>0</v>
      </c>
      <c r="J49" s="45">
        <v>0</v>
      </c>
      <c r="K49" s="45">
        <v>0</v>
      </c>
      <c r="L49" s="45">
        <v>0</v>
      </c>
      <c r="M49" s="45">
        <v>0</v>
      </c>
      <c r="N49" s="45">
        <v>0</v>
      </c>
      <c r="O49" s="45">
        <v>0</v>
      </c>
      <c r="P49" s="45">
        <f t="shared" si="9"/>
        <v>182000</v>
      </c>
      <c r="Q49" s="46">
        <f t="shared" si="10"/>
        <v>0.12211699882043031</v>
      </c>
      <c r="R49" s="9"/>
    </row>
    <row r="50" spans="1:18">
      <c r="A50" s="11"/>
      <c r="B50" s="24">
        <v>334.89</v>
      </c>
      <c r="C50" s="19" t="s">
        <v>46</v>
      </c>
      <c r="D50" s="45">
        <v>0</v>
      </c>
      <c r="E50" s="45">
        <v>527000</v>
      </c>
      <c r="F50" s="45">
        <v>0</v>
      </c>
      <c r="G50" s="45">
        <v>0</v>
      </c>
      <c r="H50" s="45">
        <v>0</v>
      </c>
      <c r="I50" s="45">
        <v>0</v>
      </c>
      <c r="J50" s="45">
        <v>0</v>
      </c>
      <c r="K50" s="45">
        <v>0</v>
      </c>
      <c r="L50" s="45">
        <v>0</v>
      </c>
      <c r="M50" s="45">
        <v>0</v>
      </c>
      <c r="N50" s="45">
        <v>0</v>
      </c>
      <c r="O50" s="45">
        <v>0</v>
      </c>
      <c r="P50" s="45">
        <f t="shared" si="9"/>
        <v>527000</v>
      </c>
      <c r="Q50" s="46">
        <f t="shared" si="10"/>
        <v>0.35360251856245478</v>
      </c>
      <c r="R50" s="9"/>
    </row>
    <row r="51" spans="1:18">
      <c r="A51" s="11"/>
      <c r="B51" s="24">
        <v>335.12099999999998</v>
      </c>
      <c r="C51" s="19" t="s">
        <v>313</v>
      </c>
      <c r="D51" s="45">
        <v>36847000</v>
      </c>
      <c r="E51" s="45">
        <v>6753000</v>
      </c>
      <c r="F51" s="45">
        <v>0</v>
      </c>
      <c r="G51" s="45">
        <v>0</v>
      </c>
      <c r="H51" s="45">
        <v>0</v>
      </c>
      <c r="I51" s="45">
        <v>0</v>
      </c>
      <c r="J51" s="45">
        <v>0</v>
      </c>
      <c r="K51" s="45">
        <v>0</v>
      </c>
      <c r="L51" s="45">
        <v>0</v>
      </c>
      <c r="M51" s="45">
        <v>0</v>
      </c>
      <c r="N51" s="45">
        <v>0</v>
      </c>
      <c r="O51" s="45">
        <v>0</v>
      </c>
      <c r="P51" s="45">
        <f t="shared" si="9"/>
        <v>43600000</v>
      </c>
      <c r="Q51" s="46">
        <f t="shared" si="10"/>
        <v>29.254401915223966</v>
      </c>
      <c r="R51" s="9"/>
    </row>
    <row r="52" spans="1:18">
      <c r="A52" s="11"/>
      <c r="B52" s="24">
        <v>335.13</v>
      </c>
      <c r="C52" s="19" t="s">
        <v>205</v>
      </c>
      <c r="D52" s="45">
        <v>369000</v>
      </c>
      <c r="E52" s="45">
        <v>0</v>
      </c>
      <c r="F52" s="45">
        <v>0</v>
      </c>
      <c r="G52" s="45">
        <v>0</v>
      </c>
      <c r="H52" s="45">
        <v>0</v>
      </c>
      <c r="I52" s="45">
        <v>0</v>
      </c>
      <c r="J52" s="45">
        <v>0</v>
      </c>
      <c r="K52" s="45">
        <v>0</v>
      </c>
      <c r="L52" s="45">
        <v>0</v>
      </c>
      <c r="M52" s="45">
        <v>0</v>
      </c>
      <c r="N52" s="45">
        <v>0</v>
      </c>
      <c r="O52" s="45">
        <v>0</v>
      </c>
      <c r="P52" s="45">
        <f t="shared" si="9"/>
        <v>369000</v>
      </c>
      <c r="Q52" s="46">
        <f t="shared" si="10"/>
        <v>0.2475888602458175</v>
      </c>
      <c r="R52" s="9"/>
    </row>
    <row r="53" spans="1:18">
      <c r="A53" s="11"/>
      <c r="B53" s="24">
        <v>335.14</v>
      </c>
      <c r="C53" s="19" t="s">
        <v>206</v>
      </c>
      <c r="D53" s="45">
        <v>395000</v>
      </c>
      <c r="E53" s="45">
        <v>0</v>
      </c>
      <c r="F53" s="45">
        <v>0</v>
      </c>
      <c r="G53" s="45">
        <v>0</v>
      </c>
      <c r="H53" s="45">
        <v>0</v>
      </c>
      <c r="I53" s="45">
        <v>0</v>
      </c>
      <c r="J53" s="45">
        <v>0</v>
      </c>
      <c r="K53" s="45">
        <v>0</v>
      </c>
      <c r="L53" s="45">
        <v>0</v>
      </c>
      <c r="M53" s="45">
        <v>0</v>
      </c>
      <c r="N53" s="45">
        <v>0</v>
      </c>
      <c r="O53" s="45">
        <v>0</v>
      </c>
      <c r="P53" s="45">
        <f t="shared" si="9"/>
        <v>395000</v>
      </c>
      <c r="Q53" s="46">
        <f t="shared" si="10"/>
        <v>0.26503414579159323</v>
      </c>
      <c r="R53" s="9"/>
    </row>
    <row r="54" spans="1:18">
      <c r="A54" s="11"/>
      <c r="B54" s="24">
        <v>335.15</v>
      </c>
      <c r="C54" s="19" t="s">
        <v>207</v>
      </c>
      <c r="D54" s="45">
        <v>608000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f t="shared" si="9"/>
        <v>608000</v>
      </c>
      <c r="Q54" s="46">
        <f t="shared" si="10"/>
        <v>0.40795129276275621</v>
      </c>
      <c r="R54" s="9"/>
    </row>
    <row r="55" spans="1:18">
      <c r="A55" s="11"/>
      <c r="B55" s="24">
        <v>335.16</v>
      </c>
      <c r="C55" s="19" t="s">
        <v>314</v>
      </c>
      <c r="D55" s="45">
        <v>447000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v>0</v>
      </c>
      <c r="O55" s="45">
        <v>0</v>
      </c>
      <c r="P55" s="45">
        <f t="shared" si="9"/>
        <v>447000</v>
      </c>
      <c r="Q55" s="46">
        <f t="shared" si="10"/>
        <v>0.29992471688314476</v>
      </c>
      <c r="R55" s="9"/>
    </row>
    <row r="56" spans="1:18">
      <c r="A56" s="11"/>
      <c r="B56" s="24">
        <v>335.17</v>
      </c>
      <c r="C56" s="19" t="s">
        <v>209</v>
      </c>
      <c r="D56" s="45">
        <v>84000</v>
      </c>
      <c r="E56" s="45">
        <v>0</v>
      </c>
      <c r="F56" s="45">
        <v>0</v>
      </c>
      <c r="G56" s="45">
        <v>0</v>
      </c>
      <c r="H56" s="45">
        <v>0</v>
      </c>
      <c r="I56" s="45">
        <v>0</v>
      </c>
      <c r="J56" s="45">
        <v>0</v>
      </c>
      <c r="K56" s="45">
        <v>0</v>
      </c>
      <c r="L56" s="45">
        <v>0</v>
      </c>
      <c r="M56" s="45">
        <v>0</v>
      </c>
      <c r="N56" s="45">
        <v>0</v>
      </c>
      <c r="O56" s="45">
        <v>0</v>
      </c>
      <c r="P56" s="45">
        <f t="shared" si="9"/>
        <v>84000</v>
      </c>
      <c r="Q56" s="46">
        <f t="shared" si="10"/>
        <v>5.6361691763275525E-2</v>
      </c>
      <c r="R56" s="9"/>
    </row>
    <row r="57" spans="1:18">
      <c r="A57" s="11"/>
      <c r="B57" s="24">
        <v>335.18</v>
      </c>
      <c r="C57" s="19" t="s">
        <v>315</v>
      </c>
      <c r="D57" s="45">
        <v>0</v>
      </c>
      <c r="E57" s="45">
        <v>130436000</v>
      </c>
      <c r="F57" s="45">
        <v>0</v>
      </c>
      <c r="G57" s="45">
        <v>0</v>
      </c>
      <c r="H57" s="45">
        <v>0</v>
      </c>
      <c r="I57" s="45">
        <v>0</v>
      </c>
      <c r="J57" s="45">
        <v>0</v>
      </c>
      <c r="K57" s="45">
        <v>0</v>
      </c>
      <c r="L57" s="45">
        <v>0</v>
      </c>
      <c r="M57" s="45">
        <v>0</v>
      </c>
      <c r="N57" s="45">
        <v>0</v>
      </c>
      <c r="O57" s="45">
        <v>0</v>
      </c>
      <c r="P57" s="45">
        <f t="shared" si="9"/>
        <v>130436000</v>
      </c>
      <c r="Q57" s="46">
        <f t="shared" si="10"/>
        <v>87.518971748031035</v>
      </c>
      <c r="R57" s="9"/>
    </row>
    <row r="58" spans="1:18">
      <c r="A58" s="11"/>
      <c r="B58" s="24">
        <v>335.21</v>
      </c>
      <c r="C58" s="19" t="s">
        <v>55</v>
      </c>
      <c r="D58" s="45">
        <v>287000</v>
      </c>
      <c r="E58" s="45">
        <v>0</v>
      </c>
      <c r="F58" s="45">
        <v>0</v>
      </c>
      <c r="G58" s="45">
        <v>0</v>
      </c>
      <c r="H58" s="45">
        <v>0</v>
      </c>
      <c r="I58" s="45">
        <v>0</v>
      </c>
      <c r="J58" s="45">
        <v>0</v>
      </c>
      <c r="K58" s="45">
        <v>0</v>
      </c>
      <c r="L58" s="45">
        <v>0</v>
      </c>
      <c r="M58" s="45">
        <v>0</v>
      </c>
      <c r="N58" s="45">
        <v>0</v>
      </c>
      <c r="O58" s="45">
        <v>0</v>
      </c>
      <c r="P58" s="45">
        <f t="shared" si="9"/>
        <v>287000</v>
      </c>
      <c r="Q58" s="46">
        <f t="shared" si="10"/>
        <v>0.19256911352452472</v>
      </c>
      <c r="R58" s="9"/>
    </row>
    <row r="59" spans="1:18">
      <c r="A59" s="11"/>
      <c r="B59" s="24">
        <v>335.22</v>
      </c>
      <c r="C59" s="19" t="s">
        <v>56</v>
      </c>
      <c r="D59" s="45">
        <v>0</v>
      </c>
      <c r="E59" s="45">
        <v>6964000</v>
      </c>
      <c r="F59" s="45">
        <v>0</v>
      </c>
      <c r="G59" s="45">
        <v>0</v>
      </c>
      <c r="H59" s="45">
        <v>0</v>
      </c>
      <c r="I59" s="45">
        <v>0</v>
      </c>
      <c r="J59" s="45">
        <v>0</v>
      </c>
      <c r="K59" s="45">
        <v>0</v>
      </c>
      <c r="L59" s="45">
        <v>0</v>
      </c>
      <c r="M59" s="45">
        <v>0</v>
      </c>
      <c r="N59" s="45">
        <v>0</v>
      </c>
      <c r="O59" s="45">
        <v>0</v>
      </c>
      <c r="P59" s="45">
        <f t="shared" si="9"/>
        <v>6964000</v>
      </c>
      <c r="Q59" s="46">
        <f t="shared" si="10"/>
        <v>4.6726526361839378</v>
      </c>
      <c r="R59" s="9"/>
    </row>
    <row r="60" spans="1:18">
      <c r="A60" s="11"/>
      <c r="B60" s="24">
        <v>335.23</v>
      </c>
      <c r="C60" s="19" t="s">
        <v>171</v>
      </c>
      <c r="D60" s="45">
        <v>0</v>
      </c>
      <c r="E60" s="45">
        <v>25000</v>
      </c>
      <c r="F60" s="45">
        <v>0</v>
      </c>
      <c r="G60" s="45">
        <v>0</v>
      </c>
      <c r="H60" s="45">
        <v>0</v>
      </c>
      <c r="I60" s="45">
        <v>0</v>
      </c>
      <c r="J60" s="45">
        <v>0</v>
      </c>
      <c r="K60" s="45">
        <v>0</v>
      </c>
      <c r="L60" s="45">
        <v>0</v>
      </c>
      <c r="M60" s="45">
        <v>0</v>
      </c>
      <c r="N60" s="45">
        <v>0</v>
      </c>
      <c r="O60" s="45">
        <v>0</v>
      </c>
      <c r="P60" s="45">
        <f t="shared" si="9"/>
        <v>25000</v>
      </c>
      <c r="Q60" s="46">
        <f t="shared" si="10"/>
        <v>1.6774313024784382E-2</v>
      </c>
      <c r="R60" s="9"/>
    </row>
    <row r="61" spans="1:18">
      <c r="A61" s="11"/>
      <c r="B61" s="24">
        <v>335.29</v>
      </c>
      <c r="C61" s="19" t="s">
        <v>57</v>
      </c>
      <c r="D61" s="45">
        <v>2000</v>
      </c>
      <c r="E61" s="45">
        <v>0</v>
      </c>
      <c r="F61" s="45">
        <v>0</v>
      </c>
      <c r="G61" s="45">
        <v>0</v>
      </c>
      <c r="H61" s="45">
        <v>0</v>
      </c>
      <c r="I61" s="45">
        <v>0</v>
      </c>
      <c r="J61" s="45">
        <v>0</v>
      </c>
      <c r="K61" s="45">
        <v>0</v>
      </c>
      <c r="L61" s="45">
        <v>0</v>
      </c>
      <c r="M61" s="45">
        <v>0</v>
      </c>
      <c r="N61" s="45">
        <v>0</v>
      </c>
      <c r="O61" s="45">
        <v>0</v>
      </c>
      <c r="P61" s="45">
        <f t="shared" si="9"/>
        <v>2000</v>
      </c>
      <c r="Q61" s="46">
        <f t="shared" si="10"/>
        <v>1.3419450419827506E-3</v>
      </c>
      <c r="R61" s="9"/>
    </row>
    <row r="62" spans="1:18">
      <c r="A62" s="11"/>
      <c r="B62" s="24">
        <v>335.38</v>
      </c>
      <c r="C62" s="19" t="s">
        <v>58</v>
      </c>
      <c r="D62" s="45">
        <v>0</v>
      </c>
      <c r="E62" s="45">
        <v>1266000</v>
      </c>
      <c r="F62" s="45">
        <v>0</v>
      </c>
      <c r="G62" s="45">
        <v>0</v>
      </c>
      <c r="H62" s="45">
        <v>0</v>
      </c>
      <c r="I62" s="45">
        <v>0</v>
      </c>
      <c r="J62" s="45">
        <v>0</v>
      </c>
      <c r="K62" s="45">
        <v>0</v>
      </c>
      <c r="L62" s="45">
        <v>0</v>
      </c>
      <c r="M62" s="45">
        <v>0</v>
      </c>
      <c r="N62" s="45">
        <v>0</v>
      </c>
      <c r="O62" s="45">
        <v>0</v>
      </c>
      <c r="P62" s="45">
        <f t="shared" ref="P62:P72" si="11">SUM(D62:O62)</f>
        <v>1266000</v>
      </c>
      <c r="Q62" s="46">
        <f t="shared" si="10"/>
        <v>0.84945121157508119</v>
      </c>
      <c r="R62" s="9"/>
    </row>
    <row r="63" spans="1:18">
      <c r="A63" s="11"/>
      <c r="B63" s="24">
        <v>335.43</v>
      </c>
      <c r="C63" s="19" t="s">
        <v>316</v>
      </c>
      <c r="D63" s="45">
        <v>0</v>
      </c>
      <c r="E63" s="45">
        <v>12220000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0</v>
      </c>
      <c r="N63" s="45">
        <v>0</v>
      </c>
      <c r="O63" s="45">
        <v>0</v>
      </c>
      <c r="P63" s="45">
        <f t="shared" si="11"/>
        <v>12220000</v>
      </c>
      <c r="Q63" s="46">
        <f t="shared" si="10"/>
        <v>8.1992842065146068</v>
      </c>
      <c r="R63" s="9"/>
    </row>
    <row r="64" spans="1:18">
      <c r="A64" s="11"/>
      <c r="B64" s="24">
        <v>335.44</v>
      </c>
      <c r="C64" s="19" t="s">
        <v>317</v>
      </c>
      <c r="D64" s="45">
        <v>0</v>
      </c>
      <c r="E64" s="45">
        <v>5309000</v>
      </c>
      <c r="F64" s="45">
        <v>0</v>
      </c>
      <c r="G64" s="45">
        <v>0</v>
      </c>
      <c r="H64" s="45">
        <v>0</v>
      </c>
      <c r="I64" s="45">
        <v>0</v>
      </c>
      <c r="J64" s="45">
        <v>0</v>
      </c>
      <c r="K64" s="45">
        <v>0</v>
      </c>
      <c r="L64" s="45">
        <v>0</v>
      </c>
      <c r="M64" s="45">
        <v>0</v>
      </c>
      <c r="N64" s="45">
        <v>0</v>
      </c>
      <c r="O64" s="45">
        <v>0</v>
      </c>
      <c r="P64" s="45">
        <f t="shared" si="11"/>
        <v>5309000</v>
      </c>
      <c r="Q64" s="46">
        <f t="shared" si="10"/>
        <v>3.5621931139432115</v>
      </c>
      <c r="R64" s="9"/>
    </row>
    <row r="65" spans="1:18">
      <c r="A65" s="11"/>
      <c r="B65" s="24">
        <v>335.48</v>
      </c>
      <c r="C65" s="19" t="s">
        <v>59</v>
      </c>
      <c r="D65" s="45">
        <v>0</v>
      </c>
      <c r="E65" s="45">
        <v>694000</v>
      </c>
      <c r="F65" s="45">
        <v>0</v>
      </c>
      <c r="G65" s="45">
        <v>0</v>
      </c>
      <c r="H65" s="45">
        <v>0</v>
      </c>
      <c r="I65" s="45">
        <v>0</v>
      </c>
      <c r="J65" s="45">
        <v>0</v>
      </c>
      <c r="K65" s="45">
        <v>0</v>
      </c>
      <c r="L65" s="45">
        <v>0</v>
      </c>
      <c r="M65" s="45">
        <v>0</v>
      </c>
      <c r="N65" s="45">
        <v>0</v>
      </c>
      <c r="O65" s="45">
        <v>0</v>
      </c>
      <c r="P65" s="45">
        <f t="shared" si="11"/>
        <v>694000</v>
      </c>
      <c r="Q65" s="46">
        <f t="shared" si="10"/>
        <v>0.46565492956801446</v>
      </c>
      <c r="R65" s="9"/>
    </row>
    <row r="66" spans="1:18">
      <c r="A66" s="11"/>
      <c r="B66" s="24">
        <v>335.5</v>
      </c>
      <c r="C66" s="19" t="s">
        <v>60</v>
      </c>
      <c r="D66" s="45">
        <v>0</v>
      </c>
      <c r="E66" s="45">
        <v>5924000</v>
      </c>
      <c r="F66" s="45">
        <v>0</v>
      </c>
      <c r="G66" s="45">
        <v>0</v>
      </c>
      <c r="H66" s="45">
        <v>0</v>
      </c>
      <c r="I66" s="45">
        <v>0</v>
      </c>
      <c r="J66" s="45">
        <v>0</v>
      </c>
      <c r="K66" s="45">
        <v>0</v>
      </c>
      <c r="L66" s="45">
        <v>0</v>
      </c>
      <c r="M66" s="45">
        <v>0</v>
      </c>
      <c r="N66" s="45">
        <v>0</v>
      </c>
      <c r="O66" s="45">
        <v>0</v>
      </c>
      <c r="P66" s="45">
        <f t="shared" si="11"/>
        <v>5924000</v>
      </c>
      <c r="Q66" s="46">
        <f t="shared" si="10"/>
        <v>3.9748412143529075</v>
      </c>
      <c r="R66" s="9"/>
    </row>
    <row r="67" spans="1:18">
      <c r="A67" s="11"/>
      <c r="B67" s="24">
        <v>335.7</v>
      </c>
      <c r="C67" s="19" t="s">
        <v>62</v>
      </c>
      <c r="D67" s="45">
        <v>0</v>
      </c>
      <c r="E67" s="45">
        <v>2421000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>
        <v>0</v>
      </c>
      <c r="N67" s="45">
        <v>0</v>
      </c>
      <c r="O67" s="45">
        <v>0</v>
      </c>
      <c r="P67" s="45">
        <f t="shared" si="11"/>
        <v>2421000</v>
      </c>
      <c r="Q67" s="46">
        <f t="shared" si="10"/>
        <v>1.6244244733201196</v>
      </c>
      <c r="R67" s="9"/>
    </row>
    <row r="68" spans="1:18">
      <c r="A68" s="11"/>
      <c r="B68" s="24">
        <v>337.1</v>
      </c>
      <c r="C68" s="19" t="s">
        <v>64</v>
      </c>
      <c r="D68" s="45">
        <v>0</v>
      </c>
      <c r="E68" s="45">
        <v>9000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</v>
      </c>
      <c r="L68" s="45">
        <v>0</v>
      </c>
      <c r="M68" s="45">
        <v>0</v>
      </c>
      <c r="N68" s="45">
        <v>0</v>
      </c>
      <c r="O68" s="45">
        <v>4189000</v>
      </c>
      <c r="P68" s="45">
        <f t="shared" si="11"/>
        <v>4198000</v>
      </c>
      <c r="Q68" s="46">
        <f t="shared" si="10"/>
        <v>2.8167426431217937</v>
      </c>
      <c r="R68" s="9"/>
    </row>
    <row r="69" spans="1:18">
      <c r="A69" s="11"/>
      <c r="B69" s="24">
        <v>337.2</v>
      </c>
      <c r="C69" s="19" t="s">
        <v>65</v>
      </c>
      <c r="D69" s="45">
        <v>0</v>
      </c>
      <c r="E69" s="45">
        <v>108000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5">
        <v>0</v>
      </c>
      <c r="L69" s="45">
        <v>0</v>
      </c>
      <c r="M69" s="45">
        <v>0</v>
      </c>
      <c r="N69" s="45">
        <v>0</v>
      </c>
      <c r="O69" s="45">
        <v>0</v>
      </c>
      <c r="P69" s="45">
        <f t="shared" si="11"/>
        <v>108000</v>
      </c>
      <c r="Q69" s="46">
        <f t="shared" ref="Q69:Q100" si="12">(P69/Q$160)</f>
        <v>7.2465032267068533E-2</v>
      </c>
      <c r="R69" s="9"/>
    </row>
    <row r="70" spans="1:18">
      <c r="A70" s="11"/>
      <c r="B70" s="24">
        <v>337.3</v>
      </c>
      <c r="C70" s="19" t="s">
        <v>66</v>
      </c>
      <c r="D70" s="45">
        <v>0</v>
      </c>
      <c r="E70" s="45">
        <v>4326000</v>
      </c>
      <c r="F70" s="45">
        <v>0</v>
      </c>
      <c r="G70" s="45">
        <v>0</v>
      </c>
      <c r="H70" s="45">
        <v>0</v>
      </c>
      <c r="I70" s="45">
        <v>251000</v>
      </c>
      <c r="J70" s="45">
        <v>0</v>
      </c>
      <c r="K70" s="45">
        <v>0</v>
      </c>
      <c r="L70" s="45">
        <v>0</v>
      </c>
      <c r="M70" s="45">
        <v>0</v>
      </c>
      <c r="N70" s="45">
        <v>0</v>
      </c>
      <c r="O70" s="45">
        <v>0</v>
      </c>
      <c r="P70" s="45">
        <f t="shared" si="11"/>
        <v>4577000</v>
      </c>
      <c r="Q70" s="46">
        <f t="shared" si="12"/>
        <v>3.071041228577525</v>
      </c>
      <c r="R70" s="9"/>
    </row>
    <row r="71" spans="1:18">
      <c r="A71" s="11"/>
      <c r="B71" s="24">
        <v>337.5</v>
      </c>
      <c r="C71" s="19" t="s">
        <v>67</v>
      </c>
      <c r="D71" s="45">
        <v>0</v>
      </c>
      <c r="E71" s="45">
        <v>0</v>
      </c>
      <c r="F71" s="45">
        <v>0</v>
      </c>
      <c r="G71" s="45">
        <v>0</v>
      </c>
      <c r="H71" s="45">
        <v>0</v>
      </c>
      <c r="I71" s="45">
        <v>0</v>
      </c>
      <c r="J71" s="45">
        <v>0</v>
      </c>
      <c r="K71" s="45">
        <v>0</v>
      </c>
      <c r="L71" s="45">
        <v>0</v>
      </c>
      <c r="M71" s="45">
        <v>0</v>
      </c>
      <c r="N71" s="45">
        <v>0</v>
      </c>
      <c r="O71" s="45">
        <v>680000</v>
      </c>
      <c r="P71" s="45">
        <f t="shared" si="11"/>
        <v>680000</v>
      </c>
      <c r="Q71" s="46">
        <f t="shared" si="12"/>
        <v>0.45626131427413524</v>
      </c>
      <c r="R71" s="9"/>
    </row>
    <row r="72" spans="1:18">
      <c r="A72" s="11"/>
      <c r="B72" s="24">
        <v>337.6</v>
      </c>
      <c r="C72" s="19" t="s">
        <v>211</v>
      </c>
      <c r="D72" s="45">
        <v>0</v>
      </c>
      <c r="E72" s="45">
        <v>303000</v>
      </c>
      <c r="F72" s="45">
        <v>0</v>
      </c>
      <c r="G72" s="45">
        <v>0</v>
      </c>
      <c r="H72" s="45">
        <v>0</v>
      </c>
      <c r="I72" s="45">
        <v>0</v>
      </c>
      <c r="J72" s="45">
        <v>0</v>
      </c>
      <c r="K72" s="45">
        <v>0</v>
      </c>
      <c r="L72" s="45">
        <v>0</v>
      </c>
      <c r="M72" s="45">
        <v>0</v>
      </c>
      <c r="N72" s="45">
        <v>0</v>
      </c>
      <c r="O72" s="45">
        <v>0</v>
      </c>
      <c r="P72" s="45">
        <f t="shared" si="11"/>
        <v>303000</v>
      </c>
      <c r="Q72" s="46">
        <f t="shared" si="12"/>
        <v>0.20330467386038673</v>
      </c>
      <c r="R72" s="9"/>
    </row>
    <row r="73" spans="1:18" ht="15.75">
      <c r="A73" s="28" t="s">
        <v>75</v>
      </c>
      <c r="B73" s="29"/>
      <c r="C73" s="30"/>
      <c r="D73" s="31">
        <f t="shared" ref="D73:O73" si="13">SUM(D74:D128)</f>
        <v>143961000</v>
      </c>
      <c r="E73" s="31">
        <f t="shared" si="13"/>
        <v>62585000</v>
      </c>
      <c r="F73" s="31">
        <f t="shared" si="13"/>
        <v>145000</v>
      </c>
      <c r="G73" s="31">
        <f t="shared" si="13"/>
        <v>0</v>
      </c>
      <c r="H73" s="31">
        <f t="shared" si="13"/>
        <v>0</v>
      </c>
      <c r="I73" s="31">
        <f t="shared" si="13"/>
        <v>442941000</v>
      </c>
      <c r="J73" s="31">
        <f t="shared" si="13"/>
        <v>223348000</v>
      </c>
      <c r="K73" s="31">
        <f t="shared" si="13"/>
        <v>0</v>
      </c>
      <c r="L73" s="31">
        <f t="shared" ref="L73" si="14">SUM(L74:L128)</f>
        <v>0</v>
      </c>
      <c r="M73" s="31">
        <f t="shared" si="13"/>
        <v>0</v>
      </c>
      <c r="N73" s="31">
        <f t="shared" si="13"/>
        <v>0</v>
      </c>
      <c r="O73" s="31">
        <f t="shared" si="13"/>
        <v>2257000</v>
      </c>
      <c r="P73" s="31">
        <f>SUM(D73:O73)</f>
        <v>875237000</v>
      </c>
      <c r="Q73" s="44">
        <f t="shared" si="12"/>
        <v>587.25997635492831</v>
      </c>
      <c r="R73" s="10"/>
    </row>
    <row r="74" spans="1:18">
      <c r="A74" s="11"/>
      <c r="B74" s="24">
        <v>341.1</v>
      </c>
      <c r="C74" s="19" t="s">
        <v>212</v>
      </c>
      <c r="D74" s="45">
        <v>8341000</v>
      </c>
      <c r="E74" s="45">
        <v>0</v>
      </c>
      <c r="F74" s="45">
        <v>0</v>
      </c>
      <c r="G74" s="45">
        <v>0</v>
      </c>
      <c r="H74" s="45">
        <v>0</v>
      </c>
      <c r="I74" s="45">
        <v>0</v>
      </c>
      <c r="J74" s="45">
        <v>0</v>
      </c>
      <c r="K74" s="45">
        <v>0</v>
      </c>
      <c r="L74" s="45">
        <v>0</v>
      </c>
      <c r="M74" s="45">
        <v>0</v>
      </c>
      <c r="N74" s="45">
        <v>0</v>
      </c>
      <c r="O74" s="45">
        <v>0</v>
      </c>
      <c r="P74" s="45">
        <f>SUM(D74:O74)</f>
        <v>8341000</v>
      </c>
      <c r="Q74" s="46">
        <f t="shared" si="12"/>
        <v>5.5965817975890619</v>
      </c>
      <c r="R74" s="9"/>
    </row>
    <row r="75" spans="1:18">
      <c r="A75" s="11"/>
      <c r="B75" s="24">
        <v>341.15</v>
      </c>
      <c r="C75" s="19" t="s">
        <v>213</v>
      </c>
      <c r="D75" s="45">
        <v>0</v>
      </c>
      <c r="E75" s="45">
        <v>4846000</v>
      </c>
      <c r="F75" s="45">
        <v>0</v>
      </c>
      <c r="G75" s="45">
        <v>0</v>
      </c>
      <c r="H75" s="45">
        <v>0</v>
      </c>
      <c r="I75" s="45">
        <v>0</v>
      </c>
      <c r="J75" s="45">
        <v>0</v>
      </c>
      <c r="K75" s="45">
        <v>0</v>
      </c>
      <c r="L75" s="45">
        <v>0</v>
      </c>
      <c r="M75" s="45">
        <v>0</v>
      </c>
      <c r="N75" s="45">
        <v>0</v>
      </c>
      <c r="O75" s="45">
        <v>0</v>
      </c>
      <c r="P75" s="45">
        <f t="shared" ref="P75:P128" si="15">SUM(D75:O75)</f>
        <v>4846000</v>
      </c>
      <c r="Q75" s="46">
        <f t="shared" si="12"/>
        <v>3.2515328367242047</v>
      </c>
      <c r="R75" s="9"/>
    </row>
    <row r="76" spans="1:18">
      <c r="A76" s="11"/>
      <c r="B76" s="24">
        <v>341.16</v>
      </c>
      <c r="C76" s="19" t="s">
        <v>214</v>
      </c>
      <c r="D76" s="45">
        <v>0</v>
      </c>
      <c r="E76" s="45">
        <v>3728000</v>
      </c>
      <c r="F76" s="45">
        <v>0</v>
      </c>
      <c r="G76" s="45">
        <v>0</v>
      </c>
      <c r="H76" s="45">
        <v>0</v>
      </c>
      <c r="I76" s="45">
        <v>0</v>
      </c>
      <c r="J76" s="45">
        <v>0</v>
      </c>
      <c r="K76" s="45">
        <v>0</v>
      </c>
      <c r="L76" s="45">
        <v>0</v>
      </c>
      <c r="M76" s="45">
        <v>0</v>
      </c>
      <c r="N76" s="45">
        <v>0</v>
      </c>
      <c r="O76" s="45">
        <v>0</v>
      </c>
      <c r="P76" s="45">
        <f t="shared" si="15"/>
        <v>3728000</v>
      </c>
      <c r="Q76" s="46">
        <f t="shared" si="12"/>
        <v>2.5013855582558473</v>
      </c>
      <c r="R76" s="9"/>
    </row>
    <row r="77" spans="1:18">
      <c r="A77" s="11"/>
      <c r="B77" s="24">
        <v>341.2</v>
      </c>
      <c r="C77" s="19" t="s">
        <v>215</v>
      </c>
      <c r="D77" s="45">
        <v>35000</v>
      </c>
      <c r="E77" s="45">
        <v>0</v>
      </c>
      <c r="F77" s="45">
        <v>0</v>
      </c>
      <c r="G77" s="45">
        <v>0</v>
      </c>
      <c r="H77" s="45">
        <v>0</v>
      </c>
      <c r="I77" s="45">
        <v>0</v>
      </c>
      <c r="J77" s="45">
        <v>191346000</v>
      </c>
      <c r="K77" s="45">
        <v>0</v>
      </c>
      <c r="L77" s="45">
        <v>0</v>
      </c>
      <c r="M77" s="45">
        <v>0</v>
      </c>
      <c r="N77" s="45">
        <v>0</v>
      </c>
      <c r="O77" s="45">
        <v>0</v>
      </c>
      <c r="P77" s="45">
        <f t="shared" si="15"/>
        <v>191381000</v>
      </c>
      <c r="Q77" s="46">
        <f t="shared" si="12"/>
        <v>128.4113920398504</v>
      </c>
      <c r="R77" s="9"/>
    </row>
    <row r="78" spans="1:18">
      <c r="A78" s="11"/>
      <c r="B78" s="24">
        <v>341.3</v>
      </c>
      <c r="C78" s="19" t="s">
        <v>216</v>
      </c>
      <c r="D78" s="45">
        <v>63000</v>
      </c>
      <c r="E78" s="45">
        <v>1703000</v>
      </c>
      <c r="F78" s="45">
        <v>0</v>
      </c>
      <c r="G78" s="45">
        <v>0</v>
      </c>
      <c r="H78" s="45">
        <v>0</v>
      </c>
      <c r="I78" s="45">
        <v>0</v>
      </c>
      <c r="J78" s="45">
        <v>0</v>
      </c>
      <c r="K78" s="45">
        <v>0</v>
      </c>
      <c r="L78" s="45">
        <v>0</v>
      </c>
      <c r="M78" s="45">
        <v>0</v>
      </c>
      <c r="N78" s="45">
        <v>0</v>
      </c>
      <c r="O78" s="45">
        <v>0</v>
      </c>
      <c r="P78" s="45">
        <f t="shared" si="15"/>
        <v>1766000</v>
      </c>
      <c r="Q78" s="46">
        <f t="shared" si="12"/>
        <v>1.1849374720707688</v>
      </c>
      <c r="R78" s="9"/>
    </row>
    <row r="79" spans="1:18">
      <c r="A79" s="11"/>
      <c r="B79" s="24">
        <v>341.52</v>
      </c>
      <c r="C79" s="19" t="s">
        <v>217</v>
      </c>
      <c r="D79" s="45">
        <v>435000</v>
      </c>
      <c r="E79" s="45">
        <v>129000</v>
      </c>
      <c r="F79" s="45">
        <v>0</v>
      </c>
      <c r="G79" s="45">
        <v>0</v>
      </c>
      <c r="H79" s="45">
        <v>0</v>
      </c>
      <c r="I79" s="45">
        <v>0</v>
      </c>
      <c r="J79" s="45">
        <v>0</v>
      </c>
      <c r="K79" s="45">
        <v>0</v>
      </c>
      <c r="L79" s="45">
        <v>0</v>
      </c>
      <c r="M79" s="45">
        <v>0</v>
      </c>
      <c r="N79" s="45">
        <v>0</v>
      </c>
      <c r="O79" s="45">
        <v>0</v>
      </c>
      <c r="P79" s="45">
        <f t="shared" si="15"/>
        <v>564000</v>
      </c>
      <c r="Q79" s="46">
        <f t="shared" si="12"/>
        <v>0.37842850183913568</v>
      </c>
      <c r="R79" s="9"/>
    </row>
    <row r="80" spans="1:18">
      <c r="A80" s="11"/>
      <c r="B80" s="24">
        <v>341.55</v>
      </c>
      <c r="C80" s="19" t="s">
        <v>218</v>
      </c>
      <c r="D80" s="45">
        <v>8000</v>
      </c>
      <c r="E80" s="45">
        <v>0</v>
      </c>
      <c r="F80" s="45">
        <v>0</v>
      </c>
      <c r="G80" s="45">
        <v>0</v>
      </c>
      <c r="H80" s="45">
        <v>0</v>
      </c>
      <c r="I80" s="45">
        <v>0</v>
      </c>
      <c r="J80" s="45">
        <v>0</v>
      </c>
      <c r="K80" s="45">
        <v>0</v>
      </c>
      <c r="L80" s="45">
        <v>0</v>
      </c>
      <c r="M80" s="45">
        <v>0</v>
      </c>
      <c r="N80" s="45">
        <v>0</v>
      </c>
      <c r="O80" s="45">
        <v>0</v>
      </c>
      <c r="P80" s="45">
        <f t="shared" si="15"/>
        <v>8000</v>
      </c>
      <c r="Q80" s="46">
        <f t="shared" si="12"/>
        <v>5.3677801679310024E-3</v>
      </c>
      <c r="R80" s="9"/>
    </row>
    <row r="81" spans="1:18">
      <c r="A81" s="11"/>
      <c r="B81" s="24">
        <v>341.9</v>
      </c>
      <c r="C81" s="19" t="s">
        <v>220</v>
      </c>
      <c r="D81" s="45">
        <v>69292000</v>
      </c>
      <c r="E81" s="45">
        <v>4550000</v>
      </c>
      <c r="F81" s="45">
        <v>0</v>
      </c>
      <c r="G81" s="45">
        <v>0</v>
      </c>
      <c r="H81" s="45">
        <v>0</v>
      </c>
      <c r="I81" s="45">
        <v>0</v>
      </c>
      <c r="J81" s="45">
        <v>7755000</v>
      </c>
      <c r="K81" s="45">
        <v>0</v>
      </c>
      <c r="L81" s="45">
        <v>0</v>
      </c>
      <c r="M81" s="45">
        <v>0</v>
      </c>
      <c r="N81" s="45">
        <v>0</v>
      </c>
      <c r="O81" s="45">
        <v>943000</v>
      </c>
      <c r="P81" s="45">
        <f t="shared" si="15"/>
        <v>82540000</v>
      </c>
      <c r="Q81" s="46">
        <f t="shared" si="12"/>
        <v>55.382071882628118</v>
      </c>
      <c r="R81" s="9"/>
    </row>
    <row r="82" spans="1:18">
      <c r="A82" s="11"/>
      <c r="B82" s="24">
        <v>342.1</v>
      </c>
      <c r="C82" s="19" t="s">
        <v>87</v>
      </c>
      <c r="D82" s="45">
        <v>4678000</v>
      </c>
      <c r="E82" s="45">
        <v>9079000</v>
      </c>
      <c r="F82" s="45">
        <v>0</v>
      </c>
      <c r="G82" s="45">
        <v>0</v>
      </c>
      <c r="H82" s="45">
        <v>0</v>
      </c>
      <c r="I82" s="45">
        <v>0</v>
      </c>
      <c r="J82" s="45">
        <v>0</v>
      </c>
      <c r="K82" s="45">
        <v>0</v>
      </c>
      <c r="L82" s="45">
        <v>0</v>
      </c>
      <c r="M82" s="45">
        <v>0</v>
      </c>
      <c r="N82" s="45">
        <v>0</v>
      </c>
      <c r="O82" s="45">
        <v>0</v>
      </c>
      <c r="P82" s="45">
        <f t="shared" si="15"/>
        <v>13757000</v>
      </c>
      <c r="Q82" s="46">
        <f t="shared" si="12"/>
        <v>9.2305689712783501</v>
      </c>
      <c r="R82" s="9"/>
    </row>
    <row r="83" spans="1:18">
      <c r="A83" s="11"/>
      <c r="B83" s="24">
        <v>342.2</v>
      </c>
      <c r="C83" s="19" t="s">
        <v>88</v>
      </c>
      <c r="D83" s="45">
        <v>4381000</v>
      </c>
      <c r="E83" s="45">
        <v>882000</v>
      </c>
      <c r="F83" s="45">
        <v>0</v>
      </c>
      <c r="G83" s="45">
        <v>0</v>
      </c>
      <c r="H83" s="45">
        <v>0</v>
      </c>
      <c r="I83" s="45">
        <v>0</v>
      </c>
      <c r="J83" s="45">
        <v>0</v>
      </c>
      <c r="K83" s="45">
        <v>0</v>
      </c>
      <c r="L83" s="45">
        <v>0</v>
      </c>
      <c r="M83" s="45">
        <v>0</v>
      </c>
      <c r="N83" s="45">
        <v>0</v>
      </c>
      <c r="O83" s="45">
        <v>0</v>
      </c>
      <c r="P83" s="45">
        <f t="shared" si="15"/>
        <v>5263000</v>
      </c>
      <c r="Q83" s="46">
        <f t="shared" si="12"/>
        <v>3.5313283779776081</v>
      </c>
      <c r="R83" s="9"/>
    </row>
    <row r="84" spans="1:18">
      <c r="A84" s="11"/>
      <c r="B84" s="24">
        <v>342.3</v>
      </c>
      <c r="C84" s="19" t="s">
        <v>89</v>
      </c>
      <c r="D84" s="45">
        <v>15000</v>
      </c>
      <c r="E84" s="45">
        <v>0</v>
      </c>
      <c r="F84" s="45">
        <v>0</v>
      </c>
      <c r="G84" s="45">
        <v>0</v>
      </c>
      <c r="H84" s="45">
        <v>0</v>
      </c>
      <c r="I84" s="45">
        <v>0</v>
      </c>
      <c r="J84" s="45">
        <v>0</v>
      </c>
      <c r="K84" s="45">
        <v>0</v>
      </c>
      <c r="L84" s="45">
        <v>0</v>
      </c>
      <c r="M84" s="45">
        <v>0</v>
      </c>
      <c r="N84" s="45">
        <v>0</v>
      </c>
      <c r="O84" s="45">
        <v>0</v>
      </c>
      <c r="P84" s="45">
        <f t="shared" si="15"/>
        <v>15000</v>
      </c>
      <c r="Q84" s="46">
        <f t="shared" si="12"/>
        <v>1.0064587814870629E-2</v>
      </c>
      <c r="R84" s="9"/>
    </row>
    <row r="85" spans="1:18">
      <c r="A85" s="11"/>
      <c r="B85" s="24">
        <v>342.5</v>
      </c>
      <c r="C85" s="19" t="s">
        <v>90</v>
      </c>
      <c r="D85" s="45">
        <v>1652000</v>
      </c>
      <c r="E85" s="45">
        <v>0</v>
      </c>
      <c r="F85" s="45">
        <v>0</v>
      </c>
      <c r="G85" s="45">
        <v>0</v>
      </c>
      <c r="H85" s="45">
        <v>0</v>
      </c>
      <c r="I85" s="45">
        <v>0</v>
      </c>
      <c r="J85" s="45">
        <v>0</v>
      </c>
      <c r="K85" s="45">
        <v>0</v>
      </c>
      <c r="L85" s="45">
        <v>0</v>
      </c>
      <c r="M85" s="45">
        <v>0</v>
      </c>
      <c r="N85" s="45">
        <v>0</v>
      </c>
      <c r="O85" s="45">
        <v>0</v>
      </c>
      <c r="P85" s="45">
        <f t="shared" si="15"/>
        <v>1652000</v>
      </c>
      <c r="Q85" s="46">
        <f t="shared" si="12"/>
        <v>1.1084466046777521</v>
      </c>
      <c r="R85" s="9"/>
    </row>
    <row r="86" spans="1:18">
      <c r="A86" s="11"/>
      <c r="B86" s="24">
        <v>342.6</v>
      </c>
      <c r="C86" s="19" t="s">
        <v>91</v>
      </c>
      <c r="D86" s="45">
        <v>25663000</v>
      </c>
      <c r="E86" s="45">
        <v>0</v>
      </c>
      <c r="F86" s="45">
        <v>0</v>
      </c>
      <c r="G86" s="45">
        <v>0</v>
      </c>
      <c r="H86" s="45">
        <v>0</v>
      </c>
      <c r="I86" s="45">
        <v>0</v>
      </c>
      <c r="J86" s="45">
        <v>0</v>
      </c>
      <c r="K86" s="45">
        <v>0</v>
      </c>
      <c r="L86" s="45">
        <v>0</v>
      </c>
      <c r="M86" s="45">
        <v>0</v>
      </c>
      <c r="N86" s="45">
        <v>0</v>
      </c>
      <c r="O86" s="45">
        <v>0</v>
      </c>
      <c r="P86" s="45">
        <f t="shared" si="15"/>
        <v>25663000</v>
      </c>
      <c r="Q86" s="46">
        <f t="shared" si="12"/>
        <v>17.219167806201664</v>
      </c>
      <c r="R86" s="9"/>
    </row>
    <row r="87" spans="1:18">
      <c r="A87" s="11"/>
      <c r="B87" s="24">
        <v>342.9</v>
      </c>
      <c r="C87" s="19" t="s">
        <v>92</v>
      </c>
      <c r="D87" s="45">
        <v>1185000</v>
      </c>
      <c r="E87" s="45">
        <v>1326000</v>
      </c>
      <c r="F87" s="45">
        <v>0</v>
      </c>
      <c r="G87" s="45">
        <v>0</v>
      </c>
      <c r="H87" s="45">
        <v>0</v>
      </c>
      <c r="I87" s="45">
        <v>0</v>
      </c>
      <c r="J87" s="45">
        <v>0</v>
      </c>
      <c r="K87" s="45">
        <v>0</v>
      </c>
      <c r="L87" s="45">
        <v>0</v>
      </c>
      <c r="M87" s="45">
        <v>0</v>
      </c>
      <c r="N87" s="45">
        <v>0</v>
      </c>
      <c r="O87" s="45">
        <v>0</v>
      </c>
      <c r="P87" s="45">
        <f t="shared" si="15"/>
        <v>2511000</v>
      </c>
      <c r="Q87" s="46">
        <f t="shared" si="12"/>
        <v>1.6848120002093434</v>
      </c>
      <c r="R87" s="9"/>
    </row>
    <row r="88" spans="1:18">
      <c r="A88" s="11"/>
      <c r="B88" s="24">
        <v>343.4</v>
      </c>
      <c r="C88" s="19" t="s">
        <v>93</v>
      </c>
      <c r="D88" s="45">
        <v>0</v>
      </c>
      <c r="E88" s="45">
        <v>0</v>
      </c>
      <c r="F88" s="45">
        <v>0</v>
      </c>
      <c r="G88" s="45">
        <v>0</v>
      </c>
      <c r="H88" s="45">
        <v>0</v>
      </c>
      <c r="I88" s="45">
        <v>135002000</v>
      </c>
      <c r="J88" s="45">
        <v>0</v>
      </c>
      <c r="K88" s="45">
        <v>0</v>
      </c>
      <c r="L88" s="45">
        <v>0</v>
      </c>
      <c r="M88" s="45">
        <v>0</v>
      </c>
      <c r="N88" s="45">
        <v>0</v>
      </c>
      <c r="O88" s="45">
        <v>0</v>
      </c>
      <c r="P88" s="45">
        <f t="shared" si="15"/>
        <v>135002000</v>
      </c>
      <c r="Q88" s="46">
        <f t="shared" si="12"/>
        <v>90.582632278877654</v>
      </c>
      <c r="R88" s="9"/>
    </row>
    <row r="89" spans="1:18">
      <c r="A89" s="11"/>
      <c r="B89" s="24">
        <v>343.6</v>
      </c>
      <c r="C89" s="19" t="s">
        <v>94</v>
      </c>
      <c r="D89" s="45">
        <v>0</v>
      </c>
      <c r="E89" s="45">
        <v>0</v>
      </c>
      <c r="F89" s="45">
        <v>0</v>
      </c>
      <c r="G89" s="45">
        <v>0</v>
      </c>
      <c r="H89" s="45">
        <v>0</v>
      </c>
      <c r="I89" s="45">
        <v>307939000</v>
      </c>
      <c r="J89" s="45">
        <v>0</v>
      </c>
      <c r="K89" s="45">
        <v>0</v>
      </c>
      <c r="L89" s="45">
        <v>0</v>
      </c>
      <c r="M89" s="45">
        <v>0</v>
      </c>
      <c r="N89" s="45">
        <v>0</v>
      </c>
      <c r="O89" s="45">
        <v>0</v>
      </c>
      <c r="P89" s="45">
        <f t="shared" si="15"/>
        <v>307939000</v>
      </c>
      <c r="Q89" s="46">
        <f t="shared" si="12"/>
        <v>206.61860714156313</v>
      </c>
      <c r="R89" s="9"/>
    </row>
    <row r="90" spans="1:18">
      <c r="A90" s="11"/>
      <c r="B90" s="24">
        <v>343.7</v>
      </c>
      <c r="C90" s="19" t="s">
        <v>95</v>
      </c>
      <c r="D90" s="45">
        <v>2348000</v>
      </c>
      <c r="E90" s="45">
        <v>2404000</v>
      </c>
      <c r="F90" s="45">
        <v>0</v>
      </c>
      <c r="G90" s="45">
        <v>0</v>
      </c>
      <c r="H90" s="45">
        <v>0</v>
      </c>
      <c r="I90" s="45">
        <v>0</v>
      </c>
      <c r="J90" s="45">
        <v>0</v>
      </c>
      <c r="K90" s="45">
        <v>0</v>
      </c>
      <c r="L90" s="45">
        <v>0</v>
      </c>
      <c r="M90" s="45">
        <v>0</v>
      </c>
      <c r="N90" s="45">
        <v>0</v>
      </c>
      <c r="O90" s="45">
        <v>305000</v>
      </c>
      <c r="P90" s="45">
        <f t="shared" si="15"/>
        <v>5057000</v>
      </c>
      <c r="Q90" s="46">
        <f t="shared" si="12"/>
        <v>3.3931080386533852</v>
      </c>
      <c r="R90" s="9"/>
    </row>
    <row r="91" spans="1:18">
      <c r="A91" s="11"/>
      <c r="B91" s="24">
        <v>343.9</v>
      </c>
      <c r="C91" s="19" t="s">
        <v>96</v>
      </c>
      <c r="D91" s="45">
        <v>1420000</v>
      </c>
      <c r="E91" s="45">
        <v>427000</v>
      </c>
      <c r="F91" s="45">
        <v>0</v>
      </c>
      <c r="G91" s="45">
        <v>0</v>
      </c>
      <c r="H91" s="45">
        <v>0</v>
      </c>
      <c r="I91" s="45">
        <v>0</v>
      </c>
      <c r="J91" s="45">
        <v>0</v>
      </c>
      <c r="K91" s="45">
        <v>0</v>
      </c>
      <c r="L91" s="45">
        <v>0</v>
      </c>
      <c r="M91" s="45">
        <v>0</v>
      </c>
      <c r="N91" s="45">
        <v>0</v>
      </c>
      <c r="O91" s="45">
        <v>0</v>
      </c>
      <c r="P91" s="45">
        <f t="shared" si="15"/>
        <v>1847000</v>
      </c>
      <c r="Q91" s="46">
        <f t="shared" si="12"/>
        <v>1.2392862462710703</v>
      </c>
      <c r="R91" s="9"/>
    </row>
    <row r="92" spans="1:18">
      <c r="A92" s="11"/>
      <c r="B92" s="24">
        <v>344.5</v>
      </c>
      <c r="C92" s="19" t="s">
        <v>221</v>
      </c>
      <c r="D92" s="45">
        <v>344000</v>
      </c>
      <c r="E92" s="45">
        <v>0</v>
      </c>
      <c r="F92" s="45">
        <v>0</v>
      </c>
      <c r="G92" s="45">
        <v>0</v>
      </c>
      <c r="H92" s="45">
        <v>0</v>
      </c>
      <c r="I92" s="45">
        <v>0</v>
      </c>
      <c r="J92" s="45">
        <v>1000</v>
      </c>
      <c r="K92" s="45">
        <v>0</v>
      </c>
      <c r="L92" s="45">
        <v>0</v>
      </c>
      <c r="M92" s="45">
        <v>0</v>
      </c>
      <c r="N92" s="45">
        <v>0</v>
      </c>
      <c r="O92" s="45">
        <v>0</v>
      </c>
      <c r="P92" s="45">
        <f t="shared" si="15"/>
        <v>345000</v>
      </c>
      <c r="Q92" s="46">
        <f t="shared" si="12"/>
        <v>0.2314855197420245</v>
      </c>
      <c r="R92" s="9"/>
    </row>
    <row r="93" spans="1:18">
      <c r="A93" s="11"/>
      <c r="B93" s="24">
        <v>344.9</v>
      </c>
      <c r="C93" s="19" t="s">
        <v>222</v>
      </c>
      <c r="D93" s="45">
        <v>677000</v>
      </c>
      <c r="E93" s="45">
        <v>1494000</v>
      </c>
      <c r="F93" s="45">
        <v>0</v>
      </c>
      <c r="G93" s="45">
        <v>0</v>
      </c>
      <c r="H93" s="45">
        <v>0</v>
      </c>
      <c r="I93" s="45">
        <v>0</v>
      </c>
      <c r="J93" s="45">
        <v>0</v>
      </c>
      <c r="K93" s="45">
        <v>0</v>
      </c>
      <c r="L93" s="45">
        <v>0</v>
      </c>
      <c r="M93" s="45">
        <v>0</v>
      </c>
      <c r="N93" s="45">
        <v>0</v>
      </c>
      <c r="O93" s="45">
        <v>0</v>
      </c>
      <c r="P93" s="45">
        <f t="shared" si="15"/>
        <v>2171000</v>
      </c>
      <c r="Q93" s="46">
        <f t="shared" si="12"/>
        <v>1.4566813430722758</v>
      </c>
      <c r="R93" s="9"/>
    </row>
    <row r="94" spans="1:18">
      <c r="A94" s="11"/>
      <c r="B94" s="24">
        <v>345.1</v>
      </c>
      <c r="C94" s="19" t="s">
        <v>99</v>
      </c>
      <c r="D94" s="45">
        <v>0</v>
      </c>
      <c r="E94" s="45">
        <v>0</v>
      </c>
      <c r="F94" s="45">
        <v>0</v>
      </c>
      <c r="G94" s="45">
        <v>0</v>
      </c>
      <c r="H94" s="45">
        <v>0</v>
      </c>
      <c r="I94" s="45">
        <v>0</v>
      </c>
      <c r="J94" s="45">
        <v>0</v>
      </c>
      <c r="K94" s="45">
        <v>0</v>
      </c>
      <c r="L94" s="45">
        <v>0</v>
      </c>
      <c r="M94" s="45">
        <v>0</v>
      </c>
      <c r="N94" s="45">
        <v>0</v>
      </c>
      <c r="O94" s="45">
        <v>1009000</v>
      </c>
      <c r="P94" s="45">
        <f t="shared" si="15"/>
        <v>1009000</v>
      </c>
      <c r="Q94" s="46">
        <f t="shared" si="12"/>
        <v>0.67701127368029768</v>
      </c>
      <c r="R94" s="9"/>
    </row>
    <row r="95" spans="1:18">
      <c r="A95" s="11"/>
      <c r="B95" s="24">
        <v>345.9</v>
      </c>
      <c r="C95" s="19" t="s">
        <v>100</v>
      </c>
      <c r="D95" s="45">
        <v>84000</v>
      </c>
      <c r="E95" s="45">
        <v>0</v>
      </c>
      <c r="F95" s="45">
        <v>0</v>
      </c>
      <c r="G95" s="45">
        <v>0</v>
      </c>
      <c r="H95" s="45">
        <v>0</v>
      </c>
      <c r="I95" s="45">
        <v>0</v>
      </c>
      <c r="J95" s="45">
        <v>0</v>
      </c>
      <c r="K95" s="45">
        <v>0</v>
      </c>
      <c r="L95" s="45">
        <v>0</v>
      </c>
      <c r="M95" s="45">
        <v>0</v>
      </c>
      <c r="N95" s="45">
        <v>0</v>
      </c>
      <c r="O95" s="45">
        <v>0</v>
      </c>
      <c r="P95" s="45">
        <f t="shared" si="15"/>
        <v>84000</v>
      </c>
      <c r="Q95" s="46">
        <f t="shared" si="12"/>
        <v>5.6361691763275525E-2</v>
      </c>
      <c r="R95" s="9"/>
    </row>
    <row r="96" spans="1:18">
      <c r="A96" s="11"/>
      <c r="B96" s="24">
        <v>346.4</v>
      </c>
      <c r="C96" s="19" t="s">
        <v>101</v>
      </c>
      <c r="D96" s="45">
        <v>31000</v>
      </c>
      <c r="E96" s="45">
        <v>0</v>
      </c>
      <c r="F96" s="45">
        <v>0</v>
      </c>
      <c r="G96" s="45">
        <v>0</v>
      </c>
      <c r="H96" s="45">
        <v>0</v>
      </c>
      <c r="I96" s="45">
        <v>0</v>
      </c>
      <c r="J96" s="45">
        <v>0</v>
      </c>
      <c r="K96" s="45">
        <v>0</v>
      </c>
      <c r="L96" s="45">
        <v>0</v>
      </c>
      <c r="M96" s="45">
        <v>0</v>
      </c>
      <c r="N96" s="45">
        <v>0</v>
      </c>
      <c r="O96" s="45">
        <v>0</v>
      </c>
      <c r="P96" s="45">
        <f t="shared" si="15"/>
        <v>31000</v>
      </c>
      <c r="Q96" s="46">
        <f t="shared" si="12"/>
        <v>2.0800148150732636E-2</v>
      </c>
      <c r="R96" s="9"/>
    </row>
    <row r="97" spans="1:18">
      <c r="A97" s="11"/>
      <c r="B97" s="24">
        <v>346.9</v>
      </c>
      <c r="C97" s="19" t="s">
        <v>102</v>
      </c>
      <c r="D97" s="45">
        <v>4000</v>
      </c>
      <c r="E97" s="45">
        <v>0</v>
      </c>
      <c r="F97" s="45">
        <v>0</v>
      </c>
      <c r="G97" s="45">
        <v>0</v>
      </c>
      <c r="H97" s="45">
        <v>0</v>
      </c>
      <c r="I97" s="45">
        <v>0</v>
      </c>
      <c r="J97" s="45">
        <v>24246000</v>
      </c>
      <c r="K97" s="45">
        <v>0</v>
      </c>
      <c r="L97" s="45">
        <v>0</v>
      </c>
      <c r="M97" s="45">
        <v>0</v>
      </c>
      <c r="N97" s="45">
        <v>0</v>
      </c>
      <c r="O97" s="45">
        <v>0</v>
      </c>
      <c r="P97" s="45">
        <f t="shared" si="15"/>
        <v>24250000</v>
      </c>
      <c r="Q97" s="46">
        <f t="shared" si="12"/>
        <v>16.271083634040853</v>
      </c>
      <c r="R97" s="9"/>
    </row>
    <row r="98" spans="1:18">
      <c r="A98" s="11"/>
      <c r="B98" s="24">
        <v>347.1</v>
      </c>
      <c r="C98" s="19" t="s">
        <v>103</v>
      </c>
      <c r="D98" s="45">
        <v>0</v>
      </c>
      <c r="E98" s="45">
        <v>4000</v>
      </c>
      <c r="F98" s="45">
        <v>0</v>
      </c>
      <c r="G98" s="45">
        <v>0</v>
      </c>
      <c r="H98" s="45">
        <v>0</v>
      </c>
      <c r="I98" s="45">
        <v>0</v>
      </c>
      <c r="J98" s="45">
        <v>0</v>
      </c>
      <c r="K98" s="45">
        <v>0</v>
      </c>
      <c r="L98" s="45">
        <v>0</v>
      </c>
      <c r="M98" s="45">
        <v>0</v>
      </c>
      <c r="N98" s="45">
        <v>0</v>
      </c>
      <c r="O98" s="45">
        <v>0</v>
      </c>
      <c r="P98" s="45">
        <f t="shared" si="15"/>
        <v>4000</v>
      </c>
      <c r="Q98" s="46">
        <f t="shared" si="12"/>
        <v>2.6838900839655012E-3</v>
      </c>
      <c r="R98" s="9"/>
    </row>
    <row r="99" spans="1:18">
      <c r="A99" s="11"/>
      <c r="B99" s="24">
        <v>347.2</v>
      </c>
      <c r="C99" s="19" t="s">
        <v>104</v>
      </c>
      <c r="D99" s="45">
        <v>3098000</v>
      </c>
      <c r="E99" s="45">
        <v>0</v>
      </c>
      <c r="F99" s="45">
        <v>0</v>
      </c>
      <c r="G99" s="45">
        <v>0</v>
      </c>
      <c r="H99" s="45">
        <v>0</v>
      </c>
      <c r="I99" s="45">
        <v>0</v>
      </c>
      <c r="J99" s="45">
        <v>0</v>
      </c>
      <c r="K99" s="45">
        <v>0</v>
      </c>
      <c r="L99" s="45">
        <v>0</v>
      </c>
      <c r="M99" s="45">
        <v>0</v>
      </c>
      <c r="N99" s="45">
        <v>0</v>
      </c>
      <c r="O99" s="45">
        <v>0</v>
      </c>
      <c r="P99" s="45">
        <f t="shared" si="15"/>
        <v>3098000</v>
      </c>
      <c r="Q99" s="46">
        <f t="shared" si="12"/>
        <v>2.0786728700312809</v>
      </c>
      <c r="R99" s="9"/>
    </row>
    <row r="100" spans="1:18">
      <c r="A100" s="11"/>
      <c r="B100" s="24">
        <v>347.4</v>
      </c>
      <c r="C100" s="19" t="s">
        <v>105</v>
      </c>
      <c r="D100" s="45">
        <v>5000</v>
      </c>
      <c r="E100" s="45">
        <v>0</v>
      </c>
      <c r="F100" s="45">
        <v>145000</v>
      </c>
      <c r="G100" s="45">
        <v>0</v>
      </c>
      <c r="H100" s="45">
        <v>0</v>
      </c>
      <c r="I100" s="45">
        <v>0</v>
      </c>
      <c r="J100" s="45">
        <v>0</v>
      </c>
      <c r="K100" s="45">
        <v>0</v>
      </c>
      <c r="L100" s="45">
        <v>0</v>
      </c>
      <c r="M100" s="45">
        <v>0</v>
      </c>
      <c r="N100" s="45">
        <v>0</v>
      </c>
      <c r="O100" s="45">
        <v>0</v>
      </c>
      <c r="P100" s="45">
        <f t="shared" si="15"/>
        <v>150000</v>
      </c>
      <c r="Q100" s="46">
        <f t="shared" si="12"/>
        <v>0.10064587814870629</v>
      </c>
      <c r="R100" s="9"/>
    </row>
    <row r="101" spans="1:18">
      <c r="A101" s="11"/>
      <c r="B101" s="24">
        <v>347.5</v>
      </c>
      <c r="C101" s="19" t="s">
        <v>106</v>
      </c>
      <c r="D101" s="45">
        <v>297000</v>
      </c>
      <c r="E101" s="45">
        <v>0</v>
      </c>
      <c r="F101" s="45">
        <v>0</v>
      </c>
      <c r="G101" s="45">
        <v>0</v>
      </c>
      <c r="H101" s="45">
        <v>0</v>
      </c>
      <c r="I101" s="45">
        <v>0</v>
      </c>
      <c r="J101" s="45">
        <v>0</v>
      </c>
      <c r="K101" s="45">
        <v>0</v>
      </c>
      <c r="L101" s="45">
        <v>0</v>
      </c>
      <c r="M101" s="45">
        <v>0</v>
      </c>
      <c r="N101" s="45">
        <v>0</v>
      </c>
      <c r="O101" s="45">
        <v>0</v>
      </c>
      <c r="P101" s="45">
        <f t="shared" si="15"/>
        <v>297000</v>
      </c>
      <c r="Q101" s="46">
        <f t="shared" ref="Q101:Q132" si="16">(P101/Q$160)</f>
        <v>0.19927883873443847</v>
      </c>
      <c r="R101" s="9"/>
    </row>
    <row r="102" spans="1:18">
      <c r="A102" s="11"/>
      <c r="B102" s="24">
        <v>347.9</v>
      </c>
      <c r="C102" s="19" t="s">
        <v>107</v>
      </c>
      <c r="D102" s="45">
        <v>20000</v>
      </c>
      <c r="E102" s="45">
        <v>0</v>
      </c>
      <c r="F102" s="45">
        <v>0</v>
      </c>
      <c r="G102" s="45">
        <v>0</v>
      </c>
      <c r="H102" s="45">
        <v>0</v>
      </c>
      <c r="I102" s="45">
        <v>0</v>
      </c>
      <c r="J102" s="45">
        <v>0</v>
      </c>
      <c r="K102" s="45">
        <v>0</v>
      </c>
      <c r="L102" s="45">
        <v>0</v>
      </c>
      <c r="M102" s="45">
        <v>0</v>
      </c>
      <c r="N102" s="45">
        <v>0</v>
      </c>
      <c r="O102" s="45">
        <v>0</v>
      </c>
      <c r="P102" s="45">
        <f t="shared" si="15"/>
        <v>20000</v>
      </c>
      <c r="Q102" s="46">
        <f t="shared" si="16"/>
        <v>1.3419450419827506E-2</v>
      </c>
      <c r="R102" s="9"/>
    </row>
    <row r="103" spans="1:18">
      <c r="A103" s="11"/>
      <c r="B103" s="24">
        <v>348.11</v>
      </c>
      <c r="C103" s="19" t="s">
        <v>244</v>
      </c>
      <c r="D103" s="45">
        <v>0</v>
      </c>
      <c r="E103" s="45">
        <v>38000</v>
      </c>
      <c r="F103" s="45">
        <v>0</v>
      </c>
      <c r="G103" s="45">
        <v>0</v>
      </c>
      <c r="H103" s="45">
        <v>0</v>
      </c>
      <c r="I103" s="45">
        <v>0</v>
      </c>
      <c r="J103" s="45">
        <v>0</v>
      </c>
      <c r="K103" s="45">
        <v>0</v>
      </c>
      <c r="L103" s="45">
        <v>0</v>
      </c>
      <c r="M103" s="45">
        <v>0</v>
      </c>
      <c r="N103" s="45">
        <v>0</v>
      </c>
      <c r="O103" s="45">
        <v>0</v>
      </c>
      <c r="P103" s="45">
        <f>SUM(D103:O103)</f>
        <v>38000</v>
      </c>
      <c r="Q103" s="46">
        <f t="shared" si="16"/>
        <v>2.5496955797672263E-2</v>
      </c>
      <c r="R103" s="9"/>
    </row>
    <row r="104" spans="1:18">
      <c r="A104" s="11"/>
      <c r="B104" s="24">
        <v>348.12</v>
      </c>
      <c r="C104" s="19" t="s">
        <v>245</v>
      </c>
      <c r="D104" s="45">
        <v>0</v>
      </c>
      <c r="E104" s="45">
        <v>85000</v>
      </c>
      <c r="F104" s="45">
        <v>0</v>
      </c>
      <c r="G104" s="45">
        <v>0</v>
      </c>
      <c r="H104" s="45">
        <v>0</v>
      </c>
      <c r="I104" s="45">
        <v>0</v>
      </c>
      <c r="J104" s="45">
        <v>0</v>
      </c>
      <c r="K104" s="45">
        <v>0</v>
      </c>
      <c r="L104" s="45">
        <v>0</v>
      </c>
      <c r="M104" s="45">
        <v>0</v>
      </c>
      <c r="N104" s="45">
        <v>0</v>
      </c>
      <c r="O104" s="45">
        <v>0</v>
      </c>
      <c r="P104" s="45">
        <f t="shared" ref="P104:P119" si="17">SUM(D104:O104)</f>
        <v>85000</v>
      </c>
      <c r="Q104" s="46">
        <f t="shared" si="16"/>
        <v>5.7032664284266905E-2</v>
      </c>
      <c r="R104" s="9"/>
    </row>
    <row r="105" spans="1:18">
      <c r="A105" s="11"/>
      <c r="B105" s="24">
        <v>348.13</v>
      </c>
      <c r="C105" s="19" t="s">
        <v>246</v>
      </c>
      <c r="D105" s="45">
        <v>0</v>
      </c>
      <c r="E105" s="45">
        <v>198000</v>
      </c>
      <c r="F105" s="45">
        <v>0</v>
      </c>
      <c r="G105" s="45">
        <v>0</v>
      </c>
      <c r="H105" s="45">
        <v>0</v>
      </c>
      <c r="I105" s="45">
        <v>0</v>
      </c>
      <c r="J105" s="45">
        <v>0</v>
      </c>
      <c r="K105" s="45">
        <v>0</v>
      </c>
      <c r="L105" s="45">
        <v>0</v>
      </c>
      <c r="M105" s="45">
        <v>0</v>
      </c>
      <c r="N105" s="45">
        <v>0</v>
      </c>
      <c r="O105" s="45">
        <v>0</v>
      </c>
      <c r="P105" s="45">
        <f t="shared" si="17"/>
        <v>198000</v>
      </c>
      <c r="Q105" s="46">
        <f t="shared" si="16"/>
        <v>0.13285255915629232</v>
      </c>
      <c r="R105" s="9"/>
    </row>
    <row r="106" spans="1:18">
      <c r="A106" s="11"/>
      <c r="B106" s="24">
        <v>348.21</v>
      </c>
      <c r="C106" s="19" t="s">
        <v>284</v>
      </c>
      <c r="D106" s="45">
        <v>0</v>
      </c>
      <c r="E106" s="45">
        <v>5000</v>
      </c>
      <c r="F106" s="45">
        <v>0</v>
      </c>
      <c r="G106" s="45">
        <v>0</v>
      </c>
      <c r="H106" s="45">
        <v>0</v>
      </c>
      <c r="I106" s="45">
        <v>0</v>
      </c>
      <c r="J106" s="45">
        <v>0</v>
      </c>
      <c r="K106" s="45">
        <v>0</v>
      </c>
      <c r="L106" s="45">
        <v>0</v>
      </c>
      <c r="M106" s="45">
        <v>0</v>
      </c>
      <c r="N106" s="45">
        <v>0</v>
      </c>
      <c r="O106" s="45">
        <v>0</v>
      </c>
      <c r="P106" s="45">
        <f t="shared" si="17"/>
        <v>5000</v>
      </c>
      <c r="Q106" s="46">
        <f t="shared" si="16"/>
        <v>3.3548626049568764E-3</v>
      </c>
      <c r="R106" s="9"/>
    </row>
    <row r="107" spans="1:18">
      <c r="A107" s="11"/>
      <c r="B107" s="24">
        <v>348.22</v>
      </c>
      <c r="C107" s="19" t="s">
        <v>247</v>
      </c>
      <c r="D107" s="45">
        <v>0</v>
      </c>
      <c r="E107" s="45">
        <v>81000</v>
      </c>
      <c r="F107" s="45">
        <v>0</v>
      </c>
      <c r="G107" s="45">
        <v>0</v>
      </c>
      <c r="H107" s="45">
        <v>0</v>
      </c>
      <c r="I107" s="45">
        <v>0</v>
      </c>
      <c r="J107" s="45">
        <v>0</v>
      </c>
      <c r="K107" s="45">
        <v>0</v>
      </c>
      <c r="L107" s="45">
        <v>0</v>
      </c>
      <c r="M107" s="45">
        <v>0</v>
      </c>
      <c r="N107" s="45">
        <v>0</v>
      </c>
      <c r="O107" s="45">
        <v>0</v>
      </c>
      <c r="P107" s="45">
        <f t="shared" si="17"/>
        <v>81000</v>
      </c>
      <c r="Q107" s="46">
        <f t="shared" si="16"/>
        <v>5.4348774200301403E-2</v>
      </c>
      <c r="R107" s="9"/>
    </row>
    <row r="108" spans="1:18">
      <c r="A108" s="11"/>
      <c r="B108" s="24">
        <v>348.23</v>
      </c>
      <c r="C108" s="19" t="s">
        <v>248</v>
      </c>
      <c r="D108" s="45">
        <v>0</v>
      </c>
      <c r="E108" s="45">
        <v>743000</v>
      </c>
      <c r="F108" s="45">
        <v>0</v>
      </c>
      <c r="G108" s="45">
        <v>0</v>
      </c>
      <c r="H108" s="45">
        <v>0</v>
      </c>
      <c r="I108" s="45">
        <v>0</v>
      </c>
      <c r="J108" s="45">
        <v>0</v>
      </c>
      <c r="K108" s="45">
        <v>0</v>
      </c>
      <c r="L108" s="45">
        <v>0</v>
      </c>
      <c r="M108" s="45">
        <v>0</v>
      </c>
      <c r="N108" s="45">
        <v>0</v>
      </c>
      <c r="O108" s="45">
        <v>0</v>
      </c>
      <c r="P108" s="45">
        <f t="shared" si="17"/>
        <v>743000</v>
      </c>
      <c r="Q108" s="46">
        <f t="shared" si="16"/>
        <v>0.49853258309659187</v>
      </c>
      <c r="R108" s="9"/>
    </row>
    <row r="109" spans="1:18">
      <c r="A109" s="11"/>
      <c r="B109" s="24">
        <v>348.31</v>
      </c>
      <c r="C109" s="19" t="s">
        <v>249</v>
      </c>
      <c r="D109" s="45">
        <v>0</v>
      </c>
      <c r="E109" s="45">
        <v>16049000</v>
      </c>
      <c r="F109" s="45">
        <v>0</v>
      </c>
      <c r="G109" s="45">
        <v>0</v>
      </c>
      <c r="H109" s="45">
        <v>0</v>
      </c>
      <c r="I109" s="45">
        <v>0</v>
      </c>
      <c r="J109" s="45">
        <v>0</v>
      </c>
      <c r="K109" s="45">
        <v>0</v>
      </c>
      <c r="L109" s="45">
        <v>0</v>
      </c>
      <c r="M109" s="45">
        <v>0</v>
      </c>
      <c r="N109" s="45">
        <v>0</v>
      </c>
      <c r="O109" s="45">
        <v>0</v>
      </c>
      <c r="P109" s="45">
        <f t="shared" si="17"/>
        <v>16049000</v>
      </c>
      <c r="Q109" s="46">
        <f t="shared" si="16"/>
        <v>10.768437989390582</v>
      </c>
      <c r="R109" s="9"/>
    </row>
    <row r="110" spans="1:18">
      <c r="A110" s="11"/>
      <c r="B110" s="24">
        <v>348.32</v>
      </c>
      <c r="C110" s="19" t="s">
        <v>250</v>
      </c>
      <c r="D110" s="45">
        <v>0</v>
      </c>
      <c r="E110" s="45">
        <v>184000</v>
      </c>
      <c r="F110" s="45">
        <v>0</v>
      </c>
      <c r="G110" s="45">
        <v>0</v>
      </c>
      <c r="H110" s="45">
        <v>0</v>
      </c>
      <c r="I110" s="45">
        <v>0</v>
      </c>
      <c r="J110" s="45">
        <v>0</v>
      </c>
      <c r="K110" s="45">
        <v>0</v>
      </c>
      <c r="L110" s="45">
        <v>0</v>
      </c>
      <c r="M110" s="45">
        <v>0</v>
      </c>
      <c r="N110" s="45">
        <v>0</v>
      </c>
      <c r="O110" s="45">
        <v>0</v>
      </c>
      <c r="P110" s="45">
        <f t="shared" si="17"/>
        <v>184000</v>
      </c>
      <c r="Q110" s="46">
        <f t="shared" si="16"/>
        <v>0.12345894386241306</v>
      </c>
      <c r="R110" s="9"/>
    </row>
    <row r="111" spans="1:18">
      <c r="A111" s="11"/>
      <c r="B111" s="24">
        <v>348.41</v>
      </c>
      <c r="C111" s="19" t="s">
        <v>251</v>
      </c>
      <c r="D111" s="45">
        <v>0</v>
      </c>
      <c r="E111" s="45">
        <v>3540000</v>
      </c>
      <c r="F111" s="45">
        <v>0</v>
      </c>
      <c r="G111" s="45">
        <v>0</v>
      </c>
      <c r="H111" s="45">
        <v>0</v>
      </c>
      <c r="I111" s="45">
        <v>0</v>
      </c>
      <c r="J111" s="45">
        <v>0</v>
      </c>
      <c r="K111" s="45">
        <v>0</v>
      </c>
      <c r="L111" s="45">
        <v>0</v>
      </c>
      <c r="M111" s="45">
        <v>0</v>
      </c>
      <c r="N111" s="45">
        <v>0</v>
      </c>
      <c r="O111" s="45">
        <v>0</v>
      </c>
      <c r="P111" s="45">
        <f t="shared" si="17"/>
        <v>3540000</v>
      </c>
      <c r="Q111" s="46">
        <f t="shared" si="16"/>
        <v>2.3752427243094685</v>
      </c>
      <c r="R111" s="9"/>
    </row>
    <row r="112" spans="1:18">
      <c r="A112" s="11"/>
      <c r="B112" s="24">
        <v>348.42</v>
      </c>
      <c r="C112" s="19" t="s">
        <v>252</v>
      </c>
      <c r="D112" s="45">
        <v>0</v>
      </c>
      <c r="E112" s="45">
        <v>1238000</v>
      </c>
      <c r="F112" s="45">
        <v>0</v>
      </c>
      <c r="G112" s="45">
        <v>0</v>
      </c>
      <c r="H112" s="45">
        <v>0</v>
      </c>
      <c r="I112" s="45">
        <v>0</v>
      </c>
      <c r="J112" s="45">
        <v>0</v>
      </c>
      <c r="K112" s="45">
        <v>0</v>
      </c>
      <c r="L112" s="45">
        <v>0</v>
      </c>
      <c r="M112" s="45">
        <v>0</v>
      </c>
      <c r="N112" s="45">
        <v>0</v>
      </c>
      <c r="O112" s="45">
        <v>0</v>
      </c>
      <c r="P112" s="45">
        <f t="shared" si="17"/>
        <v>1238000</v>
      </c>
      <c r="Q112" s="46">
        <f t="shared" si="16"/>
        <v>0.83066398098732264</v>
      </c>
      <c r="R112" s="9"/>
    </row>
    <row r="113" spans="1:18">
      <c r="A113" s="11"/>
      <c r="B113" s="24">
        <v>348.51</v>
      </c>
      <c r="C113" s="19" t="s">
        <v>318</v>
      </c>
      <c r="D113" s="45">
        <v>0</v>
      </c>
      <c r="E113" s="45">
        <v>3000</v>
      </c>
      <c r="F113" s="45">
        <v>0</v>
      </c>
      <c r="G113" s="45">
        <v>0</v>
      </c>
      <c r="H113" s="45">
        <v>0</v>
      </c>
      <c r="I113" s="45">
        <v>0</v>
      </c>
      <c r="J113" s="45">
        <v>0</v>
      </c>
      <c r="K113" s="45">
        <v>0</v>
      </c>
      <c r="L113" s="45">
        <v>0</v>
      </c>
      <c r="M113" s="45">
        <v>0</v>
      </c>
      <c r="N113" s="45">
        <v>0</v>
      </c>
      <c r="O113" s="45">
        <v>0</v>
      </c>
      <c r="P113" s="45">
        <f t="shared" si="17"/>
        <v>3000</v>
      </c>
      <c r="Q113" s="46">
        <f t="shared" si="16"/>
        <v>2.012917562974126E-3</v>
      </c>
      <c r="R113" s="9"/>
    </row>
    <row r="114" spans="1:18">
      <c r="A114" s="11"/>
      <c r="B114" s="24">
        <v>348.52</v>
      </c>
      <c r="C114" s="19" t="s">
        <v>319</v>
      </c>
      <c r="D114" s="45">
        <v>0</v>
      </c>
      <c r="E114" s="45">
        <v>1076000</v>
      </c>
      <c r="F114" s="45">
        <v>0</v>
      </c>
      <c r="G114" s="45">
        <v>0</v>
      </c>
      <c r="H114" s="45">
        <v>0</v>
      </c>
      <c r="I114" s="45">
        <v>0</v>
      </c>
      <c r="J114" s="45">
        <v>0</v>
      </c>
      <c r="K114" s="45">
        <v>0</v>
      </c>
      <c r="L114" s="45">
        <v>0</v>
      </c>
      <c r="M114" s="45">
        <v>0</v>
      </c>
      <c r="N114" s="45">
        <v>0</v>
      </c>
      <c r="O114" s="45">
        <v>0</v>
      </c>
      <c r="P114" s="45">
        <f t="shared" si="17"/>
        <v>1076000</v>
      </c>
      <c r="Q114" s="46">
        <f t="shared" si="16"/>
        <v>0.72196643258671989</v>
      </c>
      <c r="R114" s="9"/>
    </row>
    <row r="115" spans="1:18">
      <c r="A115" s="11"/>
      <c r="B115" s="24">
        <v>348.53</v>
      </c>
      <c r="C115" s="19" t="s">
        <v>320</v>
      </c>
      <c r="D115" s="45">
        <v>0</v>
      </c>
      <c r="E115" s="45">
        <v>2570000</v>
      </c>
      <c r="F115" s="45">
        <v>0</v>
      </c>
      <c r="G115" s="45">
        <v>0</v>
      </c>
      <c r="H115" s="45">
        <v>0</v>
      </c>
      <c r="I115" s="45">
        <v>0</v>
      </c>
      <c r="J115" s="45">
        <v>0</v>
      </c>
      <c r="K115" s="45">
        <v>0</v>
      </c>
      <c r="L115" s="45">
        <v>0</v>
      </c>
      <c r="M115" s="45">
        <v>0</v>
      </c>
      <c r="N115" s="45">
        <v>0</v>
      </c>
      <c r="O115" s="45">
        <v>0</v>
      </c>
      <c r="P115" s="45">
        <f t="shared" si="17"/>
        <v>2570000</v>
      </c>
      <c r="Q115" s="46">
        <f t="shared" si="16"/>
        <v>1.7243993789478345</v>
      </c>
      <c r="R115" s="9"/>
    </row>
    <row r="116" spans="1:18">
      <c r="A116" s="11"/>
      <c r="B116" s="24">
        <v>348.61</v>
      </c>
      <c r="C116" s="19" t="s">
        <v>257</v>
      </c>
      <c r="D116" s="45">
        <v>0</v>
      </c>
      <c r="E116" s="45">
        <v>37000</v>
      </c>
      <c r="F116" s="45">
        <v>0</v>
      </c>
      <c r="G116" s="45">
        <v>0</v>
      </c>
      <c r="H116" s="45">
        <v>0</v>
      </c>
      <c r="I116" s="45">
        <v>0</v>
      </c>
      <c r="J116" s="45">
        <v>0</v>
      </c>
      <c r="K116" s="45">
        <v>0</v>
      </c>
      <c r="L116" s="45">
        <v>0</v>
      </c>
      <c r="M116" s="45">
        <v>0</v>
      </c>
      <c r="N116" s="45">
        <v>0</v>
      </c>
      <c r="O116" s="45">
        <v>0</v>
      </c>
      <c r="P116" s="45">
        <f t="shared" si="17"/>
        <v>37000</v>
      </c>
      <c r="Q116" s="46">
        <f t="shared" si="16"/>
        <v>2.4825983276680886E-2</v>
      </c>
      <c r="R116" s="9"/>
    </row>
    <row r="117" spans="1:18">
      <c r="A117" s="11"/>
      <c r="B117" s="24">
        <v>348.62</v>
      </c>
      <c r="C117" s="19" t="s">
        <v>258</v>
      </c>
      <c r="D117" s="45">
        <v>0</v>
      </c>
      <c r="E117" s="45">
        <v>4000</v>
      </c>
      <c r="F117" s="45">
        <v>0</v>
      </c>
      <c r="G117" s="45">
        <v>0</v>
      </c>
      <c r="H117" s="45">
        <v>0</v>
      </c>
      <c r="I117" s="45">
        <v>0</v>
      </c>
      <c r="J117" s="45">
        <v>0</v>
      </c>
      <c r="K117" s="45">
        <v>0</v>
      </c>
      <c r="L117" s="45">
        <v>0</v>
      </c>
      <c r="M117" s="45">
        <v>0</v>
      </c>
      <c r="N117" s="45">
        <v>0</v>
      </c>
      <c r="O117" s="45">
        <v>0</v>
      </c>
      <c r="P117" s="45">
        <f t="shared" si="17"/>
        <v>4000</v>
      </c>
      <c r="Q117" s="46">
        <f t="shared" si="16"/>
        <v>2.6838900839655012E-3</v>
      </c>
      <c r="R117" s="9"/>
    </row>
    <row r="118" spans="1:18">
      <c r="A118" s="11"/>
      <c r="B118" s="24">
        <v>348.71</v>
      </c>
      <c r="C118" s="19" t="s">
        <v>259</v>
      </c>
      <c r="D118" s="45">
        <v>0</v>
      </c>
      <c r="E118" s="45">
        <v>832000</v>
      </c>
      <c r="F118" s="45">
        <v>0</v>
      </c>
      <c r="G118" s="45">
        <v>0</v>
      </c>
      <c r="H118" s="45">
        <v>0</v>
      </c>
      <c r="I118" s="45">
        <v>0</v>
      </c>
      <c r="J118" s="45">
        <v>0</v>
      </c>
      <c r="K118" s="45">
        <v>0</v>
      </c>
      <c r="L118" s="45">
        <v>0</v>
      </c>
      <c r="M118" s="45">
        <v>0</v>
      </c>
      <c r="N118" s="45">
        <v>0</v>
      </c>
      <c r="O118" s="45">
        <v>0</v>
      </c>
      <c r="P118" s="45">
        <f t="shared" si="17"/>
        <v>832000</v>
      </c>
      <c r="Q118" s="46">
        <f t="shared" si="16"/>
        <v>0.5582491374648243</v>
      </c>
      <c r="R118" s="9"/>
    </row>
    <row r="119" spans="1:18">
      <c r="A119" s="11"/>
      <c r="B119" s="24">
        <v>348.72</v>
      </c>
      <c r="C119" s="19" t="s">
        <v>260</v>
      </c>
      <c r="D119" s="45">
        <v>0</v>
      </c>
      <c r="E119" s="45">
        <v>113000</v>
      </c>
      <c r="F119" s="45">
        <v>0</v>
      </c>
      <c r="G119" s="45">
        <v>0</v>
      </c>
      <c r="H119" s="45">
        <v>0</v>
      </c>
      <c r="I119" s="45">
        <v>0</v>
      </c>
      <c r="J119" s="45">
        <v>0</v>
      </c>
      <c r="K119" s="45">
        <v>0</v>
      </c>
      <c r="L119" s="45">
        <v>0</v>
      </c>
      <c r="M119" s="45">
        <v>0</v>
      </c>
      <c r="N119" s="45">
        <v>0</v>
      </c>
      <c r="O119" s="45">
        <v>0</v>
      </c>
      <c r="P119" s="45">
        <f t="shared" si="17"/>
        <v>113000</v>
      </c>
      <c r="Q119" s="46">
        <f t="shared" si="16"/>
        <v>7.5819894872025409E-2</v>
      </c>
      <c r="R119" s="9"/>
    </row>
    <row r="120" spans="1:18">
      <c r="A120" s="11"/>
      <c r="B120" s="24">
        <v>348.88</v>
      </c>
      <c r="C120" s="19" t="s">
        <v>223</v>
      </c>
      <c r="D120" s="45">
        <v>70000</v>
      </c>
      <c r="E120" s="45">
        <v>0</v>
      </c>
      <c r="F120" s="45">
        <v>0</v>
      </c>
      <c r="G120" s="45">
        <v>0</v>
      </c>
      <c r="H120" s="45">
        <v>0</v>
      </c>
      <c r="I120" s="45">
        <v>0</v>
      </c>
      <c r="J120" s="45">
        <v>0</v>
      </c>
      <c r="K120" s="45">
        <v>0</v>
      </c>
      <c r="L120" s="45">
        <v>0</v>
      </c>
      <c r="M120" s="45">
        <v>0</v>
      </c>
      <c r="N120" s="45">
        <v>0</v>
      </c>
      <c r="O120" s="45">
        <v>0</v>
      </c>
      <c r="P120" s="45">
        <f t="shared" si="15"/>
        <v>70000</v>
      </c>
      <c r="Q120" s="46">
        <f t="shared" si="16"/>
        <v>4.6968076469396269E-2</v>
      </c>
      <c r="R120" s="9"/>
    </row>
    <row r="121" spans="1:18">
      <c r="A121" s="11"/>
      <c r="B121" s="24">
        <v>348.92099999999999</v>
      </c>
      <c r="C121" s="19" t="s">
        <v>224</v>
      </c>
      <c r="D121" s="45">
        <v>0</v>
      </c>
      <c r="E121" s="45">
        <v>219000</v>
      </c>
      <c r="F121" s="45">
        <v>0</v>
      </c>
      <c r="G121" s="45">
        <v>0</v>
      </c>
      <c r="H121" s="45">
        <v>0</v>
      </c>
      <c r="I121" s="45">
        <v>0</v>
      </c>
      <c r="J121" s="45">
        <v>0</v>
      </c>
      <c r="K121" s="45">
        <v>0</v>
      </c>
      <c r="L121" s="45">
        <v>0</v>
      </c>
      <c r="M121" s="45">
        <v>0</v>
      </c>
      <c r="N121" s="45">
        <v>0</v>
      </c>
      <c r="O121" s="45">
        <v>0</v>
      </c>
      <c r="P121" s="45">
        <f t="shared" ref="P121:P127" si="18">SUM(D121:O121)</f>
        <v>219000</v>
      </c>
      <c r="Q121" s="46">
        <f t="shared" si="16"/>
        <v>0.14694298209711121</v>
      </c>
      <c r="R121" s="9"/>
    </row>
    <row r="122" spans="1:18">
      <c r="A122" s="11"/>
      <c r="B122" s="24">
        <v>348.92200000000003</v>
      </c>
      <c r="C122" s="19" t="s">
        <v>225</v>
      </c>
      <c r="D122" s="45">
        <v>0</v>
      </c>
      <c r="E122" s="45">
        <v>219000</v>
      </c>
      <c r="F122" s="45">
        <v>0</v>
      </c>
      <c r="G122" s="45">
        <v>0</v>
      </c>
      <c r="H122" s="45">
        <v>0</v>
      </c>
      <c r="I122" s="45">
        <v>0</v>
      </c>
      <c r="J122" s="45">
        <v>0</v>
      </c>
      <c r="K122" s="45">
        <v>0</v>
      </c>
      <c r="L122" s="45">
        <v>0</v>
      </c>
      <c r="M122" s="45">
        <v>0</v>
      </c>
      <c r="N122" s="45">
        <v>0</v>
      </c>
      <c r="O122" s="45">
        <v>0</v>
      </c>
      <c r="P122" s="45">
        <f t="shared" si="18"/>
        <v>219000</v>
      </c>
      <c r="Q122" s="46">
        <f t="shared" si="16"/>
        <v>0.14694298209711121</v>
      </c>
      <c r="R122" s="9"/>
    </row>
    <row r="123" spans="1:18">
      <c r="A123" s="11"/>
      <c r="B123" s="24">
        <v>348.923</v>
      </c>
      <c r="C123" s="19" t="s">
        <v>226</v>
      </c>
      <c r="D123" s="45">
        <v>0</v>
      </c>
      <c r="E123" s="45">
        <v>219000</v>
      </c>
      <c r="F123" s="45">
        <v>0</v>
      </c>
      <c r="G123" s="45">
        <v>0</v>
      </c>
      <c r="H123" s="45">
        <v>0</v>
      </c>
      <c r="I123" s="45">
        <v>0</v>
      </c>
      <c r="J123" s="45">
        <v>0</v>
      </c>
      <c r="K123" s="45">
        <v>0</v>
      </c>
      <c r="L123" s="45">
        <v>0</v>
      </c>
      <c r="M123" s="45">
        <v>0</v>
      </c>
      <c r="N123" s="45">
        <v>0</v>
      </c>
      <c r="O123" s="45">
        <v>0</v>
      </c>
      <c r="P123" s="45">
        <f t="shared" si="18"/>
        <v>219000</v>
      </c>
      <c r="Q123" s="46">
        <f t="shared" si="16"/>
        <v>0.14694298209711121</v>
      </c>
      <c r="R123" s="9"/>
    </row>
    <row r="124" spans="1:18">
      <c r="A124" s="11"/>
      <c r="B124" s="24">
        <v>348.92399999999998</v>
      </c>
      <c r="C124" s="19" t="s">
        <v>227</v>
      </c>
      <c r="D124" s="45">
        <v>0</v>
      </c>
      <c r="E124" s="45">
        <v>219000</v>
      </c>
      <c r="F124" s="45">
        <v>0</v>
      </c>
      <c r="G124" s="45">
        <v>0</v>
      </c>
      <c r="H124" s="45">
        <v>0</v>
      </c>
      <c r="I124" s="45">
        <v>0</v>
      </c>
      <c r="J124" s="45">
        <v>0</v>
      </c>
      <c r="K124" s="45">
        <v>0</v>
      </c>
      <c r="L124" s="45">
        <v>0</v>
      </c>
      <c r="M124" s="45">
        <v>0</v>
      </c>
      <c r="N124" s="45">
        <v>0</v>
      </c>
      <c r="O124" s="45">
        <v>0</v>
      </c>
      <c r="P124" s="45">
        <f t="shared" si="18"/>
        <v>219000</v>
      </c>
      <c r="Q124" s="46">
        <f t="shared" si="16"/>
        <v>0.14694298209711121</v>
      </c>
      <c r="R124" s="9"/>
    </row>
    <row r="125" spans="1:18">
      <c r="A125" s="11"/>
      <c r="B125" s="24">
        <v>348.93</v>
      </c>
      <c r="C125" s="19" t="s">
        <v>228</v>
      </c>
      <c r="D125" s="45">
        <v>5000</v>
      </c>
      <c r="E125" s="45">
        <v>2215000</v>
      </c>
      <c r="F125" s="45">
        <v>0</v>
      </c>
      <c r="G125" s="45">
        <v>0</v>
      </c>
      <c r="H125" s="45">
        <v>0</v>
      </c>
      <c r="I125" s="45">
        <v>0</v>
      </c>
      <c r="J125" s="45">
        <v>0</v>
      </c>
      <c r="K125" s="45">
        <v>0</v>
      </c>
      <c r="L125" s="45">
        <v>0</v>
      </c>
      <c r="M125" s="45">
        <v>0</v>
      </c>
      <c r="N125" s="45">
        <v>0</v>
      </c>
      <c r="O125" s="45">
        <v>0</v>
      </c>
      <c r="P125" s="45">
        <f t="shared" si="18"/>
        <v>2220000</v>
      </c>
      <c r="Q125" s="46">
        <f t="shared" si="16"/>
        <v>1.4895589966008531</v>
      </c>
      <c r="R125" s="9"/>
    </row>
    <row r="126" spans="1:18">
      <c r="A126" s="11"/>
      <c r="B126" s="24">
        <v>348.93200000000002</v>
      </c>
      <c r="C126" s="19" t="s">
        <v>229</v>
      </c>
      <c r="D126" s="45">
        <v>66000</v>
      </c>
      <c r="E126" s="45">
        <v>0</v>
      </c>
      <c r="F126" s="45">
        <v>0</v>
      </c>
      <c r="G126" s="45">
        <v>0</v>
      </c>
      <c r="H126" s="45">
        <v>0</v>
      </c>
      <c r="I126" s="45">
        <v>0</v>
      </c>
      <c r="J126" s="45">
        <v>0</v>
      </c>
      <c r="K126" s="45">
        <v>0</v>
      </c>
      <c r="L126" s="45">
        <v>0</v>
      </c>
      <c r="M126" s="45">
        <v>0</v>
      </c>
      <c r="N126" s="45">
        <v>0</v>
      </c>
      <c r="O126" s="45">
        <v>0</v>
      </c>
      <c r="P126" s="45">
        <f t="shared" si="18"/>
        <v>66000</v>
      </c>
      <c r="Q126" s="46">
        <f t="shared" si="16"/>
        <v>4.4284186385430774E-2</v>
      </c>
      <c r="R126" s="9"/>
    </row>
    <row r="127" spans="1:18">
      <c r="A127" s="11"/>
      <c r="B127" s="24">
        <v>348.99</v>
      </c>
      <c r="C127" s="19" t="s">
        <v>231</v>
      </c>
      <c r="D127" s="45">
        <v>0</v>
      </c>
      <c r="E127" s="45">
        <v>2026000</v>
      </c>
      <c r="F127" s="45">
        <v>0</v>
      </c>
      <c r="G127" s="45">
        <v>0</v>
      </c>
      <c r="H127" s="45">
        <v>0</v>
      </c>
      <c r="I127" s="45">
        <v>0</v>
      </c>
      <c r="J127" s="45">
        <v>0</v>
      </c>
      <c r="K127" s="45">
        <v>0</v>
      </c>
      <c r="L127" s="45">
        <v>0</v>
      </c>
      <c r="M127" s="45">
        <v>0</v>
      </c>
      <c r="N127" s="45">
        <v>0</v>
      </c>
      <c r="O127" s="45">
        <v>0</v>
      </c>
      <c r="P127" s="45">
        <f t="shared" si="18"/>
        <v>2026000</v>
      </c>
      <c r="Q127" s="46">
        <f t="shared" si="16"/>
        <v>1.3593903275285264</v>
      </c>
      <c r="R127" s="9"/>
    </row>
    <row r="128" spans="1:18">
      <c r="A128" s="11"/>
      <c r="B128" s="24">
        <v>349</v>
      </c>
      <c r="C128" s="19" t="s">
        <v>321</v>
      </c>
      <c r="D128" s="45">
        <v>19744000</v>
      </c>
      <c r="E128" s="45">
        <v>100000</v>
      </c>
      <c r="F128" s="45">
        <v>0</v>
      </c>
      <c r="G128" s="45">
        <v>0</v>
      </c>
      <c r="H128" s="45">
        <v>0</v>
      </c>
      <c r="I128" s="45">
        <v>0</v>
      </c>
      <c r="J128" s="45">
        <v>0</v>
      </c>
      <c r="K128" s="45">
        <v>0</v>
      </c>
      <c r="L128" s="45">
        <v>0</v>
      </c>
      <c r="M128" s="45">
        <v>0</v>
      </c>
      <c r="N128" s="45">
        <v>0</v>
      </c>
      <c r="O128" s="45">
        <v>0</v>
      </c>
      <c r="P128" s="45">
        <f t="shared" si="15"/>
        <v>19844000</v>
      </c>
      <c r="Q128" s="46">
        <f t="shared" si="16"/>
        <v>13.314778706552852</v>
      </c>
      <c r="R128" s="9"/>
    </row>
    <row r="129" spans="1:18" ht="15.75">
      <c r="A129" s="28" t="s">
        <v>76</v>
      </c>
      <c r="B129" s="29"/>
      <c r="C129" s="30"/>
      <c r="D129" s="31">
        <f t="shared" ref="D129:O129" si="19">SUM(D130:D139)</f>
        <v>7083000</v>
      </c>
      <c r="E129" s="31">
        <f t="shared" si="19"/>
        <v>6218000</v>
      </c>
      <c r="F129" s="31">
        <f t="shared" si="19"/>
        <v>0</v>
      </c>
      <c r="G129" s="31">
        <f t="shared" si="19"/>
        <v>0</v>
      </c>
      <c r="H129" s="31">
        <f t="shared" si="19"/>
        <v>0</v>
      </c>
      <c r="I129" s="31">
        <f t="shared" si="19"/>
        <v>0</v>
      </c>
      <c r="J129" s="31">
        <f t="shared" si="19"/>
        <v>0</v>
      </c>
      <c r="K129" s="31">
        <f t="shared" si="19"/>
        <v>0</v>
      </c>
      <c r="L129" s="31">
        <f t="shared" ref="L129" si="20">SUM(L130:L139)</f>
        <v>0</v>
      </c>
      <c r="M129" s="31">
        <f t="shared" si="19"/>
        <v>0</v>
      </c>
      <c r="N129" s="31">
        <f t="shared" si="19"/>
        <v>0</v>
      </c>
      <c r="O129" s="31">
        <f t="shared" si="19"/>
        <v>0</v>
      </c>
      <c r="P129" s="31">
        <f>SUM(D129:O129)</f>
        <v>13301000</v>
      </c>
      <c r="Q129" s="44">
        <f t="shared" si="16"/>
        <v>8.9246055017062833</v>
      </c>
      <c r="R129" s="10"/>
    </row>
    <row r="130" spans="1:18">
      <c r="A130" s="12"/>
      <c r="B130" s="38">
        <v>351.1</v>
      </c>
      <c r="C130" s="20" t="s">
        <v>134</v>
      </c>
      <c r="D130" s="45">
        <v>0</v>
      </c>
      <c r="E130" s="45">
        <v>642000</v>
      </c>
      <c r="F130" s="45">
        <v>0</v>
      </c>
      <c r="G130" s="45">
        <v>0</v>
      </c>
      <c r="H130" s="45">
        <v>0</v>
      </c>
      <c r="I130" s="45">
        <v>0</v>
      </c>
      <c r="J130" s="45">
        <v>0</v>
      </c>
      <c r="K130" s="45">
        <v>0</v>
      </c>
      <c r="L130" s="45">
        <v>0</v>
      </c>
      <c r="M130" s="45">
        <v>0</v>
      </c>
      <c r="N130" s="45">
        <v>0</v>
      </c>
      <c r="O130" s="45">
        <v>0</v>
      </c>
      <c r="P130" s="45">
        <f>SUM(D130:O130)</f>
        <v>642000</v>
      </c>
      <c r="Q130" s="46">
        <f t="shared" si="16"/>
        <v>0.43076435847646294</v>
      </c>
      <c r="R130" s="9"/>
    </row>
    <row r="131" spans="1:18">
      <c r="A131" s="12"/>
      <c r="B131" s="38">
        <v>351.2</v>
      </c>
      <c r="C131" s="20" t="s">
        <v>136</v>
      </c>
      <c r="D131" s="45">
        <v>0</v>
      </c>
      <c r="E131" s="45">
        <v>444000</v>
      </c>
      <c r="F131" s="45">
        <v>0</v>
      </c>
      <c r="G131" s="45">
        <v>0</v>
      </c>
      <c r="H131" s="45">
        <v>0</v>
      </c>
      <c r="I131" s="45">
        <v>0</v>
      </c>
      <c r="J131" s="45">
        <v>0</v>
      </c>
      <c r="K131" s="45">
        <v>0</v>
      </c>
      <c r="L131" s="45">
        <v>0</v>
      </c>
      <c r="M131" s="45">
        <v>0</v>
      </c>
      <c r="N131" s="45">
        <v>0</v>
      </c>
      <c r="O131" s="45">
        <v>0</v>
      </c>
      <c r="P131" s="45">
        <f t="shared" ref="P131:P139" si="21">SUM(D131:O131)</f>
        <v>444000</v>
      </c>
      <c r="Q131" s="46">
        <f t="shared" si="16"/>
        <v>0.29791179932017064</v>
      </c>
      <c r="R131" s="9"/>
    </row>
    <row r="132" spans="1:18">
      <c r="A132" s="12"/>
      <c r="B132" s="38">
        <v>351.5</v>
      </c>
      <c r="C132" s="20" t="s">
        <v>137</v>
      </c>
      <c r="D132" s="45">
        <v>491000</v>
      </c>
      <c r="E132" s="45">
        <v>2483000</v>
      </c>
      <c r="F132" s="45">
        <v>0</v>
      </c>
      <c r="G132" s="45">
        <v>0</v>
      </c>
      <c r="H132" s="45">
        <v>0</v>
      </c>
      <c r="I132" s="45">
        <v>0</v>
      </c>
      <c r="J132" s="45">
        <v>0</v>
      </c>
      <c r="K132" s="45">
        <v>0</v>
      </c>
      <c r="L132" s="45">
        <v>0</v>
      </c>
      <c r="M132" s="45">
        <v>0</v>
      </c>
      <c r="N132" s="45">
        <v>0</v>
      </c>
      <c r="O132" s="45">
        <v>0</v>
      </c>
      <c r="P132" s="45">
        <f t="shared" si="21"/>
        <v>2974000</v>
      </c>
      <c r="Q132" s="46">
        <f t="shared" si="16"/>
        <v>1.9954722774283502</v>
      </c>
      <c r="R132" s="9"/>
    </row>
    <row r="133" spans="1:18">
      <c r="A133" s="12"/>
      <c r="B133" s="38">
        <v>351.7</v>
      </c>
      <c r="C133" s="20" t="s">
        <v>232</v>
      </c>
      <c r="D133" s="45">
        <v>0</v>
      </c>
      <c r="E133" s="45">
        <v>392000</v>
      </c>
      <c r="F133" s="45">
        <v>0</v>
      </c>
      <c r="G133" s="45">
        <v>0</v>
      </c>
      <c r="H133" s="45">
        <v>0</v>
      </c>
      <c r="I133" s="45">
        <v>0</v>
      </c>
      <c r="J133" s="45">
        <v>0</v>
      </c>
      <c r="K133" s="45">
        <v>0</v>
      </c>
      <c r="L133" s="45">
        <v>0</v>
      </c>
      <c r="M133" s="45">
        <v>0</v>
      </c>
      <c r="N133" s="45">
        <v>0</v>
      </c>
      <c r="O133" s="45">
        <v>0</v>
      </c>
      <c r="P133" s="45">
        <f t="shared" si="21"/>
        <v>392000</v>
      </c>
      <c r="Q133" s="46">
        <f t="shared" ref="Q133:Q158" si="22">(P133/Q$160)</f>
        <v>0.26302122822861912</v>
      </c>
      <c r="R133" s="9"/>
    </row>
    <row r="134" spans="1:18">
      <c r="A134" s="12"/>
      <c r="B134" s="38">
        <v>351.9</v>
      </c>
      <c r="C134" s="20" t="s">
        <v>322</v>
      </c>
      <c r="D134" s="45">
        <v>0</v>
      </c>
      <c r="E134" s="45">
        <v>1281000</v>
      </c>
      <c r="F134" s="45">
        <v>0</v>
      </c>
      <c r="G134" s="45">
        <v>0</v>
      </c>
      <c r="H134" s="45">
        <v>0</v>
      </c>
      <c r="I134" s="45">
        <v>0</v>
      </c>
      <c r="J134" s="45">
        <v>0</v>
      </c>
      <c r="K134" s="45">
        <v>0</v>
      </c>
      <c r="L134" s="45">
        <v>0</v>
      </c>
      <c r="M134" s="45">
        <v>0</v>
      </c>
      <c r="N134" s="45">
        <v>0</v>
      </c>
      <c r="O134" s="45">
        <v>0</v>
      </c>
      <c r="P134" s="45">
        <f t="shared" si="21"/>
        <v>1281000</v>
      </c>
      <c r="Q134" s="46">
        <f t="shared" si="22"/>
        <v>0.85951579938995182</v>
      </c>
      <c r="R134" s="9"/>
    </row>
    <row r="135" spans="1:18">
      <c r="A135" s="12"/>
      <c r="B135" s="38">
        <v>352</v>
      </c>
      <c r="C135" s="20" t="s">
        <v>138</v>
      </c>
      <c r="D135" s="45">
        <v>0</v>
      </c>
      <c r="E135" s="45">
        <v>-207000</v>
      </c>
      <c r="F135" s="45">
        <v>0</v>
      </c>
      <c r="G135" s="45">
        <v>0</v>
      </c>
      <c r="H135" s="45">
        <v>0</v>
      </c>
      <c r="I135" s="45">
        <v>0</v>
      </c>
      <c r="J135" s="45">
        <v>0</v>
      </c>
      <c r="K135" s="45">
        <v>0</v>
      </c>
      <c r="L135" s="45">
        <v>0</v>
      </c>
      <c r="M135" s="45">
        <v>0</v>
      </c>
      <c r="N135" s="45">
        <v>0</v>
      </c>
      <c r="O135" s="45">
        <v>0</v>
      </c>
      <c r="P135" s="45">
        <f t="shared" si="21"/>
        <v>-207000</v>
      </c>
      <c r="Q135" s="46">
        <f t="shared" si="22"/>
        <v>-0.13889131184521469</v>
      </c>
      <c r="R135" s="9"/>
    </row>
    <row r="136" spans="1:18">
      <c r="A136" s="12"/>
      <c r="B136" s="38">
        <v>353</v>
      </c>
      <c r="C136" s="20" t="s">
        <v>139</v>
      </c>
      <c r="D136" s="45">
        <v>0</v>
      </c>
      <c r="E136" s="45">
        <v>162000</v>
      </c>
      <c r="F136" s="45">
        <v>0</v>
      </c>
      <c r="G136" s="45">
        <v>0</v>
      </c>
      <c r="H136" s="45">
        <v>0</v>
      </c>
      <c r="I136" s="45">
        <v>0</v>
      </c>
      <c r="J136" s="45">
        <v>0</v>
      </c>
      <c r="K136" s="45">
        <v>0</v>
      </c>
      <c r="L136" s="45">
        <v>0</v>
      </c>
      <c r="M136" s="45">
        <v>0</v>
      </c>
      <c r="N136" s="45">
        <v>0</v>
      </c>
      <c r="O136" s="45">
        <v>0</v>
      </c>
      <c r="P136" s="45">
        <f t="shared" si="21"/>
        <v>162000</v>
      </c>
      <c r="Q136" s="46">
        <f t="shared" si="22"/>
        <v>0.10869754840060281</v>
      </c>
      <c r="R136" s="9"/>
    </row>
    <row r="137" spans="1:18">
      <c r="A137" s="12"/>
      <c r="B137" s="38">
        <v>354</v>
      </c>
      <c r="C137" s="20" t="s">
        <v>140</v>
      </c>
      <c r="D137" s="45">
        <v>6583000</v>
      </c>
      <c r="E137" s="45">
        <v>104000</v>
      </c>
      <c r="F137" s="45">
        <v>0</v>
      </c>
      <c r="G137" s="45">
        <v>0</v>
      </c>
      <c r="H137" s="45">
        <v>0</v>
      </c>
      <c r="I137" s="45">
        <v>0</v>
      </c>
      <c r="J137" s="45">
        <v>0</v>
      </c>
      <c r="K137" s="45">
        <v>0</v>
      </c>
      <c r="L137" s="45">
        <v>0</v>
      </c>
      <c r="M137" s="45">
        <v>0</v>
      </c>
      <c r="N137" s="45">
        <v>0</v>
      </c>
      <c r="O137" s="45">
        <v>0</v>
      </c>
      <c r="P137" s="45">
        <f t="shared" si="21"/>
        <v>6687000</v>
      </c>
      <c r="Q137" s="46">
        <f t="shared" si="22"/>
        <v>4.4867932478693264</v>
      </c>
      <c r="R137" s="9"/>
    </row>
    <row r="138" spans="1:18">
      <c r="A138" s="12"/>
      <c r="B138" s="38">
        <v>358.1</v>
      </c>
      <c r="C138" s="20" t="s">
        <v>235</v>
      </c>
      <c r="D138" s="45">
        <v>5000</v>
      </c>
      <c r="E138" s="45">
        <v>0</v>
      </c>
      <c r="F138" s="45">
        <v>0</v>
      </c>
      <c r="G138" s="45">
        <v>0</v>
      </c>
      <c r="H138" s="45">
        <v>0</v>
      </c>
      <c r="I138" s="45">
        <v>0</v>
      </c>
      <c r="J138" s="45">
        <v>0</v>
      </c>
      <c r="K138" s="45">
        <v>0</v>
      </c>
      <c r="L138" s="45">
        <v>0</v>
      </c>
      <c r="M138" s="45">
        <v>0</v>
      </c>
      <c r="N138" s="45">
        <v>0</v>
      </c>
      <c r="O138" s="45">
        <v>0</v>
      </c>
      <c r="P138" s="45">
        <f t="shared" si="21"/>
        <v>5000</v>
      </c>
      <c r="Q138" s="46">
        <f t="shared" si="22"/>
        <v>3.3548626049568764E-3</v>
      </c>
      <c r="R138" s="9"/>
    </row>
    <row r="139" spans="1:18">
      <c r="A139" s="12"/>
      <c r="B139" s="38">
        <v>359</v>
      </c>
      <c r="C139" s="20" t="s">
        <v>141</v>
      </c>
      <c r="D139" s="45">
        <v>4000</v>
      </c>
      <c r="E139" s="45">
        <v>917000</v>
      </c>
      <c r="F139" s="45">
        <v>0</v>
      </c>
      <c r="G139" s="45">
        <v>0</v>
      </c>
      <c r="H139" s="45">
        <v>0</v>
      </c>
      <c r="I139" s="45">
        <v>0</v>
      </c>
      <c r="J139" s="45">
        <v>0</v>
      </c>
      <c r="K139" s="45">
        <v>0</v>
      </c>
      <c r="L139" s="45">
        <v>0</v>
      </c>
      <c r="M139" s="45">
        <v>0</v>
      </c>
      <c r="N139" s="45">
        <v>0</v>
      </c>
      <c r="O139" s="45">
        <v>0</v>
      </c>
      <c r="P139" s="45">
        <f t="shared" si="21"/>
        <v>921000</v>
      </c>
      <c r="Q139" s="46">
        <f t="shared" si="22"/>
        <v>0.61796569183305672</v>
      </c>
      <c r="R139" s="9"/>
    </row>
    <row r="140" spans="1:18" ht="15.75">
      <c r="A140" s="28" t="s">
        <v>5</v>
      </c>
      <c r="B140" s="29"/>
      <c r="C140" s="30"/>
      <c r="D140" s="31">
        <f t="shared" ref="D140:O140" si="23">SUM(D141:D149)</f>
        <v>12828000</v>
      </c>
      <c r="E140" s="31">
        <f t="shared" si="23"/>
        <v>18342000</v>
      </c>
      <c r="F140" s="31">
        <f t="shared" si="23"/>
        <v>974000</v>
      </c>
      <c r="G140" s="31">
        <f t="shared" si="23"/>
        <v>1045000</v>
      </c>
      <c r="H140" s="31">
        <f t="shared" si="23"/>
        <v>0</v>
      </c>
      <c r="I140" s="31">
        <f t="shared" si="23"/>
        <v>1459000</v>
      </c>
      <c r="J140" s="31">
        <f t="shared" si="23"/>
        <v>937000</v>
      </c>
      <c r="K140" s="31">
        <f t="shared" si="23"/>
        <v>0</v>
      </c>
      <c r="L140" s="31">
        <f t="shared" ref="L140" si="24">SUM(L141:L149)</f>
        <v>0</v>
      </c>
      <c r="M140" s="31">
        <f t="shared" si="23"/>
        <v>0</v>
      </c>
      <c r="N140" s="31">
        <f t="shared" si="23"/>
        <v>0</v>
      </c>
      <c r="O140" s="31">
        <f t="shared" si="23"/>
        <v>870000</v>
      </c>
      <c r="P140" s="31">
        <f>SUM(D140:O140)</f>
        <v>36455000</v>
      </c>
      <c r="Q140" s="44">
        <f t="shared" si="22"/>
        <v>24.460303252740587</v>
      </c>
      <c r="R140" s="10"/>
    </row>
    <row r="141" spans="1:18">
      <c r="A141" s="11"/>
      <c r="B141" s="24">
        <v>361.1</v>
      </c>
      <c r="C141" s="19" t="s">
        <v>142</v>
      </c>
      <c r="D141" s="45">
        <v>1459000</v>
      </c>
      <c r="E141" s="45">
        <v>1511000</v>
      </c>
      <c r="F141" s="45">
        <v>42000</v>
      </c>
      <c r="G141" s="45">
        <v>138000</v>
      </c>
      <c r="H141" s="45">
        <v>0</v>
      </c>
      <c r="I141" s="45">
        <v>0</v>
      </c>
      <c r="J141" s="45">
        <v>0</v>
      </c>
      <c r="K141" s="45">
        <v>0</v>
      </c>
      <c r="L141" s="45">
        <v>0</v>
      </c>
      <c r="M141" s="45">
        <v>0</v>
      </c>
      <c r="N141" s="45">
        <v>0</v>
      </c>
      <c r="O141" s="45">
        <v>6000</v>
      </c>
      <c r="P141" s="45">
        <f>SUM(D141:O141)</f>
        <v>3156000</v>
      </c>
      <c r="Q141" s="46">
        <f t="shared" si="22"/>
        <v>2.1175892762487805</v>
      </c>
      <c r="R141" s="9"/>
    </row>
    <row r="142" spans="1:18">
      <c r="A142" s="11"/>
      <c r="B142" s="24">
        <v>361.4</v>
      </c>
      <c r="C142" s="19" t="s">
        <v>261</v>
      </c>
      <c r="D142" s="45">
        <v>0</v>
      </c>
      <c r="E142" s="45">
        <v>0</v>
      </c>
      <c r="F142" s="45">
        <v>0</v>
      </c>
      <c r="G142" s="45">
        <v>0</v>
      </c>
      <c r="H142" s="45">
        <v>0</v>
      </c>
      <c r="I142" s="45">
        <v>0</v>
      </c>
      <c r="J142" s="45">
        <v>0</v>
      </c>
      <c r="K142" s="45">
        <v>0</v>
      </c>
      <c r="L142" s="45">
        <v>0</v>
      </c>
      <c r="M142" s="45">
        <v>0</v>
      </c>
      <c r="N142" s="45">
        <v>0</v>
      </c>
      <c r="O142" s="45">
        <v>844000</v>
      </c>
      <c r="P142" s="45">
        <f t="shared" ref="P142:P149" si="25">SUM(D142:O142)</f>
        <v>844000</v>
      </c>
      <c r="Q142" s="46">
        <f t="shared" si="22"/>
        <v>0.56630080771672076</v>
      </c>
      <c r="R142" s="9"/>
    </row>
    <row r="143" spans="1:18">
      <c r="A143" s="11"/>
      <c r="B143" s="24">
        <v>362</v>
      </c>
      <c r="C143" s="19" t="s">
        <v>145</v>
      </c>
      <c r="D143" s="45">
        <v>1489000</v>
      </c>
      <c r="E143" s="45">
        <v>81000</v>
      </c>
      <c r="F143" s="45">
        <v>932000</v>
      </c>
      <c r="G143" s="45">
        <v>204000</v>
      </c>
      <c r="H143" s="45">
        <v>0</v>
      </c>
      <c r="I143" s="45">
        <v>0</v>
      </c>
      <c r="J143" s="45">
        <v>0</v>
      </c>
      <c r="K143" s="45">
        <v>0</v>
      </c>
      <c r="L143" s="45">
        <v>0</v>
      </c>
      <c r="M143" s="45">
        <v>0</v>
      </c>
      <c r="N143" s="45">
        <v>0</v>
      </c>
      <c r="O143" s="45">
        <v>0</v>
      </c>
      <c r="P143" s="45">
        <f t="shared" si="25"/>
        <v>2706000</v>
      </c>
      <c r="Q143" s="46">
        <f t="shared" si="22"/>
        <v>1.8156516418026616</v>
      </c>
      <c r="R143" s="9"/>
    </row>
    <row r="144" spans="1:18">
      <c r="A144" s="11"/>
      <c r="B144" s="24">
        <v>364</v>
      </c>
      <c r="C144" s="19" t="s">
        <v>237</v>
      </c>
      <c r="D144" s="45">
        <v>3483000</v>
      </c>
      <c r="E144" s="45">
        <v>408000</v>
      </c>
      <c r="F144" s="45">
        <v>0</v>
      </c>
      <c r="G144" s="45">
        <v>175000</v>
      </c>
      <c r="H144" s="45">
        <v>0</v>
      </c>
      <c r="I144" s="45">
        <v>201000</v>
      </c>
      <c r="J144" s="45">
        <v>902000</v>
      </c>
      <c r="K144" s="45">
        <v>0</v>
      </c>
      <c r="L144" s="45">
        <v>0</v>
      </c>
      <c r="M144" s="45">
        <v>0</v>
      </c>
      <c r="N144" s="45">
        <v>0</v>
      </c>
      <c r="O144" s="45">
        <v>0</v>
      </c>
      <c r="P144" s="45">
        <f t="shared" si="25"/>
        <v>5169000</v>
      </c>
      <c r="Q144" s="46">
        <f t="shared" si="22"/>
        <v>3.4682569610044189</v>
      </c>
      <c r="R144" s="9"/>
    </row>
    <row r="145" spans="1:121">
      <c r="A145" s="11"/>
      <c r="B145" s="24">
        <v>365</v>
      </c>
      <c r="C145" s="19" t="s">
        <v>238</v>
      </c>
      <c r="D145" s="45">
        <v>1141000</v>
      </c>
      <c r="E145" s="45">
        <v>29000</v>
      </c>
      <c r="F145" s="45">
        <v>0</v>
      </c>
      <c r="G145" s="45">
        <v>0</v>
      </c>
      <c r="H145" s="45">
        <v>0</v>
      </c>
      <c r="I145" s="45">
        <v>103000</v>
      </c>
      <c r="J145" s="45">
        <v>20000</v>
      </c>
      <c r="K145" s="45">
        <v>0</v>
      </c>
      <c r="L145" s="45">
        <v>0</v>
      </c>
      <c r="M145" s="45">
        <v>0</v>
      </c>
      <c r="N145" s="45">
        <v>0</v>
      </c>
      <c r="O145" s="45">
        <v>0</v>
      </c>
      <c r="P145" s="45">
        <f t="shared" si="25"/>
        <v>1293000</v>
      </c>
      <c r="Q145" s="46">
        <f t="shared" si="22"/>
        <v>0.86756746964184828</v>
      </c>
      <c r="R145" s="9"/>
    </row>
    <row r="146" spans="1:121">
      <c r="A146" s="11"/>
      <c r="B146" s="24">
        <v>366</v>
      </c>
      <c r="C146" s="19" t="s">
        <v>148</v>
      </c>
      <c r="D146" s="45">
        <v>600000</v>
      </c>
      <c r="E146" s="45">
        <v>3396000</v>
      </c>
      <c r="F146" s="45">
        <v>0</v>
      </c>
      <c r="G146" s="45">
        <v>20000</v>
      </c>
      <c r="H146" s="45">
        <v>0</v>
      </c>
      <c r="I146" s="45">
        <v>0</v>
      </c>
      <c r="J146" s="45">
        <v>0</v>
      </c>
      <c r="K146" s="45">
        <v>0</v>
      </c>
      <c r="L146" s="45">
        <v>0</v>
      </c>
      <c r="M146" s="45">
        <v>0</v>
      </c>
      <c r="N146" s="45">
        <v>0</v>
      </c>
      <c r="O146" s="45">
        <v>20000</v>
      </c>
      <c r="P146" s="45">
        <f t="shared" si="25"/>
        <v>4036000</v>
      </c>
      <c r="Q146" s="46">
        <f t="shared" si="22"/>
        <v>2.7080450947211907</v>
      </c>
      <c r="R146" s="9"/>
    </row>
    <row r="147" spans="1:121">
      <c r="A147" s="11"/>
      <c r="B147" s="24">
        <v>367</v>
      </c>
      <c r="C147" s="19" t="s">
        <v>149</v>
      </c>
      <c r="D147" s="45">
        <v>2447000</v>
      </c>
      <c r="E147" s="45">
        <v>193000</v>
      </c>
      <c r="F147" s="45">
        <v>0</v>
      </c>
      <c r="G147" s="45">
        <v>0</v>
      </c>
      <c r="H147" s="45">
        <v>0</v>
      </c>
      <c r="I147" s="45">
        <v>0</v>
      </c>
      <c r="J147" s="45">
        <v>0</v>
      </c>
      <c r="K147" s="45">
        <v>0</v>
      </c>
      <c r="L147" s="45">
        <v>0</v>
      </c>
      <c r="M147" s="45">
        <v>0</v>
      </c>
      <c r="N147" s="45">
        <v>0</v>
      </c>
      <c r="O147" s="45">
        <v>0</v>
      </c>
      <c r="P147" s="45">
        <f t="shared" si="25"/>
        <v>2640000</v>
      </c>
      <c r="Q147" s="46">
        <f t="shared" si="22"/>
        <v>1.771367455417231</v>
      </c>
      <c r="R147" s="9"/>
    </row>
    <row r="148" spans="1:121">
      <c r="A148" s="11"/>
      <c r="B148" s="24">
        <v>369.3</v>
      </c>
      <c r="C148" s="19" t="s">
        <v>150</v>
      </c>
      <c r="D148" s="45">
        <v>163000</v>
      </c>
      <c r="E148" s="45">
        <v>4001000</v>
      </c>
      <c r="F148" s="45">
        <v>0</v>
      </c>
      <c r="G148" s="45">
        <v>0</v>
      </c>
      <c r="H148" s="45">
        <v>0</v>
      </c>
      <c r="I148" s="45">
        <v>0</v>
      </c>
      <c r="J148" s="45">
        <v>0</v>
      </c>
      <c r="K148" s="45">
        <v>0</v>
      </c>
      <c r="L148" s="45">
        <v>0</v>
      </c>
      <c r="M148" s="45">
        <v>0</v>
      </c>
      <c r="N148" s="45">
        <v>0</v>
      </c>
      <c r="O148" s="45">
        <v>0</v>
      </c>
      <c r="P148" s="45">
        <f t="shared" si="25"/>
        <v>4164000</v>
      </c>
      <c r="Q148" s="46">
        <f t="shared" si="22"/>
        <v>2.793929577408087</v>
      </c>
      <c r="R148" s="9"/>
    </row>
    <row r="149" spans="1:121">
      <c r="A149" s="11"/>
      <c r="B149" s="24">
        <v>369.9</v>
      </c>
      <c r="C149" s="19" t="s">
        <v>151</v>
      </c>
      <c r="D149" s="45">
        <v>2046000</v>
      </c>
      <c r="E149" s="45">
        <v>8723000</v>
      </c>
      <c r="F149" s="45">
        <v>0</v>
      </c>
      <c r="G149" s="45">
        <v>508000</v>
      </c>
      <c r="H149" s="45">
        <v>0</v>
      </c>
      <c r="I149" s="45">
        <v>1155000</v>
      </c>
      <c r="J149" s="45">
        <v>15000</v>
      </c>
      <c r="K149" s="45">
        <v>0</v>
      </c>
      <c r="L149" s="45">
        <v>0</v>
      </c>
      <c r="M149" s="45">
        <v>0</v>
      </c>
      <c r="N149" s="45">
        <v>0</v>
      </c>
      <c r="O149" s="45">
        <v>0</v>
      </c>
      <c r="P149" s="45">
        <f t="shared" si="25"/>
        <v>12447000</v>
      </c>
      <c r="Q149" s="46">
        <f t="shared" si="22"/>
        <v>8.3515949687796489</v>
      </c>
      <c r="R149" s="9"/>
    </row>
    <row r="150" spans="1:121" ht="15.75">
      <c r="A150" s="28" t="s">
        <v>77</v>
      </c>
      <c r="B150" s="29"/>
      <c r="C150" s="30"/>
      <c r="D150" s="31">
        <f t="shared" ref="D150:O150" si="26">SUM(D151:D157)</f>
        <v>719921000</v>
      </c>
      <c r="E150" s="31">
        <f t="shared" si="26"/>
        <v>346597000</v>
      </c>
      <c r="F150" s="31">
        <f t="shared" si="26"/>
        <v>399898000</v>
      </c>
      <c r="G150" s="31">
        <f t="shared" si="26"/>
        <v>29221000</v>
      </c>
      <c r="H150" s="31">
        <f t="shared" si="26"/>
        <v>0</v>
      </c>
      <c r="I150" s="31">
        <f t="shared" si="26"/>
        <v>82304000</v>
      </c>
      <c r="J150" s="31">
        <f t="shared" si="26"/>
        <v>15786000</v>
      </c>
      <c r="K150" s="31">
        <f t="shared" si="26"/>
        <v>0</v>
      </c>
      <c r="L150" s="31">
        <f t="shared" ref="L150" si="27">SUM(L151:L157)</f>
        <v>0</v>
      </c>
      <c r="M150" s="31">
        <f t="shared" si="26"/>
        <v>0</v>
      </c>
      <c r="N150" s="31">
        <f t="shared" si="26"/>
        <v>0</v>
      </c>
      <c r="O150" s="31">
        <f t="shared" si="26"/>
        <v>0</v>
      </c>
      <c r="P150" s="31">
        <f t="shared" ref="P150:P158" si="28">SUM(D150:O150)</f>
        <v>1593727000</v>
      </c>
      <c r="Q150" s="44">
        <f t="shared" si="22"/>
        <v>1069.3470229620216</v>
      </c>
      <c r="R150" s="9"/>
    </row>
    <row r="151" spans="1:121">
      <c r="A151" s="11"/>
      <c r="B151" s="24">
        <v>381</v>
      </c>
      <c r="C151" s="19" t="s">
        <v>152</v>
      </c>
      <c r="D151" s="45">
        <v>719875000</v>
      </c>
      <c r="E151" s="45">
        <v>346597000</v>
      </c>
      <c r="F151" s="45">
        <v>115081000</v>
      </c>
      <c r="G151" s="45">
        <v>29221000</v>
      </c>
      <c r="H151" s="45">
        <v>0</v>
      </c>
      <c r="I151" s="45">
        <v>434000</v>
      </c>
      <c r="J151" s="45">
        <v>12146000</v>
      </c>
      <c r="K151" s="45">
        <v>0</v>
      </c>
      <c r="L151" s="45">
        <v>0</v>
      </c>
      <c r="M151" s="45">
        <v>0</v>
      </c>
      <c r="N151" s="45">
        <v>0</v>
      </c>
      <c r="O151" s="45">
        <v>0</v>
      </c>
      <c r="P151" s="45">
        <f t="shared" si="28"/>
        <v>1223354000</v>
      </c>
      <c r="Q151" s="46">
        <f t="shared" si="22"/>
        <v>820.83691744488294</v>
      </c>
      <c r="R151" s="9"/>
    </row>
    <row r="152" spans="1:121">
      <c r="A152" s="11"/>
      <c r="B152" s="24">
        <v>383</v>
      </c>
      <c r="C152" s="19" t="s">
        <v>199</v>
      </c>
      <c r="D152" s="45">
        <v>46000</v>
      </c>
      <c r="E152" s="45">
        <v>0</v>
      </c>
      <c r="F152" s="45">
        <v>0</v>
      </c>
      <c r="G152" s="45">
        <v>0</v>
      </c>
      <c r="H152" s="45">
        <v>0</v>
      </c>
      <c r="I152" s="45">
        <v>0</v>
      </c>
      <c r="J152" s="45">
        <v>0</v>
      </c>
      <c r="K152" s="45">
        <v>0</v>
      </c>
      <c r="L152" s="45">
        <v>0</v>
      </c>
      <c r="M152" s="45">
        <v>0</v>
      </c>
      <c r="N152" s="45">
        <v>0</v>
      </c>
      <c r="O152" s="45">
        <v>0</v>
      </c>
      <c r="P152" s="45">
        <f t="shared" si="28"/>
        <v>46000</v>
      </c>
      <c r="Q152" s="46">
        <f t="shared" si="22"/>
        <v>3.0864735965603265E-2</v>
      </c>
      <c r="R152" s="9"/>
    </row>
    <row r="153" spans="1:121">
      <c r="A153" s="11"/>
      <c r="B153" s="24">
        <v>384</v>
      </c>
      <c r="C153" s="19" t="s">
        <v>153</v>
      </c>
      <c r="D153" s="45">
        <v>0</v>
      </c>
      <c r="E153" s="45">
        <v>0</v>
      </c>
      <c r="F153" s="45">
        <v>284817000</v>
      </c>
      <c r="G153" s="45">
        <v>0</v>
      </c>
      <c r="H153" s="45">
        <v>0</v>
      </c>
      <c r="I153" s="45">
        <v>0</v>
      </c>
      <c r="J153" s="45">
        <v>0</v>
      </c>
      <c r="K153" s="45">
        <v>0</v>
      </c>
      <c r="L153" s="45">
        <v>0</v>
      </c>
      <c r="M153" s="45">
        <v>0</v>
      </c>
      <c r="N153" s="45">
        <v>0</v>
      </c>
      <c r="O153" s="45">
        <v>0</v>
      </c>
      <c r="P153" s="45">
        <f t="shared" si="28"/>
        <v>284817000</v>
      </c>
      <c r="Q153" s="46">
        <f t="shared" si="22"/>
        <v>191.10438051120053</v>
      </c>
      <c r="R153" s="9"/>
    </row>
    <row r="154" spans="1:121">
      <c r="A154" s="11"/>
      <c r="B154" s="24">
        <v>389.1</v>
      </c>
      <c r="C154" s="19" t="s">
        <v>154</v>
      </c>
      <c r="D154" s="45">
        <v>0</v>
      </c>
      <c r="E154" s="45">
        <v>0</v>
      </c>
      <c r="F154" s="45">
        <v>0</v>
      </c>
      <c r="G154" s="45">
        <v>0</v>
      </c>
      <c r="H154" s="45">
        <v>0</v>
      </c>
      <c r="I154" s="45">
        <v>10014000</v>
      </c>
      <c r="J154" s="45">
        <v>433000</v>
      </c>
      <c r="K154" s="45">
        <v>0</v>
      </c>
      <c r="L154" s="45">
        <v>0</v>
      </c>
      <c r="M154" s="45">
        <v>0</v>
      </c>
      <c r="N154" s="45">
        <v>0</v>
      </c>
      <c r="O154" s="45">
        <v>0</v>
      </c>
      <c r="P154" s="45">
        <f t="shared" si="28"/>
        <v>10447000</v>
      </c>
      <c r="Q154" s="46">
        <f t="shared" si="22"/>
        <v>7.0096499267968984</v>
      </c>
      <c r="R154" s="9"/>
    </row>
    <row r="155" spans="1:121">
      <c r="A155" s="11"/>
      <c r="B155" s="24">
        <v>389.4</v>
      </c>
      <c r="C155" s="19" t="s">
        <v>156</v>
      </c>
      <c r="D155" s="45">
        <v>0</v>
      </c>
      <c r="E155" s="45">
        <v>0</v>
      </c>
      <c r="F155" s="45">
        <v>0</v>
      </c>
      <c r="G155" s="45">
        <v>0</v>
      </c>
      <c r="H155" s="45">
        <v>0</v>
      </c>
      <c r="I155" s="45">
        <v>270000</v>
      </c>
      <c r="J155" s="45">
        <v>0</v>
      </c>
      <c r="K155" s="45">
        <v>0</v>
      </c>
      <c r="L155" s="45">
        <v>0</v>
      </c>
      <c r="M155" s="45">
        <v>0</v>
      </c>
      <c r="N155" s="45">
        <v>0</v>
      </c>
      <c r="O155" s="45">
        <v>0</v>
      </c>
      <c r="P155" s="45">
        <f t="shared" si="28"/>
        <v>270000</v>
      </c>
      <c r="Q155" s="46">
        <f t="shared" si="22"/>
        <v>0.18116258066767132</v>
      </c>
      <c r="R155" s="9"/>
    </row>
    <row r="156" spans="1:121">
      <c r="A156" s="11"/>
      <c r="B156" s="24">
        <v>389.7</v>
      </c>
      <c r="C156" s="19" t="s">
        <v>323</v>
      </c>
      <c r="D156" s="45">
        <v>0</v>
      </c>
      <c r="E156" s="45">
        <v>0</v>
      </c>
      <c r="F156" s="45">
        <v>0</v>
      </c>
      <c r="G156" s="45">
        <v>0</v>
      </c>
      <c r="H156" s="45">
        <v>0</v>
      </c>
      <c r="I156" s="45">
        <v>68525000</v>
      </c>
      <c r="J156" s="45">
        <v>0</v>
      </c>
      <c r="K156" s="45">
        <v>0</v>
      </c>
      <c r="L156" s="45">
        <v>0</v>
      </c>
      <c r="M156" s="45">
        <v>0</v>
      </c>
      <c r="N156" s="45">
        <v>0</v>
      </c>
      <c r="O156" s="45">
        <v>0</v>
      </c>
      <c r="P156" s="45">
        <f t="shared" si="28"/>
        <v>68525000</v>
      </c>
      <c r="Q156" s="46">
        <f t="shared" si="22"/>
        <v>45.978392000933994</v>
      </c>
      <c r="R156" s="9"/>
    </row>
    <row r="157" spans="1:121" ht="15.75" thickBot="1">
      <c r="A157" s="11"/>
      <c r="B157" s="24">
        <v>389.9</v>
      </c>
      <c r="C157" s="19" t="s">
        <v>157</v>
      </c>
      <c r="D157" s="45">
        <v>0</v>
      </c>
      <c r="E157" s="45">
        <v>0</v>
      </c>
      <c r="F157" s="45">
        <v>0</v>
      </c>
      <c r="G157" s="45">
        <v>0</v>
      </c>
      <c r="H157" s="45">
        <v>0</v>
      </c>
      <c r="I157" s="45">
        <v>3061000</v>
      </c>
      <c r="J157" s="45">
        <v>3207000</v>
      </c>
      <c r="K157" s="45">
        <v>0</v>
      </c>
      <c r="L157" s="45">
        <v>0</v>
      </c>
      <c r="M157" s="45">
        <v>0</v>
      </c>
      <c r="N157" s="45">
        <v>0</v>
      </c>
      <c r="O157" s="45">
        <v>0</v>
      </c>
      <c r="P157" s="45">
        <f t="shared" si="28"/>
        <v>6268000</v>
      </c>
      <c r="Q157" s="46">
        <f t="shared" si="22"/>
        <v>4.2056557615739409</v>
      </c>
      <c r="R157" s="9"/>
    </row>
    <row r="158" spans="1:121" ht="16.5" thickBot="1">
      <c r="A158" s="13" t="s">
        <v>114</v>
      </c>
      <c r="B158" s="22"/>
      <c r="C158" s="21"/>
      <c r="D158" s="14">
        <f t="shared" ref="D158:O158" si="29">SUM(D5,D15,D28,D73,D129,D140,D150)</f>
        <v>1838506000</v>
      </c>
      <c r="E158" s="14">
        <f t="shared" si="29"/>
        <v>1586464000</v>
      </c>
      <c r="F158" s="14">
        <f t="shared" si="29"/>
        <v>409287000</v>
      </c>
      <c r="G158" s="14">
        <f t="shared" si="29"/>
        <v>30266000</v>
      </c>
      <c r="H158" s="14">
        <f t="shared" si="29"/>
        <v>0</v>
      </c>
      <c r="I158" s="14">
        <f t="shared" si="29"/>
        <v>533051000</v>
      </c>
      <c r="J158" s="14">
        <f t="shared" si="29"/>
        <v>240071000</v>
      </c>
      <c r="K158" s="14">
        <f t="shared" si="29"/>
        <v>0</v>
      </c>
      <c r="L158" s="14">
        <f t="shared" ref="L158" si="30">SUM(L5,L15,L28,L73,L129,L140,L150)</f>
        <v>0</v>
      </c>
      <c r="M158" s="14">
        <f t="shared" si="29"/>
        <v>0</v>
      </c>
      <c r="N158" s="14">
        <f t="shared" si="29"/>
        <v>0</v>
      </c>
      <c r="O158" s="14">
        <f t="shared" si="29"/>
        <v>8463000</v>
      </c>
      <c r="P158" s="14">
        <f t="shared" si="28"/>
        <v>4646108000</v>
      </c>
      <c r="Q158" s="37">
        <f t="shared" si="22"/>
        <v>3117.4107975581969</v>
      </c>
      <c r="R158" s="6"/>
      <c r="S158" s="2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</row>
    <row r="159" spans="1:121">
      <c r="A159" s="15"/>
      <c r="B159" s="17"/>
      <c r="C159" s="17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8"/>
    </row>
    <row r="160" spans="1:121">
      <c r="A160" s="39"/>
      <c r="B160" s="40"/>
      <c r="C160" s="40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8" t="s">
        <v>297</v>
      </c>
      <c r="O160" s="48"/>
      <c r="P160" s="48"/>
      <c r="Q160" s="42">
        <v>1490374</v>
      </c>
    </row>
    <row r="161" spans="1:17">
      <c r="A161" s="49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1"/>
    </row>
    <row r="162" spans="1:17" ht="15.75" customHeight="1" thickBot="1">
      <c r="A162" s="52" t="s">
        <v>178</v>
      </c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4"/>
    </row>
  </sheetData>
  <mergeCells count="10">
    <mergeCell ref="N160:P160"/>
    <mergeCell ref="A161:Q161"/>
    <mergeCell ref="A162:Q162"/>
    <mergeCell ref="A1:Q1"/>
    <mergeCell ref="A2:Q2"/>
    <mergeCell ref="A3:C4"/>
    <mergeCell ref="D3:H3"/>
    <mergeCell ref="I3:J3"/>
    <mergeCell ref="K3:N3"/>
    <mergeCell ref="Q3:Q4"/>
  </mergeCells>
  <printOptions horizontalCentered="1"/>
  <pageMargins left="0.5" right="0.5" top="0.5" bottom="0.5" header="0.3" footer="0.3"/>
  <pageSetup paperSize="5" scale="51" fitToHeight="0" orientation="landscape" verticalDpi="0" r:id="rId1"/>
  <headerFooter>
    <oddFooter>&amp;L&amp;14Office of Economic and Demographic Research&amp;R&amp;14Page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C138"/>
  <sheetViews>
    <sheetView topLeftCell="A4" workbookViewId="0">
      <selection sqref="A1:O1"/>
    </sheetView>
  </sheetViews>
  <sheetFormatPr defaultColWidth="9.77734375" defaultRowHeight="15"/>
  <cols>
    <col min="1" max="1" width="1.77734375" style="3" customWidth="1"/>
    <col min="2" max="2" width="6.77734375" style="3" customWidth="1"/>
    <col min="3" max="3" width="60.77734375" style="3" customWidth="1"/>
    <col min="4" max="5" width="16.77734375" style="4" customWidth="1"/>
    <col min="6" max="7" width="15.77734375" style="4" customWidth="1"/>
    <col min="8" max="8" width="13.77734375" style="4" customWidth="1"/>
    <col min="9" max="10" width="15.77734375" style="4" customWidth="1"/>
    <col min="11" max="13" width="13.77734375" style="4" customWidth="1"/>
    <col min="14" max="14" width="16.77734375" style="4" customWidth="1"/>
    <col min="15" max="15" width="13.77734375" style="3" customWidth="1"/>
    <col min="16" max="16" width="9.77734375" style="3" customWidth="1"/>
    <col min="17" max="17" width="9.77734375" style="3"/>
  </cols>
  <sheetData>
    <row r="1" spans="1:133" ht="27.75">
      <c r="A1" s="55" t="s">
        <v>165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7"/>
      <c r="P1" s="7"/>
      <c r="Q1"/>
    </row>
    <row r="2" spans="1:133" ht="24" thickBot="1">
      <c r="A2" s="58" t="s">
        <v>291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60"/>
      <c r="P2" s="7"/>
      <c r="Q2"/>
    </row>
    <row r="3" spans="1:133" ht="18" customHeight="1">
      <c r="A3" s="61" t="s">
        <v>158</v>
      </c>
      <c r="B3" s="62"/>
      <c r="C3" s="63"/>
      <c r="D3" s="67" t="s">
        <v>71</v>
      </c>
      <c r="E3" s="68"/>
      <c r="F3" s="68"/>
      <c r="G3" s="68"/>
      <c r="H3" s="69"/>
      <c r="I3" s="67" t="s">
        <v>72</v>
      </c>
      <c r="J3" s="69"/>
      <c r="K3" s="67" t="s">
        <v>74</v>
      </c>
      <c r="L3" s="69"/>
      <c r="M3" s="35"/>
      <c r="N3" s="36"/>
      <c r="O3" s="70" t="s">
        <v>163</v>
      </c>
      <c r="P3" s="5"/>
      <c r="Q3"/>
    </row>
    <row r="4" spans="1:133" ht="32.25" customHeight="1" thickBot="1">
      <c r="A4" s="64"/>
      <c r="B4" s="65"/>
      <c r="C4" s="66"/>
      <c r="D4" s="33" t="s">
        <v>6</v>
      </c>
      <c r="E4" s="33" t="s">
        <v>159</v>
      </c>
      <c r="F4" s="33" t="s">
        <v>160</v>
      </c>
      <c r="G4" s="33" t="s">
        <v>161</v>
      </c>
      <c r="H4" s="33" t="s">
        <v>7</v>
      </c>
      <c r="I4" s="33" t="s">
        <v>8</v>
      </c>
      <c r="J4" s="34" t="s">
        <v>162</v>
      </c>
      <c r="K4" s="34" t="s">
        <v>9</v>
      </c>
      <c r="L4" s="34" t="s">
        <v>10</v>
      </c>
      <c r="M4" s="34" t="s">
        <v>11</v>
      </c>
      <c r="N4" s="34" t="s">
        <v>73</v>
      </c>
      <c r="O4" s="71"/>
      <c r="P4" s="8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</row>
    <row r="5" spans="1:133" ht="15.75">
      <c r="A5" s="23" t="s">
        <v>2</v>
      </c>
      <c r="B5" s="25"/>
      <c r="C5" s="25"/>
      <c r="D5" s="26">
        <f t="shared" ref="D5:M5" si="0">SUM(D6:D12)</f>
        <v>835475471</v>
      </c>
      <c r="E5" s="26">
        <f t="shared" si="0"/>
        <v>481951094</v>
      </c>
      <c r="F5" s="26">
        <f t="shared" si="0"/>
        <v>7597315</v>
      </c>
      <c r="G5" s="26">
        <f t="shared" si="0"/>
        <v>0</v>
      </c>
      <c r="H5" s="26">
        <f t="shared" si="0"/>
        <v>0</v>
      </c>
      <c r="I5" s="26">
        <f t="shared" si="0"/>
        <v>0</v>
      </c>
      <c r="J5" s="26">
        <f t="shared" si="0"/>
        <v>0</v>
      </c>
      <c r="K5" s="26">
        <f t="shared" si="0"/>
        <v>0</v>
      </c>
      <c r="L5" s="26">
        <f t="shared" si="0"/>
        <v>0</v>
      </c>
      <c r="M5" s="26">
        <f t="shared" si="0"/>
        <v>2475765</v>
      </c>
      <c r="N5" s="27">
        <f>SUM(D5:M5)</f>
        <v>1327499645</v>
      </c>
      <c r="O5" s="32">
        <f t="shared" ref="O5:O36" si="1">(N5/O$136)</f>
        <v>897.71196320698641</v>
      </c>
      <c r="P5" s="6"/>
    </row>
    <row r="6" spans="1:133">
      <c r="A6" s="11"/>
      <c r="B6" s="24">
        <v>311</v>
      </c>
      <c r="C6" s="19" t="s">
        <v>3</v>
      </c>
      <c r="D6" s="45">
        <v>833934111</v>
      </c>
      <c r="E6" s="45">
        <v>53539762</v>
      </c>
      <c r="F6" s="45">
        <v>7597315</v>
      </c>
      <c r="G6" s="45">
        <v>0</v>
      </c>
      <c r="H6" s="45">
        <v>0</v>
      </c>
      <c r="I6" s="45">
        <v>0</v>
      </c>
      <c r="J6" s="45">
        <v>0</v>
      </c>
      <c r="K6" s="45">
        <v>0</v>
      </c>
      <c r="L6" s="45">
        <v>0</v>
      </c>
      <c r="M6" s="45">
        <v>0</v>
      </c>
      <c r="N6" s="45">
        <f>SUM(D6:M6)</f>
        <v>895071188</v>
      </c>
      <c r="O6" s="46">
        <f t="shared" si="1"/>
        <v>605.28536969174831</v>
      </c>
      <c r="P6" s="9"/>
    </row>
    <row r="7" spans="1:133">
      <c r="A7" s="11"/>
      <c r="B7" s="24">
        <v>312.10000000000002</v>
      </c>
      <c r="C7" s="19" t="s">
        <v>12</v>
      </c>
      <c r="D7" s="45">
        <v>0</v>
      </c>
      <c r="E7" s="45">
        <v>29377109</v>
      </c>
      <c r="F7" s="45">
        <v>0</v>
      </c>
      <c r="G7" s="45">
        <v>0</v>
      </c>
      <c r="H7" s="45">
        <v>0</v>
      </c>
      <c r="I7" s="45">
        <v>0</v>
      </c>
      <c r="J7" s="45">
        <v>0</v>
      </c>
      <c r="K7" s="45">
        <v>0</v>
      </c>
      <c r="L7" s="45">
        <v>0</v>
      </c>
      <c r="M7" s="45">
        <v>0</v>
      </c>
      <c r="N7" s="45">
        <f t="shared" ref="N7:N12" si="2">SUM(D7:M7)</f>
        <v>29377109</v>
      </c>
      <c r="O7" s="46">
        <f t="shared" si="1"/>
        <v>19.866055929329931</v>
      </c>
      <c r="P7" s="9"/>
    </row>
    <row r="8" spans="1:133">
      <c r="A8" s="11"/>
      <c r="B8" s="24">
        <v>312.3</v>
      </c>
      <c r="C8" s="19" t="s">
        <v>13</v>
      </c>
      <c r="D8" s="45">
        <v>0</v>
      </c>
      <c r="E8" s="45">
        <v>6907188</v>
      </c>
      <c r="F8" s="45">
        <v>0</v>
      </c>
      <c r="G8" s="45">
        <v>0</v>
      </c>
      <c r="H8" s="45">
        <v>0</v>
      </c>
      <c r="I8" s="45">
        <v>0</v>
      </c>
      <c r="J8" s="45">
        <v>0</v>
      </c>
      <c r="K8" s="45">
        <v>0</v>
      </c>
      <c r="L8" s="45">
        <v>0</v>
      </c>
      <c r="M8" s="45">
        <v>0</v>
      </c>
      <c r="N8" s="45">
        <f t="shared" si="2"/>
        <v>6907188</v>
      </c>
      <c r="O8" s="46">
        <f t="shared" si="1"/>
        <v>4.6709355615079939</v>
      </c>
      <c r="P8" s="9"/>
    </row>
    <row r="9" spans="1:133">
      <c r="A9" s="11"/>
      <c r="B9" s="24">
        <v>312.41000000000003</v>
      </c>
      <c r="C9" s="19" t="s">
        <v>14</v>
      </c>
      <c r="D9" s="45">
        <v>0</v>
      </c>
      <c r="E9" s="45">
        <v>26224060</v>
      </c>
      <c r="F9" s="45">
        <v>0</v>
      </c>
      <c r="G9" s="45">
        <v>0</v>
      </c>
      <c r="H9" s="45">
        <v>0</v>
      </c>
      <c r="I9" s="45">
        <v>0</v>
      </c>
      <c r="J9" s="45">
        <v>0</v>
      </c>
      <c r="K9" s="45">
        <v>0</v>
      </c>
      <c r="L9" s="45">
        <v>0</v>
      </c>
      <c r="M9" s="45">
        <v>0</v>
      </c>
      <c r="N9" s="45">
        <f t="shared" si="2"/>
        <v>26224060</v>
      </c>
      <c r="O9" s="46">
        <f t="shared" si="1"/>
        <v>17.733829515154262</v>
      </c>
      <c r="P9" s="9"/>
    </row>
    <row r="10" spans="1:133">
      <c r="A10" s="11"/>
      <c r="B10" s="24">
        <v>312.60000000000002</v>
      </c>
      <c r="C10" s="19" t="s">
        <v>15</v>
      </c>
      <c r="D10" s="45">
        <v>0</v>
      </c>
      <c r="E10" s="45">
        <v>346765908</v>
      </c>
      <c r="F10" s="45">
        <v>0</v>
      </c>
      <c r="G10" s="45">
        <v>0</v>
      </c>
      <c r="H10" s="45">
        <v>0</v>
      </c>
      <c r="I10" s="45">
        <v>0</v>
      </c>
      <c r="J10" s="45">
        <v>0</v>
      </c>
      <c r="K10" s="45">
        <v>0</v>
      </c>
      <c r="L10" s="45">
        <v>0</v>
      </c>
      <c r="M10" s="45">
        <v>2475765</v>
      </c>
      <c r="N10" s="45">
        <f t="shared" si="2"/>
        <v>349241673</v>
      </c>
      <c r="O10" s="46">
        <f t="shared" si="1"/>
        <v>236.17213690669001</v>
      </c>
      <c r="P10" s="9"/>
    </row>
    <row r="11" spans="1:133">
      <c r="A11" s="11"/>
      <c r="B11" s="24">
        <v>315</v>
      </c>
      <c r="C11" s="19" t="s">
        <v>202</v>
      </c>
      <c r="D11" s="45">
        <v>0</v>
      </c>
      <c r="E11" s="45">
        <v>19024887</v>
      </c>
      <c r="F11" s="45">
        <v>0</v>
      </c>
      <c r="G11" s="45">
        <v>0</v>
      </c>
      <c r="H11" s="45">
        <v>0</v>
      </c>
      <c r="I11" s="45">
        <v>0</v>
      </c>
      <c r="J11" s="45">
        <v>0</v>
      </c>
      <c r="K11" s="45">
        <v>0</v>
      </c>
      <c r="L11" s="45">
        <v>0</v>
      </c>
      <c r="M11" s="45">
        <v>0</v>
      </c>
      <c r="N11" s="45">
        <f t="shared" si="2"/>
        <v>19024887</v>
      </c>
      <c r="O11" s="46">
        <f t="shared" si="1"/>
        <v>12.865441224702606</v>
      </c>
      <c r="P11" s="9"/>
    </row>
    <row r="12" spans="1:133">
      <c r="A12" s="11"/>
      <c r="B12" s="24">
        <v>316</v>
      </c>
      <c r="C12" s="19" t="s">
        <v>203</v>
      </c>
      <c r="D12" s="45">
        <v>1541360</v>
      </c>
      <c r="E12" s="45">
        <v>112180</v>
      </c>
      <c r="F12" s="45">
        <v>0</v>
      </c>
      <c r="G12" s="45">
        <v>0</v>
      </c>
      <c r="H12" s="45">
        <v>0</v>
      </c>
      <c r="I12" s="45">
        <v>0</v>
      </c>
      <c r="J12" s="45">
        <v>0</v>
      </c>
      <c r="K12" s="45">
        <v>0</v>
      </c>
      <c r="L12" s="45">
        <v>0</v>
      </c>
      <c r="M12" s="45">
        <v>0</v>
      </c>
      <c r="N12" s="45">
        <f t="shared" si="2"/>
        <v>1653540</v>
      </c>
      <c r="O12" s="46">
        <f t="shared" si="1"/>
        <v>1.1181943778533217</v>
      </c>
      <c r="P12" s="9"/>
    </row>
    <row r="13" spans="1:133" ht="15.75">
      <c r="A13" s="28" t="s">
        <v>18</v>
      </c>
      <c r="B13" s="29"/>
      <c r="C13" s="30"/>
      <c r="D13" s="31">
        <f t="shared" ref="D13:M13" si="3">SUM(D14:D25)</f>
        <v>622782</v>
      </c>
      <c r="E13" s="31">
        <f t="shared" si="3"/>
        <v>115688253</v>
      </c>
      <c r="F13" s="31">
        <f t="shared" si="3"/>
        <v>0</v>
      </c>
      <c r="G13" s="31">
        <f t="shared" si="3"/>
        <v>0</v>
      </c>
      <c r="H13" s="31">
        <f t="shared" si="3"/>
        <v>0</v>
      </c>
      <c r="I13" s="31">
        <f t="shared" si="3"/>
        <v>84903</v>
      </c>
      <c r="J13" s="31">
        <f t="shared" si="3"/>
        <v>0</v>
      </c>
      <c r="K13" s="31">
        <f t="shared" si="3"/>
        <v>0</v>
      </c>
      <c r="L13" s="31">
        <f t="shared" si="3"/>
        <v>0</v>
      </c>
      <c r="M13" s="31">
        <f t="shared" si="3"/>
        <v>0</v>
      </c>
      <c r="N13" s="43">
        <f>SUM(D13:M13)</f>
        <v>116395938</v>
      </c>
      <c r="O13" s="44">
        <f t="shared" si="1"/>
        <v>78.711905050112961</v>
      </c>
      <c r="P13" s="10"/>
    </row>
    <row r="14" spans="1:133">
      <c r="A14" s="11"/>
      <c r="B14" s="24">
        <v>322</v>
      </c>
      <c r="C14" s="19" t="s">
        <v>0</v>
      </c>
      <c r="D14" s="45">
        <v>0</v>
      </c>
      <c r="E14" s="45">
        <v>16110347</v>
      </c>
      <c r="F14" s="45">
        <v>0</v>
      </c>
      <c r="G14" s="45">
        <v>0</v>
      </c>
      <c r="H14" s="45">
        <v>0</v>
      </c>
      <c r="I14" s="45">
        <v>0</v>
      </c>
      <c r="J14" s="45">
        <v>0</v>
      </c>
      <c r="K14" s="45">
        <v>0</v>
      </c>
      <c r="L14" s="45">
        <v>0</v>
      </c>
      <c r="M14" s="45">
        <v>0</v>
      </c>
      <c r="N14" s="45">
        <f>SUM(D14:M14)</f>
        <v>16110347</v>
      </c>
      <c r="O14" s="46">
        <f t="shared" si="1"/>
        <v>10.894504784079082</v>
      </c>
      <c r="P14" s="9"/>
    </row>
    <row r="15" spans="1:133">
      <c r="A15" s="11"/>
      <c r="B15" s="24">
        <v>323.3</v>
      </c>
      <c r="C15" s="19" t="s">
        <v>19</v>
      </c>
      <c r="D15" s="45">
        <v>3143</v>
      </c>
      <c r="E15" s="45">
        <v>0</v>
      </c>
      <c r="F15" s="45">
        <v>0</v>
      </c>
      <c r="G15" s="45">
        <v>0</v>
      </c>
      <c r="H15" s="45">
        <v>0</v>
      </c>
      <c r="I15" s="45">
        <v>0</v>
      </c>
      <c r="J15" s="45">
        <v>0</v>
      </c>
      <c r="K15" s="45">
        <v>0</v>
      </c>
      <c r="L15" s="45">
        <v>0</v>
      </c>
      <c r="M15" s="45">
        <v>0</v>
      </c>
      <c r="N15" s="45">
        <f t="shared" ref="N15:N24" si="4">SUM(D15:M15)</f>
        <v>3143</v>
      </c>
      <c r="O15" s="46">
        <f t="shared" si="1"/>
        <v>2.1254308511393675E-3</v>
      </c>
      <c r="P15" s="9"/>
    </row>
    <row r="16" spans="1:133">
      <c r="A16" s="11"/>
      <c r="B16" s="24">
        <v>323.60000000000002</v>
      </c>
      <c r="C16" s="19" t="s">
        <v>20</v>
      </c>
      <c r="D16" s="45">
        <v>7356</v>
      </c>
      <c r="E16" s="45">
        <v>0</v>
      </c>
      <c r="F16" s="45">
        <v>0</v>
      </c>
      <c r="G16" s="45">
        <v>0</v>
      </c>
      <c r="H16" s="45">
        <v>0</v>
      </c>
      <c r="I16" s="45">
        <v>0</v>
      </c>
      <c r="J16" s="45">
        <v>0</v>
      </c>
      <c r="K16" s="45">
        <v>0</v>
      </c>
      <c r="L16" s="45">
        <v>0</v>
      </c>
      <c r="M16" s="45">
        <v>0</v>
      </c>
      <c r="N16" s="45">
        <f t="shared" si="4"/>
        <v>7356</v>
      </c>
      <c r="O16" s="46">
        <f t="shared" si="1"/>
        <v>4.9744414066118956E-3</v>
      </c>
      <c r="P16" s="9"/>
    </row>
    <row r="17" spans="1:16">
      <c r="A17" s="11"/>
      <c r="B17" s="24">
        <v>324.11</v>
      </c>
      <c r="C17" s="19" t="s">
        <v>21</v>
      </c>
      <c r="D17" s="45">
        <v>0</v>
      </c>
      <c r="E17" s="45">
        <v>1484725</v>
      </c>
      <c r="F17" s="45">
        <v>0</v>
      </c>
      <c r="G17" s="45">
        <v>0</v>
      </c>
      <c r="H17" s="45">
        <v>0</v>
      </c>
      <c r="I17" s="45">
        <v>0</v>
      </c>
      <c r="J17" s="45">
        <v>0</v>
      </c>
      <c r="K17" s="45">
        <v>0</v>
      </c>
      <c r="L17" s="45">
        <v>0</v>
      </c>
      <c r="M17" s="45">
        <v>0</v>
      </c>
      <c r="N17" s="45">
        <f t="shared" si="4"/>
        <v>1484725</v>
      </c>
      <c r="O17" s="46">
        <f t="shared" si="1"/>
        <v>1.0040344640336931</v>
      </c>
      <c r="P17" s="9"/>
    </row>
    <row r="18" spans="1:16">
      <c r="A18" s="11"/>
      <c r="B18" s="24">
        <v>324.12</v>
      </c>
      <c r="C18" s="19" t="s">
        <v>180</v>
      </c>
      <c r="D18" s="45">
        <v>0</v>
      </c>
      <c r="E18" s="45">
        <v>95202</v>
      </c>
      <c r="F18" s="45">
        <v>0</v>
      </c>
      <c r="G18" s="45">
        <v>0</v>
      </c>
      <c r="H18" s="45">
        <v>0</v>
      </c>
      <c r="I18" s="45">
        <v>0</v>
      </c>
      <c r="J18" s="45">
        <v>0</v>
      </c>
      <c r="K18" s="45">
        <v>0</v>
      </c>
      <c r="L18" s="45">
        <v>0</v>
      </c>
      <c r="M18" s="45">
        <v>0</v>
      </c>
      <c r="N18" s="45">
        <f t="shared" si="4"/>
        <v>95202</v>
      </c>
      <c r="O18" s="46">
        <f t="shared" si="1"/>
        <v>6.437965888965004E-2</v>
      </c>
      <c r="P18" s="9"/>
    </row>
    <row r="19" spans="1:16">
      <c r="A19" s="11"/>
      <c r="B19" s="24">
        <v>324.20999999999998</v>
      </c>
      <c r="C19" s="19" t="s">
        <v>22</v>
      </c>
      <c r="D19" s="45">
        <v>0</v>
      </c>
      <c r="E19" s="45">
        <v>36048299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5">
        <v>0</v>
      </c>
      <c r="L19" s="45">
        <v>0</v>
      </c>
      <c r="M19" s="45">
        <v>0</v>
      </c>
      <c r="N19" s="45">
        <f t="shared" si="4"/>
        <v>36048299</v>
      </c>
      <c r="O19" s="46">
        <f t="shared" si="1"/>
        <v>24.377399562741459</v>
      </c>
      <c r="P19" s="9"/>
    </row>
    <row r="20" spans="1:16">
      <c r="A20" s="11"/>
      <c r="B20" s="24">
        <v>324.31</v>
      </c>
      <c r="C20" s="19" t="s">
        <v>23</v>
      </c>
      <c r="D20" s="45">
        <v>0</v>
      </c>
      <c r="E20" s="45">
        <v>13097533</v>
      </c>
      <c r="F20" s="45">
        <v>0</v>
      </c>
      <c r="G20" s="45">
        <v>0</v>
      </c>
      <c r="H20" s="45">
        <v>0</v>
      </c>
      <c r="I20" s="45">
        <v>0</v>
      </c>
      <c r="J20" s="45">
        <v>0</v>
      </c>
      <c r="K20" s="45">
        <v>0</v>
      </c>
      <c r="L20" s="45">
        <v>0</v>
      </c>
      <c r="M20" s="45">
        <v>0</v>
      </c>
      <c r="N20" s="45">
        <f t="shared" si="4"/>
        <v>13097533</v>
      </c>
      <c r="O20" s="46">
        <f t="shared" si="1"/>
        <v>8.8571112669474878</v>
      </c>
      <c r="P20" s="9"/>
    </row>
    <row r="21" spans="1:16">
      <c r="A21" s="11"/>
      <c r="B21" s="24">
        <v>324.32</v>
      </c>
      <c r="C21" s="19" t="s">
        <v>167</v>
      </c>
      <c r="D21" s="45">
        <v>0</v>
      </c>
      <c r="E21" s="45">
        <v>6715745</v>
      </c>
      <c r="F21" s="45">
        <v>0</v>
      </c>
      <c r="G21" s="45">
        <v>0</v>
      </c>
      <c r="H21" s="45">
        <v>0</v>
      </c>
      <c r="I21" s="45">
        <v>0</v>
      </c>
      <c r="J21" s="45">
        <v>0</v>
      </c>
      <c r="K21" s="45">
        <v>0</v>
      </c>
      <c r="L21" s="45">
        <v>0</v>
      </c>
      <c r="M21" s="45">
        <v>0</v>
      </c>
      <c r="N21" s="45">
        <f t="shared" si="4"/>
        <v>6715745</v>
      </c>
      <c r="O21" s="46">
        <f t="shared" si="1"/>
        <v>4.5414736275485055</v>
      </c>
      <c r="P21" s="9"/>
    </row>
    <row r="22" spans="1:16">
      <c r="A22" s="11"/>
      <c r="B22" s="24">
        <v>324.61</v>
      </c>
      <c r="C22" s="19" t="s">
        <v>24</v>
      </c>
      <c r="D22" s="45">
        <v>0</v>
      </c>
      <c r="E22" s="45">
        <v>2465002</v>
      </c>
      <c r="F22" s="45">
        <v>0</v>
      </c>
      <c r="G22" s="45">
        <v>0</v>
      </c>
      <c r="H22" s="45">
        <v>0</v>
      </c>
      <c r="I22" s="45">
        <v>0</v>
      </c>
      <c r="J22" s="45">
        <v>0</v>
      </c>
      <c r="K22" s="45">
        <v>0</v>
      </c>
      <c r="L22" s="45">
        <v>0</v>
      </c>
      <c r="M22" s="45">
        <v>0</v>
      </c>
      <c r="N22" s="45">
        <f t="shared" si="4"/>
        <v>2465002</v>
      </c>
      <c r="O22" s="46">
        <f t="shared" si="1"/>
        <v>1.666939643309018</v>
      </c>
      <c r="P22" s="9"/>
    </row>
    <row r="23" spans="1:16">
      <c r="A23" s="11"/>
      <c r="B23" s="24">
        <v>325.10000000000002</v>
      </c>
      <c r="C23" s="19" t="s">
        <v>25</v>
      </c>
      <c r="D23" s="45">
        <v>0</v>
      </c>
      <c r="E23" s="45">
        <v>29322370</v>
      </c>
      <c r="F23" s="45">
        <v>0</v>
      </c>
      <c r="G23" s="45">
        <v>0</v>
      </c>
      <c r="H23" s="45">
        <v>0</v>
      </c>
      <c r="I23" s="45">
        <v>84903</v>
      </c>
      <c r="J23" s="45">
        <v>0</v>
      </c>
      <c r="K23" s="45">
        <v>0</v>
      </c>
      <c r="L23" s="45">
        <v>0</v>
      </c>
      <c r="M23" s="45">
        <v>0</v>
      </c>
      <c r="N23" s="45">
        <f t="shared" si="4"/>
        <v>29407273</v>
      </c>
      <c r="O23" s="46">
        <f t="shared" si="1"/>
        <v>19.886454114564984</v>
      </c>
      <c r="P23" s="9"/>
    </row>
    <row r="24" spans="1:16">
      <c r="A24" s="11"/>
      <c r="B24" s="24">
        <v>325.2</v>
      </c>
      <c r="C24" s="19" t="s">
        <v>26</v>
      </c>
      <c r="D24" s="45">
        <v>0</v>
      </c>
      <c r="E24" s="45">
        <v>9809836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5">
        <v>0</v>
      </c>
      <c r="L24" s="45">
        <v>0</v>
      </c>
      <c r="M24" s="45">
        <v>0</v>
      </c>
      <c r="N24" s="45">
        <f t="shared" si="4"/>
        <v>9809836</v>
      </c>
      <c r="O24" s="46">
        <f t="shared" si="1"/>
        <v>6.6338301237727038</v>
      </c>
      <c r="P24" s="9"/>
    </row>
    <row r="25" spans="1:16">
      <c r="A25" s="11"/>
      <c r="B25" s="24">
        <v>329</v>
      </c>
      <c r="C25" s="19" t="s">
        <v>27</v>
      </c>
      <c r="D25" s="45">
        <v>612283</v>
      </c>
      <c r="E25" s="45">
        <v>539194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f>SUM(D25:M25)</f>
        <v>1151477</v>
      </c>
      <c r="O25" s="46">
        <f t="shared" si="1"/>
        <v>0.77867793196863044</v>
      </c>
      <c r="P25" s="9"/>
    </row>
    <row r="26" spans="1:16" ht="15.75">
      <c r="A26" s="28" t="s">
        <v>30</v>
      </c>
      <c r="B26" s="29"/>
      <c r="C26" s="30"/>
      <c r="D26" s="31">
        <f t="shared" ref="D26:M26" si="5">SUM(D27:D69)</f>
        <v>38660500</v>
      </c>
      <c r="E26" s="31">
        <f t="shared" si="5"/>
        <v>321904332</v>
      </c>
      <c r="F26" s="31">
        <f t="shared" si="5"/>
        <v>127784</v>
      </c>
      <c r="G26" s="31">
        <f t="shared" si="5"/>
        <v>0</v>
      </c>
      <c r="H26" s="31">
        <f t="shared" si="5"/>
        <v>0</v>
      </c>
      <c r="I26" s="31">
        <f t="shared" si="5"/>
        <v>822647</v>
      </c>
      <c r="J26" s="31">
        <f t="shared" si="5"/>
        <v>60970</v>
      </c>
      <c r="K26" s="31">
        <f t="shared" si="5"/>
        <v>0</v>
      </c>
      <c r="L26" s="31">
        <f t="shared" si="5"/>
        <v>0</v>
      </c>
      <c r="M26" s="31">
        <f t="shared" si="5"/>
        <v>6175160</v>
      </c>
      <c r="N26" s="43">
        <f>SUM(D26:M26)</f>
        <v>367751393</v>
      </c>
      <c r="O26" s="44">
        <f t="shared" si="1"/>
        <v>248.68920020097934</v>
      </c>
      <c r="P26" s="10"/>
    </row>
    <row r="27" spans="1:16">
      <c r="A27" s="11"/>
      <c r="B27" s="24">
        <v>331.1</v>
      </c>
      <c r="C27" s="19" t="s">
        <v>28</v>
      </c>
      <c r="D27" s="45">
        <v>0</v>
      </c>
      <c r="E27" s="45">
        <v>5545814</v>
      </c>
      <c r="F27" s="45">
        <v>0</v>
      </c>
      <c r="G27" s="45">
        <v>0</v>
      </c>
      <c r="H27" s="45">
        <v>0</v>
      </c>
      <c r="I27" s="45">
        <v>0</v>
      </c>
      <c r="J27" s="45">
        <v>0</v>
      </c>
      <c r="K27" s="45">
        <v>0</v>
      </c>
      <c r="L27" s="45">
        <v>0</v>
      </c>
      <c r="M27" s="45">
        <v>0</v>
      </c>
      <c r="N27" s="45">
        <f>SUM(D27:M27)</f>
        <v>5545814</v>
      </c>
      <c r="O27" s="46">
        <f t="shared" si="1"/>
        <v>3.7503163125296277</v>
      </c>
      <c r="P27" s="9"/>
    </row>
    <row r="28" spans="1:16">
      <c r="A28" s="11"/>
      <c r="B28" s="24">
        <v>331.2</v>
      </c>
      <c r="C28" s="19" t="s">
        <v>29</v>
      </c>
      <c r="D28" s="45">
        <v>1628326</v>
      </c>
      <c r="E28" s="45">
        <v>9114316</v>
      </c>
      <c r="F28" s="45">
        <v>0</v>
      </c>
      <c r="G28" s="45">
        <v>0</v>
      </c>
      <c r="H28" s="45">
        <v>0</v>
      </c>
      <c r="I28" s="45">
        <v>0</v>
      </c>
      <c r="J28" s="45">
        <v>0</v>
      </c>
      <c r="K28" s="45">
        <v>0</v>
      </c>
      <c r="L28" s="45">
        <v>0</v>
      </c>
      <c r="M28" s="45">
        <v>0</v>
      </c>
      <c r="N28" s="45">
        <f>SUM(D28:M28)</f>
        <v>10742642</v>
      </c>
      <c r="O28" s="46">
        <f t="shared" si="1"/>
        <v>7.2646333851560669</v>
      </c>
      <c r="P28" s="9"/>
    </row>
    <row r="29" spans="1:16">
      <c r="A29" s="11"/>
      <c r="B29" s="24">
        <v>331.39</v>
      </c>
      <c r="C29" s="19" t="s">
        <v>35</v>
      </c>
      <c r="D29" s="45">
        <v>0</v>
      </c>
      <c r="E29" s="45">
        <v>1014328</v>
      </c>
      <c r="F29" s="45">
        <v>127784</v>
      </c>
      <c r="G29" s="45">
        <v>0</v>
      </c>
      <c r="H29" s="45">
        <v>0</v>
      </c>
      <c r="I29" s="45">
        <v>0</v>
      </c>
      <c r="J29" s="45">
        <v>0</v>
      </c>
      <c r="K29" s="45">
        <v>0</v>
      </c>
      <c r="L29" s="45">
        <v>0</v>
      </c>
      <c r="M29" s="45">
        <v>0</v>
      </c>
      <c r="N29" s="45">
        <f t="shared" ref="N29:N39" si="6">SUM(D29:M29)</f>
        <v>1142112</v>
      </c>
      <c r="O29" s="46">
        <f t="shared" si="1"/>
        <v>0.77234491894892943</v>
      </c>
      <c r="P29" s="9"/>
    </row>
    <row r="30" spans="1:16">
      <c r="A30" s="11"/>
      <c r="B30" s="24">
        <v>331.49</v>
      </c>
      <c r="C30" s="19" t="s">
        <v>36</v>
      </c>
      <c r="D30" s="45">
        <v>0</v>
      </c>
      <c r="E30" s="45">
        <v>1446713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f t="shared" si="6"/>
        <v>1446713</v>
      </c>
      <c r="O30" s="46">
        <f t="shared" si="1"/>
        <v>0.97832912597657906</v>
      </c>
      <c r="P30" s="9"/>
    </row>
    <row r="31" spans="1:16">
      <c r="A31" s="11"/>
      <c r="B31" s="24">
        <v>331.5</v>
      </c>
      <c r="C31" s="19" t="s">
        <v>31</v>
      </c>
      <c r="D31" s="45">
        <v>0</v>
      </c>
      <c r="E31" s="45">
        <v>23041414</v>
      </c>
      <c r="F31" s="45">
        <v>0</v>
      </c>
      <c r="G31" s="45">
        <v>0</v>
      </c>
      <c r="H31" s="45">
        <v>0</v>
      </c>
      <c r="I31" s="45">
        <v>0</v>
      </c>
      <c r="J31" s="45">
        <v>0</v>
      </c>
      <c r="K31" s="45">
        <v>0</v>
      </c>
      <c r="L31" s="45">
        <v>0</v>
      </c>
      <c r="M31" s="45">
        <v>0</v>
      </c>
      <c r="N31" s="45">
        <f t="shared" si="6"/>
        <v>23041414</v>
      </c>
      <c r="O31" s="46">
        <f t="shared" si="1"/>
        <v>15.581588345362563</v>
      </c>
      <c r="P31" s="9"/>
    </row>
    <row r="32" spans="1:16">
      <c r="A32" s="11"/>
      <c r="B32" s="24">
        <v>331.61</v>
      </c>
      <c r="C32" s="19" t="s">
        <v>37</v>
      </c>
      <c r="D32" s="45">
        <v>0</v>
      </c>
      <c r="E32" s="45">
        <v>4466642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45">
        <f t="shared" si="6"/>
        <v>4466642</v>
      </c>
      <c r="O32" s="46">
        <f t="shared" si="1"/>
        <v>3.0205341100206322</v>
      </c>
      <c r="P32" s="9"/>
    </row>
    <row r="33" spans="1:16">
      <c r="A33" s="11"/>
      <c r="B33" s="24">
        <v>331.65</v>
      </c>
      <c r="C33" s="19" t="s">
        <v>38</v>
      </c>
      <c r="D33" s="45">
        <v>1311319</v>
      </c>
      <c r="E33" s="45">
        <v>0</v>
      </c>
      <c r="F33" s="45">
        <v>0</v>
      </c>
      <c r="G33" s="45">
        <v>0</v>
      </c>
      <c r="H33" s="45">
        <v>0</v>
      </c>
      <c r="I33" s="45">
        <v>0</v>
      </c>
      <c r="J33" s="45">
        <v>0</v>
      </c>
      <c r="K33" s="45">
        <v>0</v>
      </c>
      <c r="L33" s="45">
        <v>0</v>
      </c>
      <c r="M33" s="45">
        <v>0</v>
      </c>
      <c r="N33" s="45">
        <f t="shared" si="6"/>
        <v>1311319</v>
      </c>
      <c r="O33" s="46">
        <f t="shared" si="1"/>
        <v>0.88676991991257537</v>
      </c>
      <c r="P33" s="9"/>
    </row>
    <row r="34" spans="1:16">
      <c r="A34" s="11"/>
      <c r="B34" s="24">
        <v>331.69</v>
      </c>
      <c r="C34" s="19" t="s">
        <v>39</v>
      </c>
      <c r="D34" s="45">
        <v>0</v>
      </c>
      <c r="E34" s="45">
        <v>55903980</v>
      </c>
      <c r="F34" s="45">
        <v>0</v>
      </c>
      <c r="G34" s="45">
        <v>0</v>
      </c>
      <c r="H34" s="45">
        <v>0</v>
      </c>
      <c r="I34" s="45">
        <v>0</v>
      </c>
      <c r="J34" s="45">
        <v>0</v>
      </c>
      <c r="K34" s="45">
        <v>0</v>
      </c>
      <c r="L34" s="45">
        <v>0</v>
      </c>
      <c r="M34" s="45">
        <v>0</v>
      </c>
      <c r="N34" s="45">
        <f t="shared" si="6"/>
        <v>55903980</v>
      </c>
      <c r="O34" s="46">
        <f t="shared" si="1"/>
        <v>37.804659177053189</v>
      </c>
      <c r="P34" s="9"/>
    </row>
    <row r="35" spans="1:16">
      <c r="A35" s="11"/>
      <c r="B35" s="24">
        <v>331.7</v>
      </c>
      <c r="C35" s="19" t="s">
        <v>169</v>
      </c>
      <c r="D35" s="45">
        <v>0</v>
      </c>
      <c r="E35" s="45">
        <v>7500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f t="shared" si="6"/>
        <v>7500</v>
      </c>
      <c r="O35" s="46">
        <f t="shared" si="1"/>
        <v>5.0718203574754237E-3</v>
      </c>
      <c r="P35" s="9"/>
    </row>
    <row r="36" spans="1:16">
      <c r="A36" s="11"/>
      <c r="B36" s="24">
        <v>332</v>
      </c>
      <c r="C36" s="19" t="s">
        <v>292</v>
      </c>
      <c r="D36" s="45">
        <v>0</v>
      </c>
      <c r="E36" s="45">
        <v>55852915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f t="shared" si="6"/>
        <v>55852915</v>
      </c>
      <c r="O36" s="46">
        <f t="shared" si="1"/>
        <v>37.770126842845926</v>
      </c>
      <c r="P36" s="9"/>
    </row>
    <row r="37" spans="1:16">
      <c r="A37" s="11"/>
      <c r="B37" s="24">
        <v>333</v>
      </c>
      <c r="C37" s="19" t="s">
        <v>4</v>
      </c>
      <c r="D37" s="45">
        <v>1083</v>
      </c>
      <c r="E37" s="45">
        <v>0</v>
      </c>
      <c r="F37" s="45">
        <v>0</v>
      </c>
      <c r="G37" s="45">
        <v>0</v>
      </c>
      <c r="H37" s="45">
        <v>0</v>
      </c>
      <c r="I37" s="45">
        <v>0</v>
      </c>
      <c r="J37" s="45">
        <v>0</v>
      </c>
      <c r="K37" s="45">
        <v>0</v>
      </c>
      <c r="L37" s="45">
        <v>0</v>
      </c>
      <c r="M37" s="45">
        <v>0</v>
      </c>
      <c r="N37" s="45">
        <f t="shared" si="6"/>
        <v>1083</v>
      </c>
      <c r="O37" s="46">
        <f t="shared" ref="O37:O68" si="7">(N37/O$136)</f>
        <v>7.3237085961945112E-4</v>
      </c>
      <c r="P37" s="9"/>
    </row>
    <row r="38" spans="1:16">
      <c r="A38" s="11"/>
      <c r="B38" s="24">
        <v>334.1</v>
      </c>
      <c r="C38" s="19" t="s">
        <v>189</v>
      </c>
      <c r="D38" s="45">
        <v>0</v>
      </c>
      <c r="E38" s="45">
        <v>0</v>
      </c>
      <c r="F38" s="45">
        <v>0</v>
      </c>
      <c r="G38" s="45">
        <v>0</v>
      </c>
      <c r="H38" s="45">
        <v>0</v>
      </c>
      <c r="I38" s="45">
        <v>-4455753</v>
      </c>
      <c r="J38" s="45">
        <v>0</v>
      </c>
      <c r="K38" s="45">
        <v>0</v>
      </c>
      <c r="L38" s="45">
        <v>0</v>
      </c>
      <c r="M38" s="45">
        <v>0</v>
      </c>
      <c r="N38" s="45">
        <f t="shared" si="6"/>
        <v>-4455753</v>
      </c>
      <c r="O38" s="46">
        <f t="shared" si="7"/>
        <v>-3.0131705031042921</v>
      </c>
      <c r="P38" s="9"/>
    </row>
    <row r="39" spans="1:16">
      <c r="A39" s="11"/>
      <c r="B39" s="24">
        <v>334.2</v>
      </c>
      <c r="C39" s="19" t="s">
        <v>33</v>
      </c>
      <c r="D39" s="45">
        <v>129173</v>
      </c>
      <c r="E39" s="45">
        <v>2228584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f t="shared" si="6"/>
        <v>2357757</v>
      </c>
      <c r="O39" s="46">
        <f t="shared" si="7"/>
        <v>1.594415993410691</v>
      </c>
      <c r="P39" s="9"/>
    </row>
    <row r="40" spans="1:16">
      <c r="A40" s="11"/>
      <c r="B40" s="24">
        <v>334.39</v>
      </c>
      <c r="C40" s="19" t="s">
        <v>40</v>
      </c>
      <c r="D40" s="45">
        <v>69311</v>
      </c>
      <c r="E40" s="45">
        <v>1767730</v>
      </c>
      <c r="F40" s="45">
        <v>0</v>
      </c>
      <c r="G40" s="45">
        <v>0</v>
      </c>
      <c r="H40" s="45">
        <v>0</v>
      </c>
      <c r="I40" s="45">
        <v>2934000</v>
      </c>
      <c r="J40" s="45">
        <v>0</v>
      </c>
      <c r="K40" s="45">
        <v>0</v>
      </c>
      <c r="L40" s="45">
        <v>0</v>
      </c>
      <c r="M40" s="45">
        <v>0</v>
      </c>
      <c r="N40" s="45">
        <f t="shared" ref="N40:N63" si="8">SUM(D40:M40)</f>
        <v>4771041</v>
      </c>
      <c r="O40" s="46">
        <f t="shared" si="7"/>
        <v>3.2263817160199872</v>
      </c>
      <c r="P40" s="9"/>
    </row>
    <row r="41" spans="1:16">
      <c r="A41" s="11"/>
      <c r="B41" s="24">
        <v>334.49</v>
      </c>
      <c r="C41" s="19" t="s">
        <v>41</v>
      </c>
      <c r="D41" s="45">
        <v>0</v>
      </c>
      <c r="E41" s="45">
        <v>59204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f t="shared" si="8"/>
        <v>59204</v>
      </c>
      <c r="O41" s="46">
        <f t="shared" si="7"/>
        <v>4.0036273659196667E-2</v>
      </c>
      <c r="P41" s="9"/>
    </row>
    <row r="42" spans="1:16">
      <c r="A42" s="11"/>
      <c r="B42" s="24">
        <v>334.5</v>
      </c>
      <c r="C42" s="19" t="s">
        <v>42</v>
      </c>
      <c r="D42" s="45">
        <v>0</v>
      </c>
      <c r="E42" s="45">
        <v>568585</v>
      </c>
      <c r="F42" s="45">
        <v>0</v>
      </c>
      <c r="G42" s="45">
        <v>0</v>
      </c>
      <c r="H42" s="45">
        <v>0</v>
      </c>
      <c r="I42" s="45">
        <v>0</v>
      </c>
      <c r="J42" s="45">
        <v>0</v>
      </c>
      <c r="K42" s="45">
        <v>0</v>
      </c>
      <c r="L42" s="45">
        <v>0</v>
      </c>
      <c r="M42" s="45">
        <v>0</v>
      </c>
      <c r="N42" s="45">
        <f t="shared" si="8"/>
        <v>568585</v>
      </c>
      <c r="O42" s="46">
        <f t="shared" si="7"/>
        <v>0.38450146372735516</v>
      </c>
      <c r="P42" s="9"/>
    </row>
    <row r="43" spans="1:16">
      <c r="A43" s="11"/>
      <c r="B43" s="24">
        <v>334.61</v>
      </c>
      <c r="C43" s="19" t="s">
        <v>43</v>
      </c>
      <c r="D43" s="45">
        <v>0</v>
      </c>
      <c r="E43" s="45">
        <v>107569</v>
      </c>
      <c r="F43" s="45">
        <v>0</v>
      </c>
      <c r="G43" s="45">
        <v>0</v>
      </c>
      <c r="H43" s="45">
        <v>0</v>
      </c>
      <c r="I43" s="45">
        <v>0</v>
      </c>
      <c r="J43" s="45">
        <v>0</v>
      </c>
      <c r="K43" s="45">
        <v>0</v>
      </c>
      <c r="L43" s="45">
        <v>0</v>
      </c>
      <c r="M43" s="45">
        <v>0</v>
      </c>
      <c r="N43" s="45">
        <f t="shared" si="8"/>
        <v>107569</v>
      </c>
      <c r="O43" s="46">
        <f t="shared" si="7"/>
        <v>7.274275253776985E-2</v>
      </c>
      <c r="P43" s="9"/>
    </row>
    <row r="44" spans="1:16">
      <c r="A44" s="11"/>
      <c r="B44" s="24">
        <v>334.69</v>
      </c>
      <c r="C44" s="19" t="s">
        <v>44</v>
      </c>
      <c r="D44" s="45">
        <v>0</v>
      </c>
      <c r="E44" s="45">
        <v>7031852</v>
      </c>
      <c r="F44" s="45">
        <v>0</v>
      </c>
      <c r="G44" s="45">
        <v>0</v>
      </c>
      <c r="H44" s="45">
        <v>0</v>
      </c>
      <c r="I44" s="45">
        <v>0</v>
      </c>
      <c r="J44" s="45">
        <v>0</v>
      </c>
      <c r="K44" s="45">
        <v>0</v>
      </c>
      <c r="L44" s="45">
        <v>0</v>
      </c>
      <c r="M44" s="45">
        <v>0</v>
      </c>
      <c r="N44" s="45">
        <f t="shared" si="8"/>
        <v>7031852</v>
      </c>
      <c r="O44" s="46">
        <f t="shared" si="7"/>
        <v>4.755238683247236</v>
      </c>
      <c r="P44" s="9"/>
    </row>
    <row r="45" spans="1:16">
      <c r="A45" s="11"/>
      <c r="B45" s="24">
        <v>334.7</v>
      </c>
      <c r="C45" s="19" t="s">
        <v>45</v>
      </c>
      <c r="D45" s="45">
        <v>0</v>
      </c>
      <c r="E45" s="45">
        <v>978537</v>
      </c>
      <c r="F45" s="45">
        <v>0</v>
      </c>
      <c r="G45" s="45">
        <v>0</v>
      </c>
      <c r="H45" s="45">
        <v>0</v>
      </c>
      <c r="I45" s="45">
        <v>0</v>
      </c>
      <c r="J45" s="45">
        <v>0</v>
      </c>
      <c r="K45" s="45">
        <v>0</v>
      </c>
      <c r="L45" s="45">
        <v>0</v>
      </c>
      <c r="M45" s="45">
        <v>0</v>
      </c>
      <c r="N45" s="45">
        <f t="shared" si="8"/>
        <v>978537</v>
      </c>
      <c r="O45" s="46">
        <f t="shared" si="7"/>
        <v>0.66172851695239043</v>
      </c>
      <c r="P45" s="9"/>
    </row>
    <row r="46" spans="1:16">
      <c r="A46" s="11"/>
      <c r="B46" s="24">
        <v>334.82</v>
      </c>
      <c r="C46" s="19" t="s">
        <v>264</v>
      </c>
      <c r="D46" s="45">
        <v>0</v>
      </c>
      <c r="E46" s="45">
        <v>4377885</v>
      </c>
      <c r="F46" s="45">
        <v>0</v>
      </c>
      <c r="G46" s="45">
        <v>0</v>
      </c>
      <c r="H46" s="45">
        <v>0</v>
      </c>
      <c r="I46" s="45">
        <v>0</v>
      </c>
      <c r="J46" s="45">
        <v>0</v>
      </c>
      <c r="K46" s="45">
        <v>0</v>
      </c>
      <c r="L46" s="45">
        <v>0</v>
      </c>
      <c r="M46" s="45">
        <v>0</v>
      </c>
      <c r="N46" s="45">
        <f>SUM(D46:M46)</f>
        <v>4377885</v>
      </c>
      <c r="O46" s="46">
        <f t="shared" si="7"/>
        <v>2.9605128354248396</v>
      </c>
      <c r="P46" s="9"/>
    </row>
    <row r="47" spans="1:16">
      <c r="A47" s="11"/>
      <c r="B47" s="24">
        <v>334.89</v>
      </c>
      <c r="C47" s="19" t="s">
        <v>46</v>
      </c>
      <c r="D47" s="45">
        <v>0</v>
      </c>
      <c r="E47" s="45">
        <v>2290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f t="shared" si="8"/>
        <v>2290</v>
      </c>
      <c r="O47" s="46">
        <f t="shared" si="7"/>
        <v>1.5485958158158294E-3</v>
      </c>
      <c r="P47" s="9"/>
    </row>
    <row r="48" spans="1:16">
      <c r="A48" s="11"/>
      <c r="B48" s="24">
        <v>334.9</v>
      </c>
      <c r="C48" s="19" t="s">
        <v>47</v>
      </c>
      <c r="D48" s="45">
        <v>0</v>
      </c>
      <c r="E48" s="45">
        <v>-1634</v>
      </c>
      <c r="F48" s="45">
        <v>0</v>
      </c>
      <c r="G48" s="45">
        <v>0</v>
      </c>
      <c r="H48" s="45">
        <v>0</v>
      </c>
      <c r="I48" s="45">
        <v>0</v>
      </c>
      <c r="J48" s="45">
        <v>0</v>
      </c>
      <c r="K48" s="45">
        <v>0</v>
      </c>
      <c r="L48" s="45">
        <v>0</v>
      </c>
      <c r="M48" s="45">
        <v>0</v>
      </c>
      <c r="N48" s="45">
        <f t="shared" si="8"/>
        <v>-1634</v>
      </c>
      <c r="O48" s="46">
        <f t="shared" si="7"/>
        <v>-1.1049805952153123E-3</v>
      </c>
      <c r="P48" s="9"/>
    </row>
    <row r="49" spans="1:16">
      <c r="A49" s="11"/>
      <c r="B49" s="24">
        <v>335.12</v>
      </c>
      <c r="C49" s="19" t="s">
        <v>204</v>
      </c>
      <c r="D49" s="45">
        <v>30439700</v>
      </c>
      <c r="E49" s="45">
        <v>6752474</v>
      </c>
      <c r="F49" s="45">
        <v>0</v>
      </c>
      <c r="G49" s="45">
        <v>0</v>
      </c>
      <c r="H49" s="45">
        <v>0</v>
      </c>
      <c r="I49" s="45">
        <v>0</v>
      </c>
      <c r="J49" s="45">
        <v>0</v>
      </c>
      <c r="K49" s="45">
        <v>0</v>
      </c>
      <c r="L49" s="45">
        <v>0</v>
      </c>
      <c r="M49" s="45">
        <v>0</v>
      </c>
      <c r="N49" s="45">
        <f t="shared" si="8"/>
        <v>37192174</v>
      </c>
      <c r="O49" s="46">
        <f t="shared" si="7"/>
        <v>25.150936697595753</v>
      </c>
      <c r="P49" s="9"/>
    </row>
    <row r="50" spans="1:16">
      <c r="A50" s="11"/>
      <c r="B50" s="24">
        <v>335.13</v>
      </c>
      <c r="C50" s="19" t="s">
        <v>205</v>
      </c>
      <c r="D50" s="45">
        <v>521346</v>
      </c>
      <c r="E50" s="45">
        <v>0</v>
      </c>
      <c r="F50" s="45">
        <v>0</v>
      </c>
      <c r="G50" s="45">
        <v>0</v>
      </c>
      <c r="H50" s="45">
        <v>0</v>
      </c>
      <c r="I50" s="45">
        <v>0</v>
      </c>
      <c r="J50" s="45">
        <v>0</v>
      </c>
      <c r="K50" s="45">
        <v>0</v>
      </c>
      <c r="L50" s="45">
        <v>0</v>
      </c>
      <c r="M50" s="45">
        <v>0</v>
      </c>
      <c r="N50" s="45">
        <f t="shared" si="8"/>
        <v>521346</v>
      </c>
      <c r="O50" s="46">
        <f t="shared" si="7"/>
        <v>0.35255643414511761</v>
      </c>
      <c r="P50" s="9"/>
    </row>
    <row r="51" spans="1:16">
      <c r="A51" s="11"/>
      <c r="B51" s="24">
        <v>335.14</v>
      </c>
      <c r="C51" s="19" t="s">
        <v>206</v>
      </c>
      <c r="D51" s="45">
        <v>379133</v>
      </c>
      <c r="E51" s="45">
        <v>0</v>
      </c>
      <c r="F51" s="45">
        <v>0</v>
      </c>
      <c r="G51" s="45">
        <v>0</v>
      </c>
      <c r="H51" s="45">
        <v>0</v>
      </c>
      <c r="I51" s="45">
        <v>0</v>
      </c>
      <c r="J51" s="45">
        <v>0</v>
      </c>
      <c r="K51" s="45">
        <v>0</v>
      </c>
      <c r="L51" s="45">
        <v>0</v>
      </c>
      <c r="M51" s="45">
        <v>0</v>
      </c>
      <c r="N51" s="45">
        <f t="shared" si="8"/>
        <v>379133</v>
      </c>
      <c r="O51" s="46">
        <f t="shared" si="7"/>
        <v>0.25638592901209728</v>
      </c>
      <c r="P51" s="9"/>
    </row>
    <row r="52" spans="1:16">
      <c r="A52" s="11"/>
      <c r="B52" s="24">
        <v>335.15</v>
      </c>
      <c r="C52" s="19" t="s">
        <v>207</v>
      </c>
      <c r="D52" s="45">
        <v>464177</v>
      </c>
      <c r="E52" s="45">
        <v>0</v>
      </c>
      <c r="F52" s="45">
        <v>0</v>
      </c>
      <c r="G52" s="45">
        <v>0</v>
      </c>
      <c r="H52" s="45">
        <v>0</v>
      </c>
      <c r="I52" s="45">
        <v>0</v>
      </c>
      <c r="J52" s="45">
        <v>0</v>
      </c>
      <c r="K52" s="45">
        <v>0</v>
      </c>
      <c r="L52" s="45">
        <v>0</v>
      </c>
      <c r="M52" s="45">
        <v>0</v>
      </c>
      <c r="N52" s="45">
        <f t="shared" si="8"/>
        <v>464177</v>
      </c>
      <c r="O52" s="46">
        <f t="shared" si="7"/>
        <v>0.31389631440958266</v>
      </c>
      <c r="P52" s="9"/>
    </row>
    <row r="53" spans="1:16">
      <c r="A53" s="11"/>
      <c r="B53" s="24">
        <v>335.16</v>
      </c>
      <c r="C53" s="19" t="s">
        <v>208</v>
      </c>
      <c r="D53" s="45">
        <v>3325944</v>
      </c>
      <c r="E53" s="45">
        <v>0</v>
      </c>
      <c r="F53" s="45">
        <v>0</v>
      </c>
      <c r="G53" s="45">
        <v>0</v>
      </c>
      <c r="H53" s="45">
        <v>0</v>
      </c>
      <c r="I53" s="45">
        <v>0</v>
      </c>
      <c r="J53" s="45">
        <v>0</v>
      </c>
      <c r="K53" s="45">
        <v>0</v>
      </c>
      <c r="L53" s="45">
        <v>0</v>
      </c>
      <c r="M53" s="45">
        <v>0</v>
      </c>
      <c r="N53" s="45">
        <f t="shared" si="8"/>
        <v>3325944</v>
      </c>
      <c r="O53" s="46">
        <f t="shared" si="7"/>
        <v>2.2491453982697656</v>
      </c>
      <c r="P53" s="9"/>
    </row>
    <row r="54" spans="1:16">
      <c r="A54" s="11"/>
      <c r="B54" s="24">
        <v>335.17</v>
      </c>
      <c r="C54" s="19" t="s">
        <v>209</v>
      </c>
      <c r="D54" s="45">
        <v>65232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f t="shared" si="8"/>
        <v>65232</v>
      </c>
      <c r="O54" s="46">
        <f t="shared" si="7"/>
        <v>4.4112664741178247E-2</v>
      </c>
      <c r="P54" s="9"/>
    </row>
    <row r="55" spans="1:16">
      <c r="A55" s="11"/>
      <c r="B55" s="24">
        <v>335.18</v>
      </c>
      <c r="C55" s="19" t="s">
        <v>210</v>
      </c>
      <c r="D55" s="45">
        <v>0</v>
      </c>
      <c r="E55" s="45">
        <v>110061938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f t="shared" si="8"/>
        <v>110061938</v>
      </c>
      <c r="O55" s="46">
        <f t="shared" si="7"/>
        <v>74.428583697546387</v>
      </c>
      <c r="P55" s="9"/>
    </row>
    <row r="56" spans="1:16">
      <c r="A56" s="11"/>
      <c r="B56" s="24">
        <v>335.21</v>
      </c>
      <c r="C56" s="19" t="s">
        <v>55</v>
      </c>
      <c r="D56" s="45">
        <v>323856</v>
      </c>
      <c r="E56" s="45">
        <v>0</v>
      </c>
      <c r="F56" s="45">
        <v>0</v>
      </c>
      <c r="G56" s="45">
        <v>0</v>
      </c>
      <c r="H56" s="45">
        <v>0</v>
      </c>
      <c r="I56" s="45">
        <v>0</v>
      </c>
      <c r="J56" s="45">
        <v>0</v>
      </c>
      <c r="K56" s="45">
        <v>0</v>
      </c>
      <c r="L56" s="45">
        <v>0</v>
      </c>
      <c r="M56" s="45">
        <v>0</v>
      </c>
      <c r="N56" s="45">
        <f t="shared" si="8"/>
        <v>323856</v>
      </c>
      <c r="O56" s="46">
        <f t="shared" si="7"/>
        <v>0.21900526049207478</v>
      </c>
      <c r="P56" s="9"/>
    </row>
    <row r="57" spans="1:16">
      <c r="A57" s="11"/>
      <c r="B57" s="24">
        <v>335.22</v>
      </c>
      <c r="C57" s="19" t="s">
        <v>56</v>
      </c>
      <c r="D57" s="45">
        <v>0</v>
      </c>
      <c r="E57" s="45">
        <v>7350934</v>
      </c>
      <c r="F57" s="45">
        <v>0</v>
      </c>
      <c r="G57" s="45">
        <v>0</v>
      </c>
      <c r="H57" s="45">
        <v>0</v>
      </c>
      <c r="I57" s="45">
        <v>0</v>
      </c>
      <c r="J57" s="45">
        <v>0</v>
      </c>
      <c r="K57" s="45">
        <v>0</v>
      </c>
      <c r="L57" s="45">
        <v>0</v>
      </c>
      <c r="M57" s="45">
        <v>0</v>
      </c>
      <c r="N57" s="45">
        <f t="shared" si="8"/>
        <v>7350934</v>
      </c>
      <c r="O57" s="46">
        <f t="shared" si="7"/>
        <v>4.9710155610210993</v>
      </c>
      <c r="P57" s="9"/>
    </row>
    <row r="58" spans="1:16">
      <c r="A58" s="11"/>
      <c r="B58" s="24">
        <v>335.29</v>
      </c>
      <c r="C58" s="19" t="s">
        <v>57</v>
      </c>
      <c r="D58" s="45">
        <v>1900</v>
      </c>
      <c r="E58" s="45">
        <v>0</v>
      </c>
      <c r="F58" s="45">
        <v>0</v>
      </c>
      <c r="G58" s="45">
        <v>0</v>
      </c>
      <c r="H58" s="45">
        <v>0</v>
      </c>
      <c r="I58" s="45">
        <v>0</v>
      </c>
      <c r="J58" s="45">
        <v>0</v>
      </c>
      <c r="K58" s="45">
        <v>0</v>
      </c>
      <c r="L58" s="45">
        <v>0</v>
      </c>
      <c r="M58" s="45">
        <v>0</v>
      </c>
      <c r="N58" s="45">
        <f t="shared" si="8"/>
        <v>1900</v>
      </c>
      <c r="O58" s="46">
        <f t="shared" si="7"/>
        <v>1.2848611572271074E-3</v>
      </c>
      <c r="P58" s="9"/>
    </row>
    <row r="59" spans="1:16">
      <c r="A59" s="11"/>
      <c r="B59" s="24">
        <v>335.39</v>
      </c>
      <c r="C59" s="19" t="s">
        <v>58</v>
      </c>
      <c r="D59" s="45">
        <v>0</v>
      </c>
      <c r="E59" s="45">
        <v>1184954</v>
      </c>
      <c r="F59" s="45">
        <v>0</v>
      </c>
      <c r="G59" s="45">
        <v>0</v>
      </c>
      <c r="H59" s="45">
        <v>0</v>
      </c>
      <c r="I59" s="45">
        <v>0</v>
      </c>
      <c r="J59" s="45">
        <v>0</v>
      </c>
      <c r="K59" s="45">
        <v>0</v>
      </c>
      <c r="L59" s="45">
        <v>0</v>
      </c>
      <c r="M59" s="45">
        <v>0</v>
      </c>
      <c r="N59" s="45">
        <f t="shared" si="8"/>
        <v>1184954</v>
      </c>
      <c r="O59" s="46">
        <f t="shared" si="7"/>
        <v>0.80131650931625775</v>
      </c>
      <c r="P59" s="9"/>
    </row>
    <row r="60" spans="1:16">
      <c r="A60" s="11"/>
      <c r="B60" s="24">
        <v>335.49</v>
      </c>
      <c r="C60" s="19" t="s">
        <v>59</v>
      </c>
      <c r="D60" s="45">
        <v>0</v>
      </c>
      <c r="E60" s="45">
        <v>17018802</v>
      </c>
      <c r="F60" s="45">
        <v>0</v>
      </c>
      <c r="G60" s="45">
        <v>0</v>
      </c>
      <c r="H60" s="45">
        <v>0</v>
      </c>
      <c r="I60" s="45">
        <v>0</v>
      </c>
      <c r="J60" s="45">
        <v>0</v>
      </c>
      <c r="K60" s="45">
        <v>0</v>
      </c>
      <c r="L60" s="45">
        <v>0</v>
      </c>
      <c r="M60" s="45">
        <v>0</v>
      </c>
      <c r="N60" s="45">
        <f t="shared" si="8"/>
        <v>17018802</v>
      </c>
      <c r="O60" s="46">
        <f t="shared" si="7"/>
        <v>11.508840859125794</v>
      </c>
      <c r="P60" s="9"/>
    </row>
    <row r="61" spans="1:16">
      <c r="A61" s="11"/>
      <c r="B61" s="24">
        <v>335.5</v>
      </c>
      <c r="C61" s="19" t="s">
        <v>60</v>
      </c>
      <c r="D61" s="45">
        <v>0</v>
      </c>
      <c r="E61" s="45">
        <v>3147091</v>
      </c>
      <c r="F61" s="45">
        <v>0</v>
      </c>
      <c r="G61" s="45">
        <v>0</v>
      </c>
      <c r="H61" s="45">
        <v>0</v>
      </c>
      <c r="I61" s="45">
        <v>0</v>
      </c>
      <c r="J61" s="45">
        <v>0</v>
      </c>
      <c r="K61" s="45">
        <v>0</v>
      </c>
      <c r="L61" s="45">
        <v>0</v>
      </c>
      <c r="M61" s="45">
        <v>0</v>
      </c>
      <c r="N61" s="45">
        <f t="shared" si="8"/>
        <v>3147091</v>
      </c>
      <c r="O61" s="46">
        <f t="shared" si="7"/>
        <v>2.1281973600836919</v>
      </c>
      <c r="P61" s="9"/>
    </row>
    <row r="62" spans="1:16">
      <c r="A62" s="11"/>
      <c r="B62" s="24">
        <v>335.69</v>
      </c>
      <c r="C62" s="19" t="s">
        <v>61</v>
      </c>
      <c r="D62" s="45">
        <v>0</v>
      </c>
      <c r="E62" s="45">
        <v>0</v>
      </c>
      <c r="F62" s="45">
        <v>0</v>
      </c>
      <c r="G62" s="45">
        <v>0</v>
      </c>
      <c r="H62" s="45">
        <v>0</v>
      </c>
      <c r="I62" s="45">
        <v>0</v>
      </c>
      <c r="J62" s="45">
        <v>60970</v>
      </c>
      <c r="K62" s="45">
        <v>0</v>
      </c>
      <c r="L62" s="45">
        <v>0</v>
      </c>
      <c r="M62" s="45">
        <v>0</v>
      </c>
      <c r="N62" s="45">
        <f t="shared" si="8"/>
        <v>60970</v>
      </c>
      <c r="O62" s="46">
        <f t="shared" si="7"/>
        <v>4.1230518292703543E-2</v>
      </c>
      <c r="P62" s="9"/>
    </row>
    <row r="63" spans="1:16">
      <c r="A63" s="11"/>
      <c r="B63" s="24">
        <v>335.7</v>
      </c>
      <c r="C63" s="19" t="s">
        <v>62</v>
      </c>
      <c r="D63" s="45">
        <v>0</v>
      </c>
      <c r="E63" s="45">
        <v>2653036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0</v>
      </c>
      <c r="N63" s="45">
        <f t="shared" si="8"/>
        <v>2653036</v>
      </c>
      <c r="O63" s="46">
        <f t="shared" si="7"/>
        <v>1.7940962658553556</v>
      </c>
      <c r="P63" s="9"/>
    </row>
    <row r="64" spans="1:16">
      <c r="A64" s="11"/>
      <c r="B64" s="24">
        <v>337.1</v>
      </c>
      <c r="C64" s="19" t="s">
        <v>64</v>
      </c>
      <c r="D64" s="45">
        <v>0</v>
      </c>
      <c r="E64" s="45">
        <v>-27</v>
      </c>
      <c r="F64" s="45">
        <v>0</v>
      </c>
      <c r="G64" s="45">
        <v>0</v>
      </c>
      <c r="H64" s="45">
        <v>0</v>
      </c>
      <c r="I64" s="45">
        <v>0</v>
      </c>
      <c r="J64" s="45">
        <v>0</v>
      </c>
      <c r="K64" s="45">
        <v>0</v>
      </c>
      <c r="L64" s="45">
        <v>0</v>
      </c>
      <c r="M64" s="45">
        <v>4619160</v>
      </c>
      <c r="N64" s="45">
        <f t="shared" ref="N64:N71" si="9">SUM(D64:M64)</f>
        <v>4619133</v>
      </c>
      <c r="O64" s="46">
        <f t="shared" si="7"/>
        <v>3.1236550377715369</v>
      </c>
      <c r="P64" s="9"/>
    </row>
    <row r="65" spans="1:16">
      <c r="A65" s="11"/>
      <c r="B65" s="24">
        <v>337.2</v>
      </c>
      <c r="C65" s="19" t="s">
        <v>65</v>
      </c>
      <c r="D65" s="45">
        <v>0</v>
      </c>
      <c r="E65" s="45">
        <v>312709</v>
      </c>
      <c r="F65" s="45">
        <v>0</v>
      </c>
      <c r="G65" s="45">
        <v>0</v>
      </c>
      <c r="H65" s="45">
        <v>0</v>
      </c>
      <c r="I65" s="45">
        <v>0</v>
      </c>
      <c r="J65" s="45">
        <v>0</v>
      </c>
      <c r="K65" s="45">
        <v>0</v>
      </c>
      <c r="L65" s="45">
        <v>0</v>
      </c>
      <c r="M65" s="45">
        <v>0</v>
      </c>
      <c r="N65" s="45">
        <f t="shared" si="9"/>
        <v>312709</v>
      </c>
      <c r="O65" s="46">
        <f t="shared" si="7"/>
        <v>0.21146718295543762</v>
      </c>
      <c r="P65" s="9"/>
    </row>
    <row r="66" spans="1:16">
      <c r="A66" s="11"/>
      <c r="B66" s="24">
        <v>337.3</v>
      </c>
      <c r="C66" s="19" t="s">
        <v>66</v>
      </c>
      <c r="D66" s="45">
        <v>0</v>
      </c>
      <c r="E66" s="45">
        <v>-185769</v>
      </c>
      <c r="F66" s="45">
        <v>0</v>
      </c>
      <c r="G66" s="45">
        <v>0</v>
      </c>
      <c r="H66" s="45">
        <v>0</v>
      </c>
      <c r="I66" s="45">
        <v>2344400</v>
      </c>
      <c r="J66" s="45">
        <v>0</v>
      </c>
      <c r="K66" s="45">
        <v>0</v>
      </c>
      <c r="L66" s="45">
        <v>0</v>
      </c>
      <c r="M66" s="45">
        <v>0</v>
      </c>
      <c r="N66" s="45">
        <f t="shared" si="9"/>
        <v>2158631</v>
      </c>
      <c r="O66" s="46">
        <f t="shared" si="7"/>
        <v>1.4597584866770041</v>
      </c>
      <c r="P66" s="9"/>
    </row>
    <row r="67" spans="1:16">
      <c r="A67" s="11"/>
      <c r="B67" s="24">
        <v>337.4</v>
      </c>
      <c r="C67" s="19" t="s">
        <v>172</v>
      </c>
      <c r="D67" s="45">
        <v>0</v>
      </c>
      <c r="E67" s="45">
        <v>93928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>
        <v>0</v>
      </c>
      <c r="N67" s="45">
        <f t="shared" si="9"/>
        <v>93928</v>
      </c>
      <c r="O67" s="46">
        <f t="shared" si="7"/>
        <v>6.3518125671593539E-2</v>
      </c>
      <c r="P67" s="9"/>
    </row>
    <row r="68" spans="1:16">
      <c r="A68" s="11"/>
      <c r="B68" s="24">
        <v>337.5</v>
      </c>
      <c r="C68" s="19" t="s">
        <v>67</v>
      </c>
      <c r="D68" s="45">
        <v>0</v>
      </c>
      <c r="E68" s="45">
        <v>0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</v>
      </c>
      <c r="L68" s="45">
        <v>0</v>
      </c>
      <c r="M68" s="45">
        <v>1556000</v>
      </c>
      <c r="N68" s="45">
        <f t="shared" si="9"/>
        <v>1556000</v>
      </c>
      <c r="O68" s="46">
        <f t="shared" si="7"/>
        <v>1.052233663497568</v>
      </c>
      <c r="P68" s="9"/>
    </row>
    <row r="69" spans="1:16">
      <c r="A69" s="11"/>
      <c r="B69" s="24">
        <v>337.6</v>
      </c>
      <c r="C69" s="19" t="s">
        <v>211</v>
      </c>
      <c r="D69" s="45">
        <v>0</v>
      </c>
      <c r="E69" s="45">
        <v>38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5">
        <v>0</v>
      </c>
      <c r="L69" s="45">
        <v>0</v>
      </c>
      <c r="M69" s="45">
        <v>0</v>
      </c>
      <c r="N69" s="45">
        <f t="shared" si="9"/>
        <v>38</v>
      </c>
      <c r="O69" s="46">
        <f t="shared" ref="O69:O100" si="10">(N69/O$136)</f>
        <v>2.5697223144542145E-5</v>
      </c>
      <c r="P69" s="9"/>
    </row>
    <row r="70" spans="1:16" ht="15.75">
      <c r="A70" s="28" t="s">
        <v>75</v>
      </c>
      <c r="B70" s="29"/>
      <c r="C70" s="30"/>
      <c r="D70" s="31">
        <f t="shared" ref="D70:M70" si="11">SUM(D71:D108)</f>
        <v>127785152</v>
      </c>
      <c r="E70" s="31">
        <f t="shared" si="11"/>
        <v>52503170</v>
      </c>
      <c r="F70" s="31">
        <f t="shared" si="11"/>
        <v>269426</v>
      </c>
      <c r="G70" s="31">
        <f t="shared" si="11"/>
        <v>0</v>
      </c>
      <c r="H70" s="31">
        <f t="shared" si="11"/>
        <v>0</v>
      </c>
      <c r="I70" s="31">
        <f t="shared" si="11"/>
        <v>402926008</v>
      </c>
      <c r="J70" s="31">
        <f t="shared" si="11"/>
        <v>211949669</v>
      </c>
      <c r="K70" s="31">
        <f t="shared" si="11"/>
        <v>0</v>
      </c>
      <c r="L70" s="31">
        <f t="shared" si="11"/>
        <v>0</v>
      </c>
      <c r="M70" s="31">
        <f t="shared" si="11"/>
        <v>1466147</v>
      </c>
      <c r="N70" s="31">
        <f t="shared" si="9"/>
        <v>796899572</v>
      </c>
      <c r="O70" s="44">
        <f t="shared" si="10"/>
        <v>538.89752961774025</v>
      </c>
      <c r="P70" s="10"/>
    </row>
    <row r="71" spans="1:16">
      <c r="A71" s="11"/>
      <c r="B71" s="24">
        <v>341.1</v>
      </c>
      <c r="C71" s="19" t="s">
        <v>212</v>
      </c>
      <c r="D71" s="45">
        <v>8218720</v>
      </c>
      <c r="E71" s="45">
        <v>0</v>
      </c>
      <c r="F71" s="45">
        <v>0</v>
      </c>
      <c r="G71" s="45">
        <v>0</v>
      </c>
      <c r="H71" s="45">
        <v>0</v>
      </c>
      <c r="I71" s="45">
        <v>0</v>
      </c>
      <c r="J71" s="45">
        <v>0</v>
      </c>
      <c r="K71" s="45">
        <v>0</v>
      </c>
      <c r="L71" s="45">
        <v>0</v>
      </c>
      <c r="M71" s="45">
        <v>0</v>
      </c>
      <c r="N71" s="45">
        <f t="shared" si="9"/>
        <v>8218720</v>
      </c>
      <c r="O71" s="46">
        <f t="shared" si="10"/>
        <v>5.5578495211187215</v>
      </c>
      <c r="P71" s="9"/>
    </row>
    <row r="72" spans="1:16">
      <c r="A72" s="11"/>
      <c r="B72" s="24">
        <v>341.15</v>
      </c>
      <c r="C72" s="19" t="s">
        <v>213</v>
      </c>
      <c r="D72" s="45">
        <v>0</v>
      </c>
      <c r="E72" s="45">
        <v>24946625</v>
      </c>
      <c r="F72" s="45">
        <v>0</v>
      </c>
      <c r="G72" s="45">
        <v>0</v>
      </c>
      <c r="H72" s="45">
        <v>0</v>
      </c>
      <c r="I72" s="45">
        <v>0</v>
      </c>
      <c r="J72" s="45">
        <v>0</v>
      </c>
      <c r="K72" s="45">
        <v>0</v>
      </c>
      <c r="L72" s="45">
        <v>0</v>
      </c>
      <c r="M72" s="45">
        <v>0</v>
      </c>
      <c r="N72" s="45">
        <f t="shared" ref="N72:N108" si="12">SUM(D72:M72)</f>
        <v>24946625</v>
      </c>
      <c r="O72" s="46">
        <f t="shared" si="10"/>
        <v>16.869973403374047</v>
      </c>
      <c r="P72" s="9"/>
    </row>
    <row r="73" spans="1:16">
      <c r="A73" s="11"/>
      <c r="B73" s="24">
        <v>341.16</v>
      </c>
      <c r="C73" s="19" t="s">
        <v>214</v>
      </c>
      <c r="D73" s="45">
        <v>0</v>
      </c>
      <c r="E73" s="45">
        <v>2856388</v>
      </c>
      <c r="F73" s="45">
        <v>0</v>
      </c>
      <c r="G73" s="45">
        <v>0</v>
      </c>
      <c r="H73" s="45">
        <v>0</v>
      </c>
      <c r="I73" s="45">
        <v>0</v>
      </c>
      <c r="J73" s="45">
        <v>0</v>
      </c>
      <c r="K73" s="45">
        <v>0</v>
      </c>
      <c r="L73" s="45">
        <v>0</v>
      </c>
      <c r="M73" s="45">
        <v>0</v>
      </c>
      <c r="N73" s="45">
        <f t="shared" si="12"/>
        <v>2856388</v>
      </c>
      <c r="O73" s="46">
        <f t="shared" si="10"/>
        <v>1.9316115742998015</v>
      </c>
      <c r="P73" s="9"/>
    </row>
    <row r="74" spans="1:16">
      <c r="A74" s="11"/>
      <c r="B74" s="24">
        <v>341.2</v>
      </c>
      <c r="C74" s="19" t="s">
        <v>215</v>
      </c>
      <c r="D74" s="45">
        <v>35000</v>
      </c>
      <c r="E74" s="45">
        <v>0</v>
      </c>
      <c r="F74" s="45">
        <v>0</v>
      </c>
      <c r="G74" s="45">
        <v>0</v>
      </c>
      <c r="H74" s="45">
        <v>0</v>
      </c>
      <c r="I74" s="45">
        <v>0</v>
      </c>
      <c r="J74" s="45">
        <v>181681822</v>
      </c>
      <c r="K74" s="45">
        <v>0</v>
      </c>
      <c r="L74" s="45">
        <v>0</v>
      </c>
      <c r="M74" s="45">
        <v>0</v>
      </c>
      <c r="N74" s="45">
        <f t="shared" si="12"/>
        <v>181716822</v>
      </c>
      <c r="O74" s="46">
        <f t="shared" si="10"/>
        <v>122.88467694871173</v>
      </c>
      <c r="P74" s="9"/>
    </row>
    <row r="75" spans="1:16">
      <c r="A75" s="11"/>
      <c r="B75" s="24">
        <v>341.3</v>
      </c>
      <c r="C75" s="19" t="s">
        <v>216</v>
      </c>
      <c r="D75" s="45">
        <v>47192</v>
      </c>
      <c r="E75" s="45">
        <v>1388440</v>
      </c>
      <c r="F75" s="45">
        <v>0</v>
      </c>
      <c r="G75" s="45">
        <v>0</v>
      </c>
      <c r="H75" s="45">
        <v>0</v>
      </c>
      <c r="I75" s="45">
        <v>0</v>
      </c>
      <c r="J75" s="45">
        <v>0</v>
      </c>
      <c r="K75" s="45">
        <v>0</v>
      </c>
      <c r="L75" s="45">
        <v>0</v>
      </c>
      <c r="M75" s="45">
        <v>0</v>
      </c>
      <c r="N75" s="45">
        <f t="shared" si="12"/>
        <v>1435632</v>
      </c>
      <c r="O75" s="46">
        <f t="shared" si="10"/>
        <v>0.97083568045908764</v>
      </c>
      <c r="P75" s="9"/>
    </row>
    <row r="76" spans="1:16">
      <c r="A76" s="11"/>
      <c r="B76" s="24">
        <v>341.52</v>
      </c>
      <c r="C76" s="19" t="s">
        <v>217</v>
      </c>
      <c r="D76" s="45">
        <v>388571</v>
      </c>
      <c r="E76" s="45">
        <v>110734</v>
      </c>
      <c r="F76" s="45">
        <v>0</v>
      </c>
      <c r="G76" s="45">
        <v>0</v>
      </c>
      <c r="H76" s="45">
        <v>0</v>
      </c>
      <c r="I76" s="45">
        <v>0</v>
      </c>
      <c r="J76" s="45">
        <v>0</v>
      </c>
      <c r="K76" s="45">
        <v>0</v>
      </c>
      <c r="L76" s="45">
        <v>0</v>
      </c>
      <c r="M76" s="45">
        <v>0</v>
      </c>
      <c r="N76" s="45">
        <f t="shared" si="12"/>
        <v>499305</v>
      </c>
      <c r="O76" s="46">
        <f t="shared" si="10"/>
        <v>0.33765136847856886</v>
      </c>
      <c r="P76" s="9"/>
    </row>
    <row r="77" spans="1:16">
      <c r="A77" s="11"/>
      <c r="B77" s="24">
        <v>341.55</v>
      </c>
      <c r="C77" s="19" t="s">
        <v>218</v>
      </c>
      <c r="D77" s="45">
        <v>24618</v>
      </c>
      <c r="E77" s="45">
        <v>0</v>
      </c>
      <c r="F77" s="45">
        <v>0</v>
      </c>
      <c r="G77" s="45">
        <v>0</v>
      </c>
      <c r="H77" s="45">
        <v>0</v>
      </c>
      <c r="I77" s="45">
        <v>0</v>
      </c>
      <c r="J77" s="45">
        <v>0</v>
      </c>
      <c r="K77" s="45">
        <v>0</v>
      </c>
      <c r="L77" s="45">
        <v>0</v>
      </c>
      <c r="M77" s="45">
        <v>0</v>
      </c>
      <c r="N77" s="45">
        <f t="shared" si="12"/>
        <v>24618</v>
      </c>
      <c r="O77" s="46">
        <f t="shared" si="10"/>
        <v>1.664774314137733E-2</v>
      </c>
      <c r="P77" s="9"/>
    </row>
    <row r="78" spans="1:16">
      <c r="A78" s="11"/>
      <c r="B78" s="24">
        <v>341.9</v>
      </c>
      <c r="C78" s="19" t="s">
        <v>220</v>
      </c>
      <c r="D78" s="45">
        <v>61726771</v>
      </c>
      <c r="E78" s="45">
        <v>2693643</v>
      </c>
      <c r="F78" s="45">
        <v>0</v>
      </c>
      <c r="G78" s="45">
        <v>0</v>
      </c>
      <c r="H78" s="45">
        <v>0</v>
      </c>
      <c r="I78" s="45">
        <v>0</v>
      </c>
      <c r="J78" s="45">
        <v>6207068</v>
      </c>
      <c r="K78" s="45">
        <v>0</v>
      </c>
      <c r="L78" s="45">
        <v>0</v>
      </c>
      <c r="M78" s="45">
        <v>660485</v>
      </c>
      <c r="N78" s="45">
        <f t="shared" si="12"/>
        <v>71287967</v>
      </c>
      <c r="O78" s="46">
        <f t="shared" si="10"/>
        <v>48.207968303151496</v>
      </c>
      <c r="P78" s="9"/>
    </row>
    <row r="79" spans="1:16">
      <c r="A79" s="11"/>
      <c r="B79" s="24">
        <v>342.1</v>
      </c>
      <c r="C79" s="19" t="s">
        <v>87</v>
      </c>
      <c r="D79" s="45">
        <v>3704320</v>
      </c>
      <c r="E79" s="45">
        <v>8904276</v>
      </c>
      <c r="F79" s="45">
        <v>0</v>
      </c>
      <c r="G79" s="45">
        <v>0</v>
      </c>
      <c r="H79" s="45">
        <v>0</v>
      </c>
      <c r="I79" s="45">
        <v>0</v>
      </c>
      <c r="J79" s="45">
        <v>0</v>
      </c>
      <c r="K79" s="45">
        <v>0</v>
      </c>
      <c r="L79" s="45">
        <v>0</v>
      </c>
      <c r="M79" s="45">
        <v>0</v>
      </c>
      <c r="N79" s="45">
        <f t="shared" si="12"/>
        <v>12608596</v>
      </c>
      <c r="O79" s="46">
        <f t="shared" si="10"/>
        <v>8.5264711829310933</v>
      </c>
      <c r="P79" s="9"/>
    </row>
    <row r="80" spans="1:16">
      <c r="A80" s="11"/>
      <c r="B80" s="24">
        <v>342.2</v>
      </c>
      <c r="C80" s="19" t="s">
        <v>88</v>
      </c>
      <c r="D80" s="45">
        <v>3863029</v>
      </c>
      <c r="E80" s="45">
        <v>881935</v>
      </c>
      <c r="F80" s="45">
        <v>0</v>
      </c>
      <c r="G80" s="45">
        <v>0</v>
      </c>
      <c r="H80" s="45">
        <v>0</v>
      </c>
      <c r="I80" s="45">
        <v>0</v>
      </c>
      <c r="J80" s="45">
        <v>0</v>
      </c>
      <c r="K80" s="45">
        <v>0</v>
      </c>
      <c r="L80" s="45">
        <v>0</v>
      </c>
      <c r="M80" s="45">
        <v>0</v>
      </c>
      <c r="N80" s="45">
        <f t="shared" si="12"/>
        <v>4744964</v>
      </c>
      <c r="O80" s="46">
        <f t="shared" si="10"/>
        <v>3.2087473347584021</v>
      </c>
      <c r="P80" s="9"/>
    </row>
    <row r="81" spans="1:16">
      <c r="A81" s="11"/>
      <c r="B81" s="24">
        <v>342.3</v>
      </c>
      <c r="C81" s="19" t="s">
        <v>89</v>
      </c>
      <c r="D81" s="45">
        <v>111398</v>
      </c>
      <c r="E81" s="45">
        <v>0</v>
      </c>
      <c r="F81" s="45">
        <v>0</v>
      </c>
      <c r="G81" s="45">
        <v>0</v>
      </c>
      <c r="H81" s="45">
        <v>0</v>
      </c>
      <c r="I81" s="45">
        <v>0</v>
      </c>
      <c r="J81" s="45">
        <v>0</v>
      </c>
      <c r="K81" s="45">
        <v>0</v>
      </c>
      <c r="L81" s="45">
        <v>0</v>
      </c>
      <c r="M81" s="45">
        <v>0</v>
      </c>
      <c r="N81" s="45">
        <f t="shared" si="12"/>
        <v>111398</v>
      </c>
      <c r="O81" s="46">
        <f t="shared" si="10"/>
        <v>7.5332085890939635E-2</v>
      </c>
      <c r="P81" s="9"/>
    </row>
    <row r="82" spans="1:16">
      <c r="A82" s="11"/>
      <c r="B82" s="24">
        <v>342.5</v>
      </c>
      <c r="C82" s="19" t="s">
        <v>90</v>
      </c>
      <c r="D82" s="45">
        <v>986926</v>
      </c>
      <c r="E82" s="45">
        <v>0</v>
      </c>
      <c r="F82" s="45">
        <v>0</v>
      </c>
      <c r="G82" s="45">
        <v>0</v>
      </c>
      <c r="H82" s="45">
        <v>0</v>
      </c>
      <c r="I82" s="45">
        <v>0</v>
      </c>
      <c r="J82" s="45">
        <v>0</v>
      </c>
      <c r="K82" s="45">
        <v>0</v>
      </c>
      <c r="L82" s="45">
        <v>0</v>
      </c>
      <c r="M82" s="45">
        <v>0</v>
      </c>
      <c r="N82" s="45">
        <f t="shared" si="12"/>
        <v>986926</v>
      </c>
      <c r="O82" s="46">
        <f t="shared" si="10"/>
        <v>0.66740151708290529</v>
      </c>
      <c r="P82" s="9"/>
    </row>
    <row r="83" spans="1:16">
      <c r="A83" s="11"/>
      <c r="B83" s="24">
        <v>342.6</v>
      </c>
      <c r="C83" s="19" t="s">
        <v>91</v>
      </c>
      <c r="D83" s="45">
        <v>19592662</v>
      </c>
      <c r="E83" s="45">
        <v>0</v>
      </c>
      <c r="F83" s="45">
        <v>0</v>
      </c>
      <c r="G83" s="45">
        <v>0</v>
      </c>
      <c r="H83" s="45">
        <v>0</v>
      </c>
      <c r="I83" s="45">
        <v>0</v>
      </c>
      <c r="J83" s="45">
        <v>0</v>
      </c>
      <c r="K83" s="45">
        <v>0</v>
      </c>
      <c r="L83" s="45">
        <v>0</v>
      </c>
      <c r="M83" s="45">
        <v>0</v>
      </c>
      <c r="N83" s="45">
        <f t="shared" si="12"/>
        <v>19592662</v>
      </c>
      <c r="O83" s="46">
        <f t="shared" si="10"/>
        <v>13.249394931831354</v>
      </c>
      <c r="P83" s="9"/>
    </row>
    <row r="84" spans="1:16">
      <c r="A84" s="11"/>
      <c r="B84" s="24">
        <v>342.9</v>
      </c>
      <c r="C84" s="19" t="s">
        <v>92</v>
      </c>
      <c r="D84" s="45">
        <v>952748</v>
      </c>
      <c r="E84" s="45">
        <v>2482811</v>
      </c>
      <c r="F84" s="45">
        <v>0</v>
      </c>
      <c r="G84" s="45">
        <v>0</v>
      </c>
      <c r="H84" s="45">
        <v>0</v>
      </c>
      <c r="I84" s="45">
        <v>0</v>
      </c>
      <c r="J84" s="45">
        <v>0</v>
      </c>
      <c r="K84" s="45">
        <v>0</v>
      </c>
      <c r="L84" s="45">
        <v>0</v>
      </c>
      <c r="M84" s="45">
        <v>0</v>
      </c>
      <c r="N84" s="45">
        <f t="shared" si="12"/>
        <v>3435559</v>
      </c>
      <c r="O84" s="46">
        <f t="shared" si="10"/>
        <v>2.3232717434010546</v>
      </c>
      <c r="P84" s="9"/>
    </row>
    <row r="85" spans="1:16">
      <c r="A85" s="11"/>
      <c r="B85" s="24">
        <v>343.4</v>
      </c>
      <c r="C85" s="19" t="s">
        <v>93</v>
      </c>
      <c r="D85" s="45">
        <v>0</v>
      </c>
      <c r="E85" s="45">
        <v>0</v>
      </c>
      <c r="F85" s="45">
        <v>0</v>
      </c>
      <c r="G85" s="45">
        <v>0</v>
      </c>
      <c r="H85" s="45">
        <v>0</v>
      </c>
      <c r="I85" s="45">
        <v>111261134</v>
      </c>
      <c r="J85" s="45">
        <v>0</v>
      </c>
      <c r="K85" s="45">
        <v>0</v>
      </c>
      <c r="L85" s="45">
        <v>0</v>
      </c>
      <c r="M85" s="45">
        <v>0</v>
      </c>
      <c r="N85" s="45">
        <f t="shared" si="12"/>
        <v>111261134</v>
      </c>
      <c r="O85" s="46">
        <f t="shared" si="10"/>
        <v>75.239531255600141</v>
      </c>
      <c r="P85" s="9"/>
    </row>
    <row r="86" spans="1:16">
      <c r="A86" s="11"/>
      <c r="B86" s="24">
        <v>343.6</v>
      </c>
      <c r="C86" s="19" t="s">
        <v>94</v>
      </c>
      <c r="D86" s="45">
        <v>0</v>
      </c>
      <c r="E86" s="45">
        <v>0</v>
      </c>
      <c r="F86" s="45">
        <v>0</v>
      </c>
      <c r="G86" s="45">
        <v>0</v>
      </c>
      <c r="H86" s="45">
        <v>0</v>
      </c>
      <c r="I86" s="45">
        <v>291664874</v>
      </c>
      <c r="J86" s="45">
        <v>0</v>
      </c>
      <c r="K86" s="45">
        <v>0</v>
      </c>
      <c r="L86" s="45">
        <v>0</v>
      </c>
      <c r="M86" s="45">
        <v>0</v>
      </c>
      <c r="N86" s="45">
        <f t="shared" si="12"/>
        <v>291664874</v>
      </c>
      <c r="O86" s="46">
        <f t="shared" si="10"/>
        <v>197.23624606849393</v>
      </c>
      <c r="P86" s="9"/>
    </row>
    <row r="87" spans="1:16">
      <c r="A87" s="11"/>
      <c r="B87" s="24">
        <v>343.7</v>
      </c>
      <c r="C87" s="19" t="s">
        <v>95</v>
      </c>
      <c r="D87" s="45">
        <v>2381302</v>
      </c>
      <c r="E87" s="45">
        <v>965782</v>
      </c>
      <c r="F87" s="45">
        <v>0</v>
      </c>
      <c r="G87" s="45">
        <v>0</v>
      </c>
      <c r="H87" s="45">
        <v>0</v>
      </c>
      <c r="I87" s="45">
        <v>0</v>
      </c>
      <c r="J87" s="45">
        <v>0</v>
      </c>
      <c r="K87" s="45">
        <v>0</v>
      </c>
      <c r="L87" s="45">
        <v>0</v>
      </c>
      <c r="M87" s="45">
        <v>162575</v>
      </c>
      <c r="N87" s="45">
        <f t="shared" si="12"/>
        <v>3509659</v>
      </c>
      <c r="O87" s="46">
        <f t="shared" si="10"/>
        <v>2.3733813285329117</v>
      </c>
      <c r="P87" s="9"/>
    </row>
    <row r="88" spans="1:16">
      <c r="A88" s="11"/>
      <c r="B88" s="24">
        <v>343.9</v>
      </c>
      <c r="C88" s="19" t="s">
        <v>96</v>
      </c>
      <c r="D88" s="45">
        <v>1326427</v>
      </c>
      <c r="E88" s="45">
        <v>253306</v>
      </c>
      <c r="F88" s="45">
        <v>0</v>
      </c>
      <c r="G88" s="45">
        <v>0</v>
      </c>
      <c r="H88" s="45">
        <v>0</v>
      </c>
      <c r="I88" s="45">
        <v>0</v>
      </c>
      <c r="J88" s="45">
        <v>0</v>
      </c>
      <c r="K88" s="45">
        <v>0</v>
      </c>
      <c r="L88" s="45">
        <v>0</v>
      </c>
      <c r="M88" s="45">
        <v>0</v>
      </c>
      <c r="N88" s="45">
        <f t="shared" si="12"/>
        <v>1579733</v>
      </c>
      <c r="O88" s="46">
        <f t="shared" si="10"/>
        <v>1.068282931836763</v>
      </c>
      <c r="P88" s="9"/>
    </row>
    <row r="89" spans="1:16">
      <c r="A89" s="11"/>
      <c r="B89" s="24">
        <v>344.5</v>
      </c>
      <c r="C89" s="19" t="s">
        <v>221</v>
      </c>
      <c r="D89" s="45">
        <v>594201</v>
      </c>
      <c r="E89" s="45">
        <v>0</v>
      </c>
      <c r="F89" s="45">
        <v>0</v>
      </c>
      <c r="G89" s="45">
        <v>0</v>
      </c>
      <c r="H89" s="45">
        <v>0</v>
      </c>
      <c r="I89" s="45">
        <v>0</v>
      </c>
      <c r="J89" s="45">
        <v>601</v>
      </c>
      <c r="K89" s="45">
        <v>0</v>
      </c>
      <c r="L89" s="45">
        <v>0</v>
      </c>
      <c r="M89" s="45">
        <v>0</v>
      </c>
      <c r="N89" s="45">
        <f t="shared" si="12"/>
        <v>594802</v>
      </c>
      <c r="O89" s="46">
        <f t="shared" si="10"/>
        <v>0.40223051896894624</v>
      </c>
      <c r="P89" s="9"/>
    </row>
    <row r="90" spans="1:16">
      <c r="A90" s="11"/>
      <c r="B90" s="24">
        <v>344.9</v>
      </c>
      <c r="C90" s="19" t="s">
        <v>222</v>
      </c>
      <c r="D90" s="45">
        <v>1375547</v>
      </c>
      <c r="E90" s="45">
        <v>1418034</v>
      </c>
      <c r="F90" s="45">
        <v>0</v>
      </c>
      <c r="G90" s="45">
        <v>0</v>
      </c>
      <c r="H90" s="45">
        <v>0</v>
      </c>
      <c r="I90" s="45">
        <v>0</v>
      </c>
      <c r="J90" s="45">
        <v>0</v>
      </c>
      <c r="K90" s="45">
        <v>0</v>
      </c>
      <c r="L90" s="45">
        <v>0</v>
      </c>
      <c r="M90" s="45">
        <v>0</v>
      </c>
      <c r="N90" s="45">
        <f t="shared" si="12"/>
        <v>2793581</v>
      </c>
      <c r="O90" s="46">
        <f t="shared" si="10"/>
        <v>1.8891387981408736</v>
      </c>
      <c r="P90" s="9"/>
    </row>
    <row r="91" spans="1:16">
      <c r="A91" s="11"/>
      <c r="B91" s="24">
        <v>345.1</v>
      </c>
      <c r="C91" s="19" t="s">
        <v>99</v>
      </c>
      <c r="D91" s="45">
        <v>0</v>
      </c>
      <c r="E91" s="45">
        <v>0</v>
      </c>
      <c r="F91" s="45">
        <v>0</v>
      </c>
      <c r="G91" s="45">
        <v>0</v>
      </c>
      <c r="H91" s="45">
        <v>0</v>
      </c>
      <c r="I91" s="45">
        <v>0</v>
      </c>
      <c r="J91" s="45">
        <v>0</v>
      </c>
      <c r="K91" s="45">
        <v>0</v>
      </c>
      <c r="L91" s="45">
        <v>0</v>
      </c>
      <c r="M91" s="45">
        <v>643087</v>
      </c>
      <c r="N91" s="45">
        <f t="shared" si="12"/>
        <v>643087</v>
      </c>
      <c r="O91" s="46">
        <f t="shared" si="10"/>
        <v>0.43488289843037303</v>
      </c>
      <c r="P91" s="9"/>
    </row>
    <row r="92" spans="1:16">
      <c r="A92" s="11"/>
      <c r="B92" s="24">
        <v>345.9</v>
      </c>
      <c r="C92" s="19" t="s">
        <v>100</v>
      </c>
      <c r="D92" s="45">
        <v>84150</v>
      </c>
      <c r="E92" s="45">
        <v>0</v>
      </c>
      <c r="F92" s="45">
        <v>0</v>
      </c>
      <c r="G92" s="45">
        <v>0</v>
      </c>
      <c r="H92" s="45">
        <v>0</v>
      </c>
      <c r="I92" s="45">
        <v>0</v>
      </c>
      <c r="J92" s="45">
        <v>0</v>
      </c>
      <c r="K92" s="45">
        <v>0</v>
      </c>
      <c r="L92" s="45">
        <v>0</v>
      </c>
      <c r="M92" s="45">
        <v>0</v>
      </c>
      <c r="N92" s="45">
        <f t="shared" si="12"/>
        <v>84150</v>
      </c>
      <c r="O92" s="46">
        <f t="shared" si="10"/>
        <v>5.6905824410874252E-2</v>
      </c>
      <c r="P92" s="9"/>
    </row>
    <row r="93" spans="1:16">
      <c r="A93" s="11"/>
      <c r="B93" s="24">
        <v>346.4</v>
      </c>
      <c r="C93" s="19" t="s">
        <v>101</v>
      </c>
      <c r="D93" s="45">
        <v>141882</v>
      </c>
      <c r="E93" s="45">
        <v>0</v>
      </c>
      <c r="F93" s="45">
        <v>0</v>
      </c>
      <c r="G93" s="45">
        <v>0</v>
      </c>
      <c r="H93" s="45">
        <v>0</v>
      </c>
      <c r="I93" s="45">
        <v>0</v>
      </c>
      <c r="J93" s="45">
        <v>0</v>
      </c>
      <c r="K93" s="45">
        <v>0</v>
      </c>
      <c r="L93" s="45">
        <v>0</v>
      </c>
      <c r="M93" s="45">
        <v>0</v>
      </c>
      <c r="N93" s="45">
        <f t="shared" si="12"/>
        <v>141882</v>
      </c>
      <c r="O93" s="46">
        <f t="shared" si="10"/>
        <v>9.594666879457707E-2</v>
      </c>
      <c r="P93" s="9"/>
    </row>
    <row r="94" spans="1:16">
      <c r="A94" s="11"/>
      <c r="B94" s="24">
        <v>346.9</v>
      </c>
      <c r="C94" s="19" t="s">
        <v>102</v>
      </c>
      <c r="D94" s="45">
        <v>1185</v>
      </c>
      <c r="E94" s="45">
        <v>936</v>
      </c>
      <c r="F94" s="45">
        <v>0</v>
      </c>
      <c r="G94" s="45">
        <v>0</v>
      </c>
      <c r="H94" s="45">
        <v>0</v>
      </c>
      <c r="I94" s="45">
        <v>0</v>
      </c>
      <c r="J94" s="45">
        <v>24060178</v>
      </c>
      <c r="K94" s="45">
        <v>0</v>
      </c>
      <c r="L94" s="45">
        <v>0</v>
      </c>
      <c r="M94" s="45">
        <v>0</v>
      </c>
      <c r="N94" s="45">
        <f t="shared" si="12"/>
        <v>24062299</v>
      </c>
      <c r="O94" s="46">
        <f t="shared" si="10"/>
        <v>16.271954388781403</v>
      </c>
      <c r="P94" s="9"/>
    </row>
    <row r="95" spans="1:16">
      <c r="A95" s="11"/>
      <c r="B95" s="24">
        <v>347.1</v>
      </c>
      <c r="C95" s="19" t="s">
        <v>103</v>
      </c>
      <c r="D95" s="45">
        <v>0</v>
      </c>
      <c r="E95" s="45">
        <v>4138</v>
      </c>
      <c r="F95" s="45">
        <v>0</v>
      </c>
      <c r="G95" s="45">
        <v>0</v>
      </c>
      <c r="H95" s="45">
        <v>0</v>
      </c>
      <c r="I95" s="45">
        <v>0</v>
      </c>
      <c r="J95" s="45">
        <v>0</v>
      </c>
      <c r="K95" s="45">
        <v>0</v>
      </c>
      <c r="L95" s="45">
        <v>0</v>
      </c>
      <c r="M95" s="45">
        <v>0</v>
      </c>
      <c r="N95" s="45">
        <f t="shared" si="12"/>
        <v>4138</v>
      </c>
      <c r="O95" s="46">
        <f t="shared" si="10"/>
        <v>2.7982923518977739E-3</v>
      </c>
      <c r="P95" s="9"/>
    </row>
    <row r="96" spans="1:16">
      <c r="A96" s="11"/>
      <c r="B96" s="24">
        <v>347.2</v>
      </c>
      <c r="C96" s="19" t="s">
        <v>104</v>
      </c>
      <c r="D96" s="45">
        <v>2244095</v>
      </c>
      <c r="E96" s="45">
        <v>0</v>
      </c>
      <c r="F96" s="45">
        <v>0</v>
      </c>
      <c r="G96" s="45">
        <v>0</v>
      </c>
      <c r="H96" s="45">
        <v>0</v>
      </c>
      <c r="I96" s="45">
        <v>0</v>
      </c>
      <c r="J96" s="45">
        <v>0</v>
      </c>
      <c r="K96" s="45">
        <v>0</v>
      </c>
      <c r="L96" s="45">
        <v>0</v>
      </c>
      <c r="M96" s="45">
        <v>0</v>
      </c>
      <c r="N96" s="45">
        <f t="shared" si="12"/>
        <v>2244095</v>
      </c>
      <c r="O96" s="46">
        <f t="shared" si="10"/>
        <v>1.5175528940145082</v>
      </c>
      <c r="P96" s="9"/>
    </row>
    <row r="97" spans="1:16">
      <c r="A97" s="11"/>
      <c r="B97" s="24">
        <v>347.4</v>
      </c>
      <c r="C97" s="19" t="s">
        <v>105</v>
      </c>
      <c r="D97" s="45">
        <v>10654</v>
      </c>
      <c r="E97" s="45">
        <v>3621</v>
      </c>
      <c r="F97" s="45">
        <v>269426</v>
      </c>
      <c r="G97" s="45">
        <v>0</v>
      </c>
      <c r="H97" s="45">
        <v>0</v>
      </c>
      <c r="I97" s="45">
        <v>0</v>
      </c>
      <c r="J97" s="45">
        <v>0</v>
      </c>
      <c r="K97" s="45">
        <v>0</v>
      </c>
      <c r="L97" s="45">
        <v>0</v>
      </c>
      <c r="M97" s="45">
        <v>0</v>
      </c>
      <c r="N97" s="45">
        <f t="shared" si="12"/>
        <v>283701</v>
      </c>
      <c r="O97" s="46">
        <f t="shared" si="10"/>
        <v>0.19185073429815136</v>
      </c>
      <c r="P97" s="9"/>
    </row>
    <row r="98" spans="1:16">
      <c r="A98" s="11"/>
      <c r="B98" s="24">
        <v>347.5</v>
      </c>
      <c r="C98" s="19" t="s">
        <v>106</v>
      </c>
      <c r="D98" s="45">
        <v>319870</v>
      </c>
      <c r="E98" s="45">
        <v>0</v>
      </c>
      <c r="F98" s="45">
        <v>0</v>
      </c>
      <c r="G98" s="45">
        <v>0</v>
      </c>
      <c r="H98" s="45">
        <v>0</v>
      </c>
      <c r="I98" s="45">
        <v>0</v>
      </c>
      <c r="J98" s="45">
        <v>0</v>
      </c>
      <c r="K98" s="45">
        <v>0</v>
      </c>
      <c r="L98" s="45">
        <v>0</v>
      </c>
      <c r="M98" s="45">
        <v>0</v>
      </c>
      <c r="N98" s="45">
        <f t="shared" si="12"/>
        <v>319870</v>
      </c>
      <c r="O98" s="46">
        <f t="shared" si="10"/>
        <v>0.21630975703275518</v>
      </c>
      <c r="P98" s="9"/>
    </row>
    <row r="99" spans="1:16">
      <c r="A99" s="11"/>
      <c r="B99" s="24">
        <v>347.9</v>
      </c>
      <c r="C99" s="19" t="s">
        <v>107</v>
      </c>
      <c r="D99" s="45">
        <v>20220</v>
      </c>
      <c r="E99" s="45">
        <v>0</v>
      </c>
      <c r="F99" s="45">
        <v>0</v>
      </c>
      <c r="G99" s="45">
        <v>0</v>
      </c>
      <c r="H99" s="45">
        <v>0</v>
      </c>
      <c r="I99" s="45">
        <v>0</v>
      </c>
      <c r="J99" s="45">
        <v>0</v>
      </c>
      <c r="K99" s="45">
        <v>0</v>
      </c>
      <c r="L99" s="45">
        <v>0</v>
      </c>
      <c r="M99" s="45">
        <v>0</v>
      </c>
      <c r="N99" s="45">
        <f t="shared" si="12"/>
        <v>20220</v>
      </c>
      <c r="O99" s="46">
        <f t="shared" si="10"/>
        <v>1.3673627683753742E-2</v>
      </c>
      <c r="P99" s="9"/>
    </row>
    <row r="100" spans="1:16">
      <c r="A100" s="11"/>
      <c r="B100" s="24">
        <v>348.88</v>
      </c>
      <c r="C100" s="19" t="s">
        <v>223</v>
      </c>
      <c r="D100" s="45">
        <v>75310</v>
      </c>
      <c r="E100" s="45">
        <v>0</v>
      </c>
      <c r="F100" s="45">
        <v>0</v>
      </c>
      <c r="G100" s="45">
        <v>0</v>
      </c>
      <c r="H100" s="45">
        <v>0</v>
      </c>
      <c r="I100" s="45">
        <v>0</v>
      </c>
      <c r="J100" s="45">
        <v>0</v>
      </c>
      <c r="K100" s="45">
        <v>0</v>
      </c>
      <c r="L100" s="45">
        <v>0</v>
      </c>
      <c r="M100" s="45">
        <v>0</v>
      </c>
      <c r="N100" s="45">
        <f t="shared" si="12"/>
        <v>75310</v>
      </c>
      <c r="O100" s="46">
        <f t="shared" si="10"/>
        <v>5.0927838816196551E-2</v>
      </c>
      <c r="P100" s="9"/>
    </row>
    <row r="101" spans="1:16">
      <c r="A101" s="11"/>
      <c r="B101" s="24">
        <v>348.92099999999999</v>
      </c>
      <c r="C101" s="19" t="s">
        <v>224</v>
      </c>
      <c r="D101" s="45">
        <v>0</v>
      </c>
      <c r="E101" s="45">
        <v>201743</v>
      </c>
      <c r="F101" s="45">
        <v>0</v>
      </c>
      <c r="G101" s="45">
        <v>0</v>
      </c>
      <c r="H101" s="45">
        <v>0</v>
      </c>
      <c r="I101" s="45">
        <v>0</v>
      </c>
      <c r="J101" s="45">
        <v>0</v>
      </c>
      <c r="K101" s="45">
        <v>0</v>
      </c>
      <c r="L101" s="45">
        <v>0</v>
      </c>
      <c r="M101" s="45">
        <v>0</v>
      </c>
      <c r="N101" s="45">
        <f t="shared" si="12"/>
        <v>201743</v>
      </c>
      <c r="O101" s="46">
        <f t="shared" ref="O101:O132" si="13">(N101/O$136)</f>
        <v>0.13642723391708858</v>
      </c>
      <c r="P101" s="9"/>
    </row>
    <row r="102" spans="1:16">
      <c r="A102" s="11"/>
      <c r="B102" s="24">
        <v>348.92200000000003</v>
      </c>
      <c r="C102" s="19" t="s">
        <v>225</v>
      </c>
      <c r="D102" s="45">
        <v>0</v>
      </c>
      <c r="E102" s="45">
        <v>201743</v>
      </c>
      <c r="F102" s="45">
        <v>0</v>
      </c>
      <c r="G102" s="45">
        <v>0</v>
      </c>
      <c r="H102" s="45">
        <v>0</v>
      </c>
      <c r="I102" s="45">
        <v>0</v>
      </c>
      <c r="J102" s="45">
        <v>0</v>
      </c>
      <c r="K102" s="45">
        <v>0</v>
      </c>
      <c r="L102" s="45">
        <v>0</v>
      </c>
      <c r="M102" s="45">
        <v>0</v>
      </c>
      <c r="N102" s="45">
        <f t="shared" si="12"/>
        <v>201743</v>
      </c>
      <c r="O102" s="46">
        <f t="shared" si="13"/>
        <v>0.13642723391708858</v>
      </c>
      <c r="P102" s="9"/>
    </row>
    <row r="103" spans="1:16">
      <c r="A103" s="11"/>
      <c r="B103" s="24">
        <v>348.923</v>
      </c>
      <c r="C103" s="19" t="s">
        <v>226</v>
      </c>
      <c r="D103" s="45">
        <v>0</v>
      </c>
      <c r="E103" s="45">
        <v>201743</v>
      </c>
      <c r="F103" s="45">
        <v>0</v>
      </c>
      <c r="G103" s="45">
        <v>0</v>
      </c>
      <c r="H103" s="45">
        <v>0</v>
      </c>
      <c r="I103" s="45">
        <v>0</v>
      </c>
      <c r="J103" s="45">
        <v>0</v>
      </c>
      <c r="K103" s="45">
        <v>0</v>
      </c>
      <c r="L103" s="45">
        <v>0</v>
      </c>
      <c r="M103" s="45">
        <v>0</v>
      </c>
      <c r="N103" s="45">
        <f t="shared" si="12"/>
        <v>201743</v>
      </c>
      <c r="O103" s="46">
        <f t="shared" si="13"/>
        <v>0.13642723391708858</v>
      </c>
      <c r="P103" s="9"/>
    </row>
    <row r="104" spans="1:16">
      <c r="A104" s="11"/>
      <c r="B104" s="24">
        <v>348.92399999999998</v>
      </c>
      <c r="C104" s="19" t="s">
        <v>227</v>
      </c>
      <c r="D104" s="45">
        <v>0</v>
      </c>
      <c r="E104" s="45">
        <v>201743</v>
      </c>
      <c r="F104" s="45">
        <v>0</v>
      </c>
      <c r="G104" s="45">
        <v>0</v>
      </c>
      <c r="H104" s="45">
        <v>0</v>
      </c>
      <c r="I104" s="45">
        <v>0</v>
      </c>
      <c r="J104" s="45">
        <v>0</v>
      </c>
      <c r="K104" s="45">
        <v>0</v>
      </c>
      <c r="L104" s="45">
        <v>0</v>
      </c>
      <c r="M104" s="45">
        <v>0</v>
      </c>
      <c r="N104" s="45">
        <f t="shared" si="12"/>
        <v>201743</v>
      </c>
      <c r="O104" s="46">
        <f t="shared" si="13"/>
        <v>0.13642723391708858</v>
      </c>
      <c r="P104" s="9"/>
    </row>
    <row r="105" spans="1:16">
      <c r="A105" s="11"/>
      <c r="B105" s="24">
        <v>348.93</v>
      </c>
      <c r="C105" s="19" t="s">
        <v>228</v>
      </c>
      <c r="D105" s="45">
        <v>3310</v>
      </c>
      <c r="E105" s="45">
        <v>2558839</v>
      </c>
      <c r="F105" s="45">
        <v>0</v>
      </c>
      <c r="G105" s="45">
        <v>0</v>
      </c>
      <c r="H105" s="45">
        <v>0</v>
      </c>
      <c r="I105" s="45">
        <v>0</v>
      </c>
      <c r="J105" s="45">
        <v>0</v>
      </c>
      <c r="K105" s="45">
        <v>0</v>
      </c>
      <c r="L105" s="45">
        <v>0</v>
      </c>
      <c r="M105" s="45">
        <v>0</v>
      </c>
      <c r="N105" s="45">
        <f t="shared" si="12"/>
        <v>2562149</v>
      </c>
      <c r="O105" s="46">
        <f t="shared" si="13"/>
        <v>1.7326345942780399</v>
      </c>
      <c r="P105" s="9"/>
    </row>
    <row r="106" spans="1:16">
      <c r="A106" s="11"/>
      <c r="B106" s="24">
        <v>348.93200000000002</v>
      </c>
      <c r="C106" s="19" t="s">
        <v>229</v>
      </c>
      <c r="D106" s="45">
        <v>51515</v>
      </c>
      <c r="E106" s="45">
        <v>0</v>
      </c>
      <c r="F106" s="45">
        <v>0</v>
      </c>
      <c r="G106" s="45">
        <v>0</v>
      </c>
      <c r="H106" s="45">
        <v>0</v>
      </c>
      <c r="I106" s="45">
        <v>0</v>
      </c>
      <c r="J106" s="45">
        <v>0</v>
      </c>
      <c r="K106" s="45">
        <v>0</v>
      </c>
      <c r="L106" s="45">
        <v>0</v>
      </c>
      <c r="M106" s="45">
        <v>0</v>
      </c>
      <c r="N106" s="45">
        <f t="shared" si="12"/>
        <v>51515</v>
      </c>
      <c r="O106" s="46">
        <f t="shared" si="13"/>
        <v>3.4836643428712857E-2</v>
      </c>
      <c r="P106" s="9"/>
    </row>
    <row r="107" spans="1:16">
      <c r="A107" s="11"/>
      <c r="B107" s="24">
        <v>348.99</v>
      </c>
      <c r="C107" s="19" t="s">
        <v>231</v>
      </c>
      <c r="D107" s="45">
        <v>0</v>
      </c>
      <c r="E107" s="45">
        <v>2176370</v>
      </c>
      <c r="F107" s="45">
        <v>0</v>
      </c>
      <c r="G107" s="45">
        <v>0</v>
      </c>
      <c r="H107" s="45">
        <v>0</v>
      </c>
      <c r="I107" s="45">
        <v>0</v>
      </c>
      <c r="J107" s="45">
        <v>0</v>
      </c>
      <c r="K107" s="45">
        <v>0</v>
      </c>
      <c r="L107" s="45">
        <v>0</v>
      </c>
      <c r="M107" s="45">
        <v>0</v>
      </c>
      <c r="N107" s="45">
        <f t="shared" si="12"/>
        <v>2176370</v>
      </c>
      <c r="O107" s="46">
        <f t="shared" si="13"/>
        <v>1.471754356186505</v>
      </c>
      <c r="P107" s="9"/>
    </row>
    <row r="108" spans="1:16">
      <c r="A108" s="11"/>
      <c r="B108" s="24">
        <v>349</v>
      </c>
      <c r="C108" s="19" t="s">
        <v>1</v>
      </c>
      <c r="D108" s="45">
        <v>19503529</v>
      </c>
      <c r="E108" s="45">
        <v>50320</v>
      </c>
      <c r="F108" s="45">
        <v>0</v>
      </c>
      <c r="G108" s="45">
        <v>0</v>
      </c>
      <c r="H108" s="45">
        <v>0</v>
      </c>
      <c r="I108" s="45">
        <v>0</v>
      </c>
      <c r="J108" s="45">
        <v>0</v>
      </c>
      <c r="K108" s="45">
        <v>0</v>
      </c>
      <c r="L108" s="45">
        <v>0</v>
      </c>
      <c r="M108" s="45">
        <v>0</v>
      </c>
      <c r="N108" s="45">
        <f t="shared" si="12"/>
        <v>19553849</v>
      </c>
      <c r="O108" s="46">
        <f t="shared" si="13"/>
        <v>13.223147923360061</v>
      </c>
      <c r="P108" s="9"/>
    </row>
    <row r="109" spans="1:16" ht="15.75">
      <c r="A109" s="28" t="s">
        <v>76</v>
      </c>
      <c r="B109" s="29"/>
      <c r="C109" s="30"/>
      <c r="D109" s="31">
        <f t="shared" ref="D109:M109" si="14">SUM(D110:D117)</f>
        <v>7433021</v>
      </c>
      <c r="E109" s="31">
        <f t="shared" si="14"/>
        <v>5514711</v>
      </c>
      <c r="F109" s="31">
        <f t="shared" si="14"/>
        <v>0</v>
      </c>
      <c r="G109" s="31">
        <f t="shared" si="14"/>
        <v>0</v>
      </c>
      <c r="H109" s="31">
        <f t="shared" si="14"/>
        <v>0</v>
      </c>
      <c r="I109" s="31">
        <f t="shared" si="14"/>
        <v>75</v>
      </c>
      <c r="J109" s="31">
        <f t="shared" si="14"/>
        <v>1666</v>
      </c>
      <c r="K109" s="31">
        <f t="shared" si="14"/>
        <v>0</v>
      </c>
      <c r="L109" s="31">
        <f t="shared" si="14"/>
        <v>0</v>
      </c>
      <c r="M109" s="31">
        <f t="shared" si="14"/>
        <v>0</v>
      </c>
      <c r="N109" s="31">
        <f>SUM(D109:M109)</f>
        <v>12949473</v>
      </c>
      <c r="O109" s="44">
        <f t="shared" si="13"/>
        <v>8.7569867706637794</v>
      </c>
      <c r="P109" s="10"/>
    </row>
    <row r="110" spans="1:16">
      <c r="A110" s="12"/>
      <c r="B110" s="38">
        <v>351.1</v>
      </c>
      <c r="C110" s="20" t="s">
        <v>134</v>
      </c>
      <c r="D110" s="45">
        <v>0</v>
      </c>
      <c r="E110" s="45">
        <v>4270972</v>
      </c>
      <c r="F110" s="45">
        <v>0</v>
      </c>
      <c r="G110" s="45">
        <v>0</v>
      </c>
      <c r="H110" s="45">
        <v>0</v>
      </c>
      <c r="I110" s="45">
        <v>0</v>
      </c>
      <c r="J110" s="45">
        <v>0</v>
      </c>
      <c r="K110" s="45">
        <v>0</v>
      </c>
      <c r="L110" s="45">
        <v>0</v>
      </c>
      <c r="M110" s="45">
        <v>0</v>
      </c>
      <c r="N110" s="45">
        <f>SUM(D110:M110)</f>
        <v>4270972</v>
      </c>
      <c r="O110" s="46">
        <f t="shared" si="13"/>
        <v>2.8882136981076698</v>
      </c>
      <c r="P110" s="9"/>
    </row>
    <row r="111" spans="1:16">
      <c r="A111" s="12"/>
      <c r="B111" s="38">
        <v>351.5</v>
      </c>
      <c r="C111" s="20" t="s">
        <v>137</v>
      </c>
      <c r="D111" s="45">
        <v>888840</v>
      </c>
      <c r="E111" s="45">
        <v>0</v>
      </c>
      <c r="F111" s="45">
        <v>0</v>
      </c>
      <c r="G111" s="45">
        <v>0</v>
      </c>
      <c r="H111" s="45">
        <v>0</v>
      </c>
      <c r="I111" s="45">
        <v>0</v>
      </c>
      <c r="J111" s="45">
        <v>0</v>
      </c>
      <c r="K111" s="45">
        <v>0</v>
      </c>
      <c r="L111" s="45">
        <v>0</v>
      </c>
      <c r="M111" s="45">
        <v>0</v>
      </c>
      <c r="N111" s="45">
        <f t="shared" ref="N111:N117" si="15">SUM(D111:M111)</f>
        <v>888840</v>
      </c>
      <c r="O111" s="46">
        <f t="shared" si="13"/>
        <v>0.60107157420512736</v>
      </c>
      <c r="P111" s="9"/>
    </row>
    <row r="112" spans="1:16">
      <c r="A112" s="12"/>
      <c r="B112" s="38">
        <v>351.6</v>
      </c>
      <c r="C112" s="20" t="s">
        <v>277</v>
      </c>
      <c r="D112" s="45">
        <v>0</v>
      </c>
      <c r="E112" s="45">
        <v>192</v>
      </c>
      <c r="F112" s="45">
        <v>0</v>
      </c>
      <c r="G112" s="45">
        <v>0</v>
      </c>
      <c r="H112" s="45">
        <v>0</v>
      </c>
      <c r="I112" s="45">
        <v>0</v>
      </c>
      <c r="J112" s="45">
        <v>0</v>
      </c>
      <c r="K112" s="45">
        <v>0</v>
      </c>
      <c r="L112" s="45">
        <v>0</v>
      </c>
      <c r="M112" s="45">
        <v>0</v>
      </c>
      <c r="N112" s="45">
        <f t="shared" si="15"/>
        <v>192</v>
      </c>
      <c r="O112" s="46">
        <f t="shared" si="13"/>
        <v>1.2983860115137086E-4</v>
      </c>
      <c r="P112" s="9"/>
    </row>
    <row r="113" spans="1:16">
      <c r="A113" s="12"/>
      <c r="B113" s="38">
        <v>351.7</v>
      </c>
      <c r="C113" s="20" t="s">
        <v>232</v>
      </c>
      <c r="D113" s="45">
        <v>0</v>
      </c>
      <c r="E113" s="45">
        <v>445713</v>
      </c>
      <c r="F113" s="45">
        <v>0</v>
      </c>
      <c r="G113" s="45">
        <v>0</v>
      </c>
      <c r="H113" s="45">
        <v>0</v>
      </c>
      <c r="I113" s="45">
        <v>0</v>
      </c>
      <c r="J113" s="45">
        <v>0</v>
      </c>
      <c r="K113" s="45">
        <v>0</v>
      </c>
      <c r="L113" s="45">
        <v>0</v>
      </c>
      <c r="M113" s="45">
        <v>0</v>
      </c>
      <c r="N113" s="45">
        <f t="shared" si="15"/>
        <v>445713</v>
      </c>
      <c r="O113" s="46">
        <f t="shared" si="13"/>
        <v>0.30141016893219247</v>
      </c>
      <c r="P113" s="9"/>
    </row>
    <row r="114" spans="1:16">
      <c r="A114" s="12"/>
      <c r="B114" s="38">
        <v>352</v>
      </c>
      <c r="C114" s="20" t="s">
        <v>138</v>
      </c>
      <c r="D114" s="45">
        <v>0</v>
      </c>
      <c r="E114" s="45">
        <v>206992</v>
      </c>
      <c r="F114" s="45">
        <v>0</v>
      </c>
      <c r="G114" s="45">
        <v>0</v>
      </c>
      <c r="H114" s="45">
        <v>0</v>
      </c>
      <c r="I114" s="45">
        <v>0</v>
      </c>
      <c r="J114" s="45">
        <v>0</v>
      </c>
      <c r="K114" s="45">
        <v>0</v>
      </c>
      <c r="L114" s="45">
        <v>0</v>
      </c>
      <c r="M114" s="45">
        <v>0</v>
      </c>
      <c r="N114" s="45">
        <f t="shared" si="15"/>
        <v>206992</v>
      </c>
      <c r="O114" s="46">
        <f t="shared" si="13"/>
        <v>0.13997683192460705</v>
      </c>
      <c r="P114" s="9"/>
    </row>
    <row r="115" spans="1:16">
      <c r="A115" s="12"/>
      <c r="B115" s="38">
        <v>353</v>
      </c>
      <c r="C115" s="20" t="s">
        <v>139</v>
      </c>
      <c r="D115" s="45">
        <v>0</v>
      </c>
      <c r="E115" s="45">
        <v>135779</v>
      </c>
      <c r="F115" s="45">
        <v>0</v>
      </c>
      <c r="G115" s="45">
        <v>0</v>
      </c>
      <c r="H115" s="45">
        <v>0</v>
      </c>
      <c r="I115" s="45">
        <v>0</v>
      </c>
      <c r="J115" s="45">
        <v>0</v>
      </c>
      <c r="K115" s="45">
        <v>0</v>
      </c>
      <c r="L115" s="45">
        <v>0</v>
      </c>
      <c r="M115" s="45">
        <v>0</v>
      </c>
      <c r="N115" s="45">
        <f t="shared" si="15"/>
        <v>135779</v>
      </c>
      <c r="O115" s="46">
        <f t="shared" si="13"/>
        <v>9.1819559509020737E-2</v>
      </c>
      <c r="P115" s="9"/>
    </row>
    <row r="116" spans="1:16">
      <c r="A116" s="12"/>
      <c r="B116" s="38">
        <v>354</v>
      </c>
      <c r="C116" s="20" t="s">
        <v>140</v>
      </c>
      <c r="D116" s="45">
        <v>6537666</v>
      </c>
      <c r="E116" s="45">
        <v>105262</v>
      </c>
      <c r="F116" s="45">
        <v>0</v>
      </c>
      <c r="G116" s="45">
        <v>0</v>
      </c>
      <c r="H116" s="45">
        <v>0</v>
      </c>
      <c r="I116" s="45">
        <v>75</v>
      </c>
      <c r="J116" s="45">
        <v>1666</v>
      </c>
      <c r="K116" s="45">
        <v>0</v>
      </c>
      <c r="L116" s="45">
        <v>0</v>
      </c>
      <c r="M116" s="45">
        <v>0</v>
      </c>
      <c r="N116" s="45">
        <f t="shared" si="15"/>
        <v>6644669</v>
      </c>
      <c r="O116" s="46">
        <f t="shared" si="13"/>
        <v>4.4934090003847817</v>
      </c>
      <c r="P116" s="9"/>
    </row>
    <row r="117" spans="1:16">
      <c r="A117" s="12"/>
      <c r="B117" s="38">
        <v>359</v>
      </c>
      <c r="C117" s="20" t="s">
        <v>141</v>
      </c>
      <c r="D117" s="45">
        <v>6515</v>
      </c>
      <c r="E117" s="45">
        <v>349801</v>
      </c>
      <c r="F117" s="45">
        <v>0</v>
      </c>
      <c r="G117" s="45">
        <v>0</v>
      </c>
      <c r="H117" s="45">
        <v>0</v>
      </c>
      <c r="I117" s="45">
        <v>0</v>
      </c>
      <c r="J117" s="45">
        <v>0</v>
      </c>
      <c r="K117" s="45">
        <v>0</v>
      </c>
      <c r="L117" s="45">
        <v>0</v>
      </c>
      <c r="M117" s="45">
        <v>0</v>
      </c>
      <c r="N117" s="45">
        <f t="shared" si="15"/>
        <v>356316</v>
      </c>
      <c r="O117" s="46">
        <f t="shared" si="13"/>
        <v>0.2409560989992284</v>
      </c>
      <c r="P117" s="9"/>
    </row>
    <row r="118" spans="1:16" ht="15.75">
      <c r="A118" s="28" t="s">
        <v>5</v>
      </c>
      <c r="B118" s="29"/>
      <c r="C118" s="30"/>
      <c r="D118" s="31">
        <f t="shared" ref="D118:M118" si="16">SUM(D119:D127)</f>
        <v>27764252</v>
      </c>
      <c r="E118" s="31">
        <f t="shared" si="16"/>
        <v>45679321</v>
      </c>
      <c r="F118" s="31">
        <f t="shared" si="16"/>
        <v>1620772</v>
      </c>
      <c r="G118" s="31">
        <f t="shared" si="16"/>
        <v>3734826</v>
      </c>
      <c r="H118" s="31">
        <f t="shared" si="16"/>
        <v>0</v>
      </c>
      <c r="I118" s="31">
        <f t="shared" si="16"/>
        <v>700073</v>
      </c>
      <c r="J118" s="31">
        <f t="shared" si="16"/>
        <v>1303597</v>
      </c>
      <c r="K118" s="31">
        <f t="shared" si="16"/>
        <v>0</v>
      </c>
      <c r="L118" s="31">
        <f t="shared" si="16"/>
        <v>0</v>
      </c>
      <c r="M118" s="31">
        <f t="shared" si="16"/>
        <v>1270107</v>
      </c>
      <c r="N118" s="31">
        <f>SUM(D118:M118)</f>
        <v>82072948</v>
      </c>
      <c r="O118" s="44">
        <f t="shared" si="13"/>
        <v>55.501233128589583</v>
      </c>
      <c r="P118" s="10"/>
    </row>
    <row r="119" spans="1:16">
      <c r="A119" s="11"/>
      <c r="B119" s="24">
        <v>361.1</v>
      </c>
      <c r="C119" s="19" t="s">
        <v>142</v>
      </c>
      <c r="D119" s="45">
        <v>20201114</v>
      </c>
      <c r="E119" s="45">
        <v>19561555</v>
      </c>
      <c r="F119" s="45">
        <v>981840</v>
      </c>
      <c r="G119" s="45">
        <v>3012408</v>
      </c>
      <c r="H119" s="45">
        <v>0</v>
      </c>
      <c r="I119" s="45">
        <v>0</v>
      </c>
      <c r="J119" s="45">
        <v>0</v>
      </c>
      <c r="K119" s="45">
        <v>0</v>
      </c>
      <c r="L119" s="45">
        <v>0</v>
      </c>
      <c r="M119" s="45">
        <v>56195</v>
      </c>
      <c r="N119" s="45">
        <f>SUM(D119:M119)</f>
        <v>43813112</v>
      </c>
      <c r="O119" s="46">
        <f t="shared" si="13"/>
        <v>29.628297782126769</v>
      </c>
      <c r="P119" s="9"/>
    </row>
    <row r="120" spans="1:16">
      <c r="A120" s="11"/>
      <c r="B120" s="24">
        <v>361.4</v>
      </c>
      <c r="C120" s="19" t="s">
        <v>261</v>
      </c>
      <c r="D120" s="45">
        <v>0</v>
      </c>
      <c r="E120" s="45">
        <v>0</v>
      </c>
      <c r="F120" s="45">
        <v>0</v>
      </c>
      <c r="G120" s="45">
        <v>0</v>
      </c>
      <c r="H120" s="45">
        <v>0</v>
      </c>
      <c r="I120" s="45">
        <v>0</v>
      </c>
      <c r="J120" s="45">
        <v>0</v>
      </c>
      <c r="K120" s="45">
        <v>0</v>
      </c>
      <c r="L120" s="45">
        <v>0</v>
      </c>
      <c r="M120" s="45">
        <v>1213637</v>
      </c>
      <c r="N120" s="45">
        <f t="shared" ref="N120:N127" si="17">SUM(D120:M120)</f>
        <v>1213637</v>
      </c>
      <c r="O120" s="46">
        <f t="shared" si="13"/>
        <v>0.82071317909138675</v>
      </c>
      <c r="P120" s="9"/>
    </row>
    <row r="121" spans="1:16">
      <c r="A121" s="11"/>
      <c r="B121" s="24">
        <v>362</v>
      </c>
      <c r="C121" s="19" t="s">
        <v>145</v>
      </c>
      <c r="D121" s="45">
        <v>1242485</v>
      </c>
      <c r="E121" s="45">
        <v>81125</v>
      </c>
      <c r="F121" s="45">
        <v>638931</v>
      </c>
      <c r="G121" s="45">
        <v>266990</v>
      </c>
      <c r="H121" s="45">
        <v>0</v>
      </c>
      <c r="I121" s="45">
        <v>0</v>
      </c>
      <c r="J121" s="45">
        <v>0</v>
      </c>
      <c r="K121" s="45">
        <v>0</v>
      </c>
      <c r="L121" s="45">
        <v>0</v>
      </c>
      <c r="M121" s="45">
        <v>0</v>
      </c>
      <c r="N121" s="45">
        <f t="shared" si="17"/>
        <v>2229531</v>
      </c>
      <c r="O121" s="46">
        <f t="shared" si="13"/>
        <v>1.5077040951230052</v>
      </c>
      <c r="P121" s="9"/>
    </row>
    <row r="122" spans="1:16">
      <c r="A122" s="11"/>
      <c r="B122" s="24">
        <v>364</v>
      </c>
      <c r="C122" s="19" t="s">
        <v>237</v>
      </c>
      <c r="D122" s="45">
        <v>1475031</v>
      </c>
      <c r="E122" s="45">
        <v>24319</v>
      </c>
      <c r="F122" s="45">
        <v>0</v>
      </c>
      <c r="G122" s="45">
        <v>36000</v>
      </c>
      <c r="H122" s="45">
        <v>0</v>
      </c>
      <c r="I122" s="45">
        <v>-634156</v>
      </c>
      <c r="J122" s="45">
        <v>1277277</v>
      </c>
      <c r="K122" s="45">
        <v>0</v>
      </c>
      <c r="L122" s="45">
        <v>0</v>
      </c>
      <c r="M122" s="45">
        <v>0</v>
      </c>
      <c r="N122" s="45">
        <f t="shared" si="17"/>
        <v>2178471</v>
      </c>
      <c r="O122" s="46">
        <f t="shared" si="13"/>
        <v>1.4731751421293124</v>
      </c>
      <c r="P122" s="9"/>
    </row>
    <row r="123" spans="1:16">
      <c r="A123" s="11"/>
      <c r="B123" s="24">
        <v>365</v>
      </c>
      <c r="C123" s="19" t="s">
        <v>238</v>
      </c>
      <c r="D123" s="45">
        <v>124800</v>
      </c>
      <c r="E123" s="45">
        <v>15397</v>
      </c>
      <c r="F123" s="45">
        <v>0</v>
      </c>
      <c r="G123" s="45">
        <v>0</v>
      </c>
      <c r="H123" s="45">
        <v>0</v>
      </c>
      <c r="I123" s="45">
        <v>714046</v>
      </c>
      <c r="J123" s="45">
        <v>10230</v>
      </c>
      <c r="K123" s="45">
        <v>0</v>
      </c>
      <c r="L123" s="45">
        <v>0</v>
      </c>
      <c r="M123" s="45">
        <v>0</v>
      </c>
      <c r="N123" s="45">
        <f t="shared" si="17"/>
        <v>864473</v>
      </c>
      <c r="O123" s="46">
        <f t="shared" si="13"/>
        <v>0.58459356798504691</v>
      </c>
      <c r="P123" s="9"/>
    </row>
    <row r="124" spans="1:16">
      <c r="A124" s="11"/>
      <c r="B124" s="24">
        <v>366</v>
      </c>
      <c r="C124" s="19" t="s">
        <v>148</v>
      </c>
      <c r="D124" s="45">
        <v>100672</v>
      </c>
      <c r="E124" s="45">
        <v>13524355</v>
      </c>
      <c r="F124" s="45">
        <v>0</v>
      </c>
      <c r="G124" s="45">
        <v>0</v>
      </c>
      <c r="H124" s="45">
        <v>0</v>
      </c>
      <c r="I124" s="45">
        <v>0</v>
      </c>
      <c r="J124" s="45">
        <v>0</v>
      </c>
      <c r="K124" s="45">
        <v>0</v>
      </c>
      <c r="L124" s="45">
        <v>0</v>
      </c>
      <c r="M124" s="45">
        <v>0</v>
      </c>
      <c r="N124" s="45">
        <f t="shared" si="17"/>
        <v>13625027</v>
      </c>
      <c r="O124" s="46">
        <f t="shared" si="13"/>
        <v>9.2138252413003059</v>
      </c>
      <c r="P124" s="9"/>
    </row>
    <row r="125" spans="1:16">
      <c r="A125" s="11"/>
      <c r="B125" s="24">
        <v>367</v>
      </c>
      <c r="C125" s="19" t="s">
        <v>149</v>
      </c>
      <c r="D125" s="45">
        <v>2203722</v>
      </c>
      <c r="E125" s="45">
        <v>217451</v>
      </c>
      <c r="F125" s="45">
        <v>0</v>
      </c>
      <c r="G125" s="45">
        <v>0</v>
      </c>
      <c r="H125" s="45">
        <v>0</v>
      </c>
      <c r="I125" s="45">
        <v>0</v>
      </c>
      <c r="J125" s="45">
        <v>0</v>
      </c>
      <c r="K125" s="45">
        <v>0</v>
      </c>
      <c r="L125" s="45">
        <v>0</v>
      </c>
      <c r="M125" s="45">
        <v>0</v>
      </c>
      <c r="N125" s="45">
        <f t="shared" si="17"/>
        <v>2421173</v>
      </c>
      <c r="O125" s="46">
        <f t="shared" si="13"/>
        <v>1.6373006013826459</v>
      </c>
      <c r="P125" s="9"/>
    </row>
    <row r="126" spans="1:16">
      <c r="A126" s="11"/>
      <c r="B126" s="24">
        <v>369.3</v>
      </c>
      <c r="C126" s="19" t="s">
        <v>150</v>
      </c>
      <c r="D126" s="45">
        <v>108443</v>
      </c>
      <c r="E126" s="45">
        <v>995699</v>
      </c>
      <c r="F126" s="45">
        <v>0</v>
      </c>
      <c r="G126" s="45">
        <v>0</v>
      </c>
      <c r="H126" s="45">
        <v>0</v>
      </c>
      <c r="I126" s="45">
        <v>0</v>
      </c>
      <c r="J126" s="45">
        <v>0</v>
      </c>
      <c r="K126" s="45">
        <v>0</v>
      </c>
      <c r="L126" s="45">
        <v>0</v>
      </c>
      <c r="M126" s="45">
        <v>0</v>
      </c>
      <c r="N126" s="45">
        <f t="shared" si="17"/>
        <v>1104142</v>
      </c>
      <c r="O126" s="46">
        <f t="shared" si="13"/>
        <v>0.74666798308581728</v>
      </c>
      <c r="P126" s="9"/>
    </row>
    <row r="127" spans="1:16">
      <c r="A127" s="11"/>
      <c r="B127" s="24">
        <v>369.9</v>
      </c>
      <c r="C127" s="19" t="s">
        <v>151</v>
      </c>
      <c r="D127" s="45">
        <v>2307985</v>
      </c>
      <c r="E127" s="45">
        <v>11259420</v>
      </c>
      <c r="F127" s="45">
        <v>1</v>
      </c>
      <c r="G127" s="45">
        <v>419428</v>
      </c>
      <c r="H127" s="45">
        <v>0</v>
      </c>
      <c r="I127" s="45">
        <v>620183</v>
      </c>
      <c r="J127" s="45">
        <v>16090</v>
      </c>
      <c r="K127" s="45">
        <v>0</v>
      </c>
      <c r="L127" s="45">
        <v>0</v>
      </c>
      <c r="M127" s="45">
        <v>275</v>
      </c>
      <c r="N127" s="45">
        <f t="shared" si="17"/>
        <v>14623382</v>
      </c>
      <c r="O127" s="46">
        <f t="shared" si="13"/>
        <v>9.8889555363652892</v>
      </c>
      <c r="P127" s="9"/>
    </row>
    <row r="128" spans="1:16" ht="15.75">
      <c r="A128" s="28" t="s">
        <v>77</v>
      </c>
      <c r="B128" s="29"/>
      <c r="C128" s="30"/>
      <c r="D128" s="31">
        <f t="shared" ref="D128:M128" si="18">SUM(D129:D133)</f>
        <v>719771886</v>
      </c>
      <c r="E128" s="31">
        <f t="shared" si="18"/>
        <v>162709198</v>
      </c>
      <c r="F128" s="31">
        <f t="shared" si="18"/>
        <v>122604888</v>
      </c>
      <c r="G128" s="31">
        <f t="shared" si="18"/>
        <v>69572451</v>
      </c>
      <c r="H128" s="31">
        <f t="shared" si="18"/>
        <v>0</v>
      </c>
      <c r="I128" s="31">
        <f t="shared" si="18"/>
        <v>67724457</v>
      </c>
      <c r="J128" s="31">
        <f t="shared" si="18"/>
        <v>15603946</v>
      </c>
      <c r="K128" s="31">
        <f t="shared" si="18"/>
        <v>0</v>
      </c>
      <c r="L128" s="31">
        <f t="shared" si="18"/>
        <v>0</v>
      </c>
      <c r="M128" s="31">
        <f t="shared" si="18"/>
        <v>0</v>
      </c>
      <c r="N128" s="31">
        <f t="shared" ref="N128:N134" si="19">SUM(D128:M128)</f>
        <v>1157986826</v>
      </c>
      <c r="O128" s="44">
        <f t="shared" si="13"/>
        <v>783.08015437268682</v>
      </c>
      <c r="P128" s="9"/>
    </row>
    <row r="129" spans="1:119">
      <c r="A129" s="11"/>
      <c r="B129" s="24">
        <v>381</v>
      </c>
      <c r="C129" s="19" t="s">
        <v>152</v>
      </c>
      <c r="D129" s="45">
        <v>719771886</v>
      </c>
      <c r="E129" s="45">
        <v>162709198</v>
      </c>
      <c r="F129" s="45">
        <v>82904888</v>
      </c>
      <c r="G129" s="45">
        <v>49672433</v>
      </c>
      <c r="H129" s="45">
        <v>0</v>
      </c>
      <c r="I129" s="45">
        <v>5000000</v>
      </c>
      <c r="J129" s="45">
        <v>7072267</v>
      </c>
      <c r="K129" s="45">
        <v>0</v>
      </c>
      <c r="L129" s="45">
        <v>0</v>
      </c>
      <c r="M129" s="45">
        <v>0</v>
      </c>
      <c r="N129" s="45">
        <f t="shared" si="19"/>
        <v>1027130672</v>
      </c>
      <c r="O129" s="46">
        <f t="shared" si="13"/>
        <v>694.58963360493499</v>
      </c>
      <c r="P129" s="9"/>
    </row>
    <row r="130" spans="1:119">
      <c r="A130" s="11"/>
      <c r="B130" s="24">
        <v>384</v>
      </c>
      <c r="C130" s="19" t="s">
        <v>153</v>
      </c>
      <c r="D130" s="45">
        <v>0</v>
      </c>
      <c r="E130" s="45">
        <v>0</v>
      </c>
      <c r="F130" s="45">
        <v>39700000</v>
      </c>
      <c r="G130" s="45">
        <v>19900018</v>
      </c>
      <c r="H130" s="45">
        <v>0</v>
      </c>
      <c r="I130" s="45">
        <v>0</v>
      </c>
      <c r="J130" s="45">
        <v>0</v>
      </c>
      <c r="K130" s="45">
        <v>0</v>
      </c>
      <c r="L130" s="45">
        <v>0</v>
      </c>
      <c r="M130" s="45">
        <v>0</v>
      </c>
      <c r="N130" s="45">
        <f t="shared" si="19"/>
        <v>59600018</v>
      </c>
      <c r="O130" s="46">
        <f t="shared" si="13"/>
        <v>40.304077946440223</v>
      </c>
      <c r="P130" s="9"/>
    </row>
    <row r="131" spans="1:119">
      <c r="A131" s="11"/>
      <c r="B131" s="24">
        <v>389.1</v>
      </c>
      <c r="C131" s="19" t="s">
        <v>239</v>
      </c>
      <c r="D131" s="45">
        <v>0</v>
      </c>
      <c r="E131" s="45">
        <v>0</v>
      </c>
      <c r="F131" s="45">
        <v>0</v>
      </c>
      <c r="G131" s="45">
        <v>0</v>
      </c>
      <c r="H131" s="45">
        <v>0</v>
      </c>
      <c r="I131" s="45">
        <v>22107250</v>
      </c>
      <c r="J131" s="45">
        <v>6903783</v>
      </c>
      <c r="K131" s="45">
        <v>0</v>
      </c>
      <c r="L131" s="45">
        <v>0</v>
      </c>
      <c r="M131" s="45">
        <v>0</v>
      </c>
      <c r="N131" s="45">
        <f t="shared" si="19"/>
        <v>29011033</v>
      </c>
      <c r="O131" s="46">
        <f t="shared" si="13"/>
        <v>19.618499701438843</v>
      </c>
      <c r="P131" s="9"/>
    </row>
    <row r="132" spans="1:119">
      <c r="A132" s="11"/>
      <c r="B132" s="24">
        <v>389.4</v>
      </c>
      <c r="C132" s="19" t="s">
        <v>240</v>
      </c>
      <c r="D132" s="45">
        <v>0</v>
      </c>
      <c r="E132" s="45">
        <v>0</v>
      </c>
      <c r="F132" s="45">
        <v>0</v>
      </c>
      <c r="G132" s="45">
        <v>0</v>
      </c>
      <c r="H132" s="45">
        <v>0</v>
      </c>
      <c r="I132" s="45">
        <v>37669136</v>
      </c>
      <c r="J132" s="45">
        <v>0</v>
      </c>
      <c r="K132" s="45">
        <v>0</v>
      </c>
      <c r="L132" s="45">
        <v>0</v>
      </c>
      <c r="M132" s="45">
        <v>0</v>
      </c>
      <c r="N132" s="45">
        <f t="shared" si="19"/>
        <v>37669136</v>
      </c>
      <c r="O132" s="46">
        <f t="shared" si="13"/>
        <v>25.473478775108045</v>
      </c>
      <c r="P132" s="9"/>
    </row>
    <row r="133" spans="1:119" ht="15.75" thickBot="1">
      <c r="A133" s="11"/>
      <c r="B133" s="24">
        <v>389.9</v>
      </c>
      <c r="C133" s="19" t="s">
        <v>241</v>
      </c>
      <c r="D133" s="45">
        <v>0</v>
      </c>
      <c r="E133" s="45">
        <v>0</v>
      </c>
      <c r="F133" s="45">
        <v>0</v>
      </c>
      <c r="G133" s="45">
        <v>0</v>
      </c>
      <c r="H133" s="45">
        <v>0</v>
      </c>
      <c r="I133" s="45">
        <v>2948071</v>
      </c>
      <c r="J133" s="45">
        <v>1627896</v>
      </c>
      <c r="K133" s="45">
        <v>0</v>
      </c>
      <c r="L133" s="45">
        <v>0</v>
      </c>
      <c r="M133" s="45">
        <v>0</v>
      </c>
      <c r="N133" s="45">
        <f t="shared" si="19"/>
        <v>4575967</v>
      </c>
      <c r="O133" s="46">
        <f>(N133/O$136)</f>
        <v>3.0944643447647655</v>
      </c>
      <c r="P133" s="9"/>
    </row>
    <row r="134" spans="1:119" ht="16.5" thickBot="1">
      <c r="A134" s="13" t="s">
        <v>114</v>
      </c>
      <c r="B134" s="22"/>
      <c r="C134" s="21"/>
      <c r="D134" s="14">
        <f t="shared" ref="D134:M134" si="20">SUM(D5,D13,D26,D70,D109,D118,D128)</f>
        <v>1757513064</v>
      </c>
      <c r="E134" s="14">
        <f t="shared" si="20"/>
        <v>1185950079</v>
      </c>
      <c r="F134" s="14">
        <f t="shared" si="20"/>
        <v>132220185</v>
      </c>
      <c r="G134" s="14">
        <f t="shared" si="20"/>
        <v>73307277</v>
      </c>
      <c r="H134" s="14">
        <f t="shared" si="20"/>
        <v>0</v>
      </c>
      <c r="I134" s="14">
        <f t="shared" si="20"/>
        <v>472258163</v>
      </c>
      <c r="J134" s="14">
        <f t="shared" si="20"/>
        <v>228919848</v>
      </c>
      <c r="K134" s="14">
        <f t="shared" si="20"/>
        <v>0</v>
      </c>
      <c r="L134" s="14">
        <f t="shared" si="20"/>
        <v>0</v>
      </c>
      <c r="M134" s="14">
        <f t="shared" si="20"/>
        <v>11387179</v>
      </c>
      <c r="N134" s="14">
        <f t="shared" si="19"/>
        <v>3861555795</v>
      </c>
      <c r="O134" s="37">
        <f>(N134/O$136)</f>
        <v>2611.3489723477592</v>
      </c>
      <c r="P134" s="6"/>
      <c r="Q134" s="2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</row>
    <row r="135" spans="1:119">
      <c r="A135" s="15"/>
      <c r="B135" s="17"/>
      <c r="C135" s="17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8"/>
    </row>
    <row r="136" spans="1:119">
      <c r="A136" s="39"/>
      <c r="B136" s="40"/>
      <c r="C136" s="40"/>
      <c r="D136" s="41"/>
      <c r="E136" s="41"/>
      <c r="F136" s="41"/>
      <c r="G136" s="41"/>
      <c r="H136" s="41"/>
      <c r="I136" s="41"/>
      <c r="J136" s="41"/>
      <c r="K136" s="41"/>
      <c r="L136" s="48" t="s">
        <v>293</v>
      </c>
      <c r="M136" s="48"/>
      <c r="N136" s="48"/>
      <c r="O136" s="42">
        <v>1478759</v>
      </c>
    </row>
    <row r="137" spans="1:119">
      <c r="A137" s="49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1"/>
    </row>
    <row r="138" spans="1:119" ht="15.75" customHeight="1" thickBot="1">
      <c r="A138" s="52" t="s">
        <v>178</v>
      </c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4"/>
    </row>
  </sheetData>
  <mergeCells count="10">
    <mergeCell ref="L136:N136"/>
    <mergeCell ref="A137:O137"/>
    <mergeCell ref="A138:O138"/>
    <mergeCell ref="A1:O1"/>
    <mergeCell ref="A2:O2"/>
    <mergeCell ref="A3:C4"/>
    <mergeCell ref="D3:H3"/>
    <mergeCell ref="I3:J3"/>
    <mergeCell ref="K3:L3"/>
    <mergeCell ref="O3:O4"/>
  </mergeCells>
  <printOptions horizontalCentered="1"/>
  <pageMargins left="0.5" right="0.5" top="0.5" bottom="0.5" header="0.3" footer="0.3"/>
  <pageSetup paperSize="5" scale="55" fitToHeight="0" orientation="landscape" r:id="rId1"/>
  <headerFooter>
    <oddFooter>&amp;L&amp;14Office of Economic and Demographic Research&amp;R&amp;14Page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C154"/>
  <sheetViews>
    <sheetView workbookViewId="0">
      <selection sqref="A1:O1"/>
    </sheetView>
  </sheetViews>
  <sheetFormatPr defaultColWidth="9.77734375" defaultRowHeight="15"/>
  <cols>
    <col min="1" max="1" width="1.77734375" style="3" customWidth="1"/>
    <col min="2" max="2" width="6.77734375" style="3" customWidth="1"/>
    <col min="3" max="3" width="60.77734375" style="3" customWidth="1"/>
    <col min="4" max="5" width="16.77734375" style="4" customWidth="1"/>
    <col min="6" max="7" width="15.77734375" style="4" customWidth="1"/>
    <col min="8" max="8" width="13.77734375" style="4" customWidth="1"/>
    <col min="9" max="10" width="15.77734375" style="4" customWidth="1"/>
    <col min="11" max="13" width="13.77734375" style="4" customWidth="1"/>
    <col min="14" max="14" width="16.77734375" style="4" customWidth="1"/>
    <col min="15" max="15" width="13.77734375" style="3" customWidth="1"/>
    <col min="16" max="16" width="9.77734375" style="3" customWidth="1"/>
    <col min="17" max="17" width="9.77734375" style="3"/>
  </cols>
  <sheetData>
    <row r="1" spans="1:133" ht="27.75">
      <c r="A1" s="55" t="s">
        <v>165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7"/>
      <c r="P1" s="7"/>
      <c r="Q1"/>
    </row>
    <row r="2" spans="1:133" ht="24" thickBot="1">
      <c r="A2" s="58" t="s">
        <v>289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60"/>
      <c r="P2" s="7"/>
      <c r="Q2"/>
    </row>
    <row r="3" spans="1:133" ht="18" customHeight="1">
      <c r="A3" s="61" t="s">
        <v>158</v>
      </c>
      <c r="B3" s="62"/>
      <c r="C3" s="63"/>
      <c r="D3" s="67" t="s">
        <v>71</v>
      </c>
      <c r="E3" s="68"/>
      <c r="F3" s="68"/>
      <c r="G3" s="68"/>
      <c r="H3" s="69"/>
      <c r="I3" s="67" t="s">
        <v>72</v>
      </c>
      <c r="J3" s="69"/>
      <c r="K3" s="67" t="s">
        <v>74</v>
      </c>
      <c r="L3" s="69"/>
      <c r="M3" s="35"/>
      <c r="N3" s="36"/>
      <c r="O3" s="70" t="s">
        <v>163</v>
      </c>
      <c r="P3" s="5"/>
      <c r="Q3"/>
    </row>
    <row r="4" spans="1:133" ht="32.25" customHeight="1" thickBot="1">
      <c r="A4" s="64"/>
      <c r="B4" s="65"/>
      <c r="C4" s="66"/>
      <c r="D4" s="33" t="s">
        <v>6</v>
      </c>
      <c r="E4" s="33" t="s">
        <v>159</v>
      </c>
      <c r="F4" s="33" t="s">
        <v>160</v>
      </c>
      <c r="G4" s="33" t="s">
        <v>161</v>
      </c>
      <c r="H4" s="33" t="s">
        <v>7</v>
      </c>
      <c r="I4" s="33" t="s">
        <v>8</v>
      </c>
      <c r="J4" s="34" t="s">
        <v>162</v>
      </c>
      <c r="K4" s="34" t="s">
        <v>9</v>
      </c>
      <c r="L4" s="34" t="s">
        <v>10</v>
      </c>
      <c r="M4" s="34" t="s">
        <v>11</v>
      </c>
      <c r="N4" s="34" t="s">
        <v>73</v>
      </c>
      <c r="O4" s="71"/>
      <c r="P4" s="8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</row>
    <row r="5" spans="1:133" ht="15.75">
      <c r="A5" s="23" t="s">
        <v>2</v>
      </c>
      <c r="B5" s="25"/>
      <c r="C5" s="25"/>
      <c r="D5" s="26">
        <f t="shared" ref="D5:M5" si="0">SUM(D6:D12)</f>
        <v>766627234</v>
      </c>
      <c r="E5" s="26">
        <f t="shared" si="0"/>
        <v>476431423</v>
      </c>
      <c r="F5" s="26">
        <f t="shared" si="0"/>
        <v>6970996</v>
      </c>
      <c r="G5" s="26">
        <f t="shared" si="0"/>
        <v>0</v>
      </c>
      <c r="H5" s="26">
        <f t="shared" si="0"/>
        <v>0</v>
      </c>
      <c r="I5" s="26">
        <f t="shared" si="0"/>
        <v>0</v>
      </c>
      <c r="J5" s="26">
        <f t="shared" si="0"/>
        <v>0</v>
      </c>
      <c r="K5" s="26">
        <f t="shared" si="0"/>
        <v>0</v>
      </c>
      <c r="L5" s="26">
        <f t="shared" si="0"/>
        <v>0</v>
      </c>
      <c r="M5" s="26">
        <f t="shared" si="0"/>
        <v>1873322</v>
      </c>
      <c r="N5" s="27">
        <f>SUM(D5:M5)</f>
        <v>1251902975</v>
      </c>
      <c r="O5" s="32">
        <f t="shared" ref="O5:O36" si="1">(N5/O$152)</f>
        <v>866.44679106078752</v>
      </c>
      <c r="P5" s="6"/>
    </row>
    <row r="6" spans="1:133">
      <c r="A6" s="11"/>
      <c r="B6" s="24">
        <v>311</v>
      </c>
      <c r="C6" s="19" t="s">
        <v>3</v>
      </c>
      <c r="D6" s="45">
        <v>765147732</v>
      </c>
      <c r="E6" s="45">
        <v>49123839</v>
      </c>
      <c r="F6" s="45">
        <v>6970996</v>
      </c>
      <c r="G6" s="45">
        <v>0</v>
      </c>
      <c r="H6" s="45">
        <v>0</v>
      </c>
      <c r="I6" s="45">
        <v>0</v>
      </c>
      <c r="J6" s="45">
        <v>0</v>
      </c>
      <c r="K6" s="45">
        <v>0</v>
      </c>
      <c r="L6" s="45">
        <v>0</v>
      </c>
      <c r="M6" s="45">
        <v>0</v>
      </c>
      <c r="N6" s="45">
        <f>SUM(D6:M6)</f>
        <v>821242567</v>
      </c>
      <c r="O6" s="46">
        <f t="shared" si="1"/>
        <v>568.38509139230518</v>
      </c>
      <c r="P6" s="9"/>
    </row>
    <row r="7" spans="1:133">
      <c r="A7" s="11"/>
      <c r="B7" s="24">
        <v>312.10000000000002</v>
      </c>
      <c r="C7" s="19" t="s">
        <v>12</v>
      </c>
      <c r="D7" s="45">
        <v>0</v>
      </c>
      <c r="E7" s="45">
        <v>35965562</v>
      </c>
      <c r="F7" s="45">
        <v>0</v>
      </c>
      <c r="G7" s="45">
        <v>0</v>
      </c>
      <c r="H7" s="45">
        <v>0</v>
      </c>
      <c r="I7" s="45">
        <v>0</v>
      </c>
      <c r="J7" s="45">
        <v>0</v>
      </c>
      <c r="K7" s="45">
        <v>0</v>
      </c>
      <c r="L7" s="45">
        <v>0</v>
      </c>
      <c r="M7" s="45">
        <v>0</v>
      </c>
      <c r="N7" s="45">
        <f t="shared" ref="N7:N12" si="2">SUM(D7:M7)</f>
        <v>35965562</v>
      </c>
      <c r="O7" s="46">
        <f t="shared" si="1"/>
        <v>24.891901693577967</v>
      </c>
      <c r="P7" s="9"/>
    </row>
    <row r="8" spans="1:133">
      <c r="A8" s="11"/>
      <c r="B8" s="24">
        <v>312.3</v>
      </c>
      <c r="C8" s="19" t="s">
        <v>13</v>
      </c>
      <c r="D8" s="45">
        <v>0</v>
      </c>
      <c r="E8" s="45">
        <v>7537125</v>
      </c>
      <c r="F8" s="45">
        <v>0</v>
      </c>
      <c r="G8" s="45">
        <v>0</v>
      </c>
      <c r="H8" s="45">
        <v>0</v>
      </c>
      <c r="I8" s="45">
        <v>0</v>
      </c>
      <c r="J8" s="45">
        <v>0</v>
      </c>
      <c r="K8" s="45">
        <v>0</v>
      </c>
      <c r="L8" s="45">
        <v>0</v>
      </c>
      <c r="M8" s="45">
        <v>0</v>
      </c>
      <c r="N8" s="45">
        <f t="shared" si="2"/>
        <v>7537125</v>
      </c>
      <c r="O8" s="46">
        <f t="shared" si="1"/>
        <v>5.2164727622554281</v>
      </c>
      <c r="P8" s="9"/>
    </row>
    <row r="9" spans="1:133">
      <c r="A9" s="11"/>
      <c r="B9" s="24">
        <v>312.41000000000003</v>
      </c>
      <c r="C9" s="19" t="s">
        <v>14</v>
      </c>
      <c r="D9" s="45">
        <v>0</v>
      </c>
      <c r="E9" s="45">
        <v>28594935</v>
      </c>
      <c r="F9" s="45">
        <v>0</v>
      </c>
      <c r="G9" s="45">
        <v>0</v>
      </c>
      <c r="H9" s="45">
        <v>0</v>
      </c>
      <c r="I9" s="45">
        <v>0</v>
      </c>
      <c r="J9" s="45">
        <v>0</v>
      </c>
      <c r="K9" s="45">
        <v>0</v>
      </c>
      <c r="L9" s="45">
        <v>0</v>
      </c>
      <c r="M9" s="45">
        <v>0</v>
      </c>
      <c r="N9" s="45">
        <f t="shared" si="2"/>
        <v>28594935</v>
      </c>
      <c r="O9" s="46">
        <f t="shared" si="1"/>
        <v>19.790662827797657</v>
      </c>
      <c r="P9" s="9"/>
    </row>
    <row r="10" spans="1:133">
      <c r="A10" s="11"/>
      <c r="B10" s="24">
        <v>312.60000000000002</v>
      </c>
      <c r="C10" s="19" t="s">
        <v>15</v>
      </c>
      <c r="D10" s="45">
        <v>0</v>
      </c>
      <c r="E10" s="45">
        <v>336226203</v>
      </c>
      <c r="F10" s="45">
        <v>0</v>
      </c>
      <c r="G10" s="45">
        <v>0</v>
      </c>
      <c r="H10" s="45">
        <v>0</v>
      </c>
      <c r="I10" s="45">
        <v>0</v>
      </c>
      <c r="J10" s="45">
        <v>0</v>
      </c>
      <c r="K10" s="45">
        <v>0</v>
      </c>
      <c r="L10" s="45">
        <v>0</v>
      </c>
      <c r="M10" s="45">
        <v>1873322</v>
      </c>
      <c r="N10" s="45">
        <f t="shared" si="2"/>
        <v>338099525</v>
      </c>
      <c r="O10" s="46">
        <f t="shared" si="1"/>
        <v>233.99996193429166</v>
      </c>
      <c r="P10" s="9"/>
    </row>
    <row r="11" spans="1:133">
      <c r="A11" s="11"/>
      <c r="B11" s="24">
        <v>315</v>
      </c>
      <c r="C11" s="19" t="s">
        <v>202</v>
      </c>
      <c r="D11" s="45">
        <v>0</v>
      </c>
      <c r="E11" s="45">
        <v>18787976</v>
      </c>
      <c r="F11" s="45">
        <v>0</v>
      </c>
      <c r="G11" s="45">
        <v>0</v>
      </c>
      <c r="H11" s="45">
        <v>0</v>
      </c>
      <c r="I11" s="45">
        <v>0</v>
      </c>
      <c r="J11" s="45">
        <v>0</v>
      </c>
      <c r="K11" s="45">
        <v>0</v>
      </c>
      <c r="L11" s="45">
        <v>0</v>
      </c>
      <c r="M11" s="45">
        <v>0</v>
      </c>
      <c r="N11" s="45">
        <f t="shared" si="2"/>
        <v>18787976</v>
      </c>
      <c r="O11" s="46">
        <f t="shared" si="1"/>
        <v>13.003229356274266</v>
      </c>
      <c r="P11" s="9"/>
    </row>
    <row r="12" spans="1:133">
      <c r="A12" s="11"/>
      <c r="B12" s="24">
        <v>316</v>
      </c>
      <c r="C12" s="19" t="s">
        <v>203</v>
      </c>
      <c r="D12" s="45">
        <v>1479502</v>
      </c>
      <c r="E12" s="45">
        <v>195783</v>
      </c>
      <c r="F12" s="45">
        <v>0</v>
      </c>
      <c r="G12" s="45">
        <v>0</v>
      </c>
      <c r="H12" s="45">
        <v>0</v>
      </c>
      <c r="I12" s="45">
        <v>0</v>
      </c>
      <c r="J12" s="45">
        <v>0</v>
      </c>
      <c r="K12" s="45">
        <v>0</v>
      </c>
      <c r="L12" s="45">
        <v>0</v>
      </c>
      <c r="M12" s="45">
        <v>0</v>
      </c>
      <c r="N12" s="45">
        <f t="shared" si="2"/>
        <v>1675285</v>
      </c>
      <c r="O12" s="46">
        <f t="shared" si="1"/>
        <v>1.159471094285299</v>
      </c>
      <c r="P12" s="9"/>
    </row>
    <row r="13" spans="1:133" ht="15.75">
      <c r="A13" s="28" t="s">
        <v>18</v>
      </c>
      <c r="B13" s="29"/>
      <c r="C13" s="30"/>
      <c r="D13" s="31">
        <f t="shared" ref="D13:M13" si="3">SUM(D14:D25)</f>
        <v>2607980</v>
      </c>
      <c r="E13" s="31">
        <f t="shared" si="3"/>
        <v>106237821</v>
      </c>
      <c r="F13" s="31">
        <f t="shared" si="3"/>
        <v>0</v>
      </c>
      <c r="G13" s="31">
        <f t="shared" si="3"/>
        <v>0</v>
      </c>
      <c r="H13" s="31">
        <f t="shared" si="3"/>
        <v>0</v>
      </c>
      <c r="I13" s="31">
        <f t="shared" si="3"/>
        <v>91826</v>
      </c>
      <c r="J13" s="31">
        <f t="shared" si="3"/>
        <v>0</v>
      </c>
      <c r="K13" s="31">
        <f t="shared" si="3"/>
        <v>0</v>
      </c>
      <c r="L13" s="31">
        <f t="shared" si="3"/>
        <v>0</v>
      </c>
      <c r="M13" s="31">
        <f t="shared" si="3"/>
        <v>0</v>
      </c>
      <c r="N13" s="43">
        <f>SUM(D13:M13)</f>
        <v>108937627</v>
      </c>
      <c r="O13" s="44">
        <f t="shared" si="1"/>
        <v>75.396144289797704</v>
      </c>
      <c r="P13" s="10"/>
    </row>
    <row r="14" spans="1:133">
      <c r="A14" s="11"/>
      <c r="B14" s="24">
        <v>322</v>
      </c>
      <c r="C14" s="19" t="s">
        <v>0</v>
      </c>
      <c r="D14" s="45">
        <v>0</v>
      </c>
      <c r="E14" s="45">
        <v>17181234</v>
      </c>
      <c r="F14" s="45">
        <v>0</v>
      </c>
      <c r="G14" s="45">
        <v>0</v>
      </c>
      <c r="H14" s="45">
        <v>0</v>
      </c>
      <c r="I14" s="45">
        <v>0</v>
      </c>
      <c r="J14" s="45">
        <v>0</v>
      </c>
      <c r="K14" s="45">
        <v>0</v>
      </c>
      <c r="L14" s="45">
        <v>0</v>
      </c>
      <c r="M14" s="45">
        <v>0</v>
      </c>
      <c r="N14" s="45">
        <f>SUM(D14:M14)</f>
        <v>17181234</v>
      </c>
      <c r="O14" s="46">
        <f t="shared" si="1"/>
        <v>11.891197131921903</v>
      </c>
      <c r="P14" s="9"/>
    </row>
    <row r="15" spans="1:133">
      <c r="A15" s="11"/>
      <c r="B15" s="24">
        <v>323.3</v>
      </c>
      <c r="C15" s="19" t="s">
        <v>19</v>
      </c>
      <c r="D15" s="45">
        <v>3079</v>
      </c>
      <c r="E15" s="45">
        <v>0</v>
      </c>
      <c r="F15" s="45">
        <v>0</v>
      </c>
      <c r="G15" s="45">
        <v>0</v>
      </c>
      <c r="H15" s="45">
        <v>0</v>
      </c>
      <c r="I15" s="45">
        <v>0</v>
      </c>
      <c r="J15" s="45">
        <v>0</v>
      </c>
      <c r="K15" s="45">
        <v>0</v>
      </c>
      <c r="L15" s="45">
        <v>0</v>
      </c>
      <c r="M15" s="45">
        <v>0</v>
      </c>
      <c r="N15" s="45">
        <f t="shared" ref="N15:N23" si="4">SUM(D15:M15)</f>
        <v>3079</v>
      </c>
      <c r="O15" s="46">
        <f t="shared" si="1"/>
        <v>2.1309875628949316E-3</v>
      </c>
      <c r="P15" s="9"/>
    </row>
    <row r="16" spans="1:133">
      <c r="A16" s="11"/>
      <c r="B16" s="24">
        <v>323.60000000000002</v>
      </c>
      <c r="C16" s="19" t="s">
        <v>20</v>
      </c>
      <c r="D16" s="45">
        <v>7298</v>
      </c>
      <c r="E16" s="45">
        <v>0</v>
      </c>
      <c r="F16" s="45">
        <v>0</v>
      </c>
      <c r="G16" s="45">
        <v>0</v>
      </c>
      <c r="H16" s="45">
        <v>0</v>
      </c>
      <c r="I16" s="45">
        <v>0</v>
      </c>
      <c r="J16" s="45">
        <v>0</v>
      </c>
      <c r="K16" s="45">
        <v>0</v>
      </c>
      <c r="L16" s="45">
        <v>0</v>
      </c>
      <c r="M16" s="45">
        <v>0</v>
      </c>
      <c r="N16" s="45">
        <f t="shared" si="4"/>
        <v>7298</v>
      </c>
      <c r="O16" s="46">
        <f t="shared" si="1"/>
        <v>5.0509734439776587E-3</v>
      </c>
      <c r="P16" s="9"/>
    </row>
    <row r="17" spans="1:16">
      <c r="A17" s="11"/>
      <c r="B17" s="24">
        <v>324.12</v>
      </c>
      <c r="C17" s="19" t="s">
        <v>180</v>
      </c>
      <c r="D17" s="45">
        <v>0</v>
      </c>
      <c r="E17" s="45">
        <v>481556</v>
      </c>
      <c r="F17" s="45">
        <v>0</v>
      </c>
      <c r="G17" s="45">
        <v>0</v>
      </c>
      <c r="H17" s="45">
        <v>0</v>
      </c>
      <c r="I17" s="45">
        <v>0</v>
      </c>
      <c r="J17" s="45">
        <v>0</v>
      </c>
      <c r="K17" s="45">
        <v>0</v>
      </c>
      <c r="L17" s="45">
        <v>0</v>
      </c>
      <c r="M17" s="45">
        <v>0</v>
      </c>
      <c r="N17" s="45">
        <f t="shared" si="4"/>
        <v>481556</v>
      </c>
      <c r="O17" s="46">
        <f t="shared" si="1"/>
        <v>0.33328673167828249</v>
      </c>
      <c r="P17" s="9"/>
    </row>
    <row r="18" spans="1:16">
      <c r="A18" s="11"/>
      <c r="B18" s="24">
        <v>324.20999999999998</v>
      </c>
      <c r="C18" s="19" t="s">
        <v>22</v>
      </c>
      <c r="D18" s="45">
        <v>0</v>
      </c>
      <c r="E18" s="45">
        <v>38200416</v>
      </c>
      <c r="F18" s="45">
        <v>0</v>
      </c>
      <c r="G18" s="45">
        <v>0</v>
      </c>
      <c r="H18" s="45">
        <v>0</v>
      </c>
      <c r="I18" s="45">
        <v>0</v>
      </c>
      <c r="J18" s="45">
        <v>0</v>
      </c>
      <c r="K18" s="45">
        <v>0</v>
      </c>
      <c r="L18" s="45">
        <v>0</v>
      </c>
      <c r="M18" s="45">
        <v>0</v>
      </c>
      <c r="N18" s="45">
        <f t="shared" si="4"/>
        <v>38200416</v>
      </c>
      <c r="O18" s="46">
        <f t="shared" si="1"/>
        <v>26.438652612345749</v>
      </c>
      <c r="P18" s="9"/>
    </row>
    <row r="19" spans="1:16">
      <c r="A19" s="11"/>
      <c r="B19" s="24">
        <v>324.31</v>
      </c>
      <c r="C19" s="19" t="s">
        <v>23</v>
      </c>
      <c r="D19" s="45">
        <v>0</v>
      </c>
      <c r="E19" s="45">
        <v>14188933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5">
        <v>0</v>
      </c>
      <c r="L19" s="45">
        <v>0</v>
      </c>
      <c r="M19" s="45">
        <v>0</v>
      </c>
      <c r="N19" s="45">
        <f t="shared" si="4"/>
        <v>14188933</v>
      </c>
      <c r="O19" s="46">
        <f t="shared" si="1"/>
        <v>9.8202142753327291</v>
      </c>
      <c r="P19" s="9"/>
    </row>
    <row r="20" spans="1:16">
      <c r="A20" s="11"/>
      <c r="B20" s="24">
        <v>324.32</v>
      </c>
      <c r="C20" s="19" t="s">
        <v>167</v>
      </c>
      <c r="D20" s="45">
        <v>0</v>
      </c>
      <c r="E20" s="45">
        <v>529422</v>
      </c>
      <c r="F20" s="45">
        <v>0</v>
      </c>
      <c r="G20" s="45">
        <v>0</v>
      </c>
      <c r="H20" s="45">
        <v>0</v>
      </c>
      <c r="I20" s="45">
        <v>0</v>
      </c>
      <c r="J20" s="45">
        <v>0</v>
      </c>
      <c r="K20" s="45">
        <v>0</v>
      </c>
      <c r="L20" s="45">
        <v>0</v>
      </c>
      <c r="M20" s="45">
        <v>0</v>
      </c>
      <c r="N20" s="45">
        <f t="shared" si="4"/>
        <v>529422</v>
      </c>
      <c r="O20" s="46">
        <f t="shared" si="1"/>
        <v>0.36641497158913949</v>
      </c>
      <c r="P20" s="9"/>
    </row>
    <row r="21" spans="1:16">
      <c r="A21" s="11"/>
      <c r="B21" s="24">
        <v>324.61</v>
      </c>
      <c r="C21" s="19" t="s">
        <v>24</v>
      </c>
      <c r="D21" s="45">
        <v>0</v>
      </c>
      <c r="E21" s="45">
        <v>2648871</v>
      </c>
      <c r="F21" s="45">
        <v>0</v>
      </c>
      <c r="G21" s="45">
        <v>0</v>
      </c>
      <c r="H21" s="45">
        <v>0</v>
      </c>
      <c r="I21" s="45">
        <v>0</v>
      </c>
      <c r="J21" s="45">
        <v>0</v>
      </c>
      <c r="K21" s="45">
        <v>0</v>
      </c>
      <c r="L21" s="45">
        <v>0</v>
      </c>
      <c r="M21" s="45">
        <v>0</v>
      </c>
      <c r="N21" s="45">
        <f t="shared" si="4"/>
        <v>2648871</v>
      </c>
      <c r="O21" s="46">
        <f t="shared" si="1"/>
        <v>1.8332936527161614</v>
      </c>
      <c r="P21" s="9"/>
    </row>
    <row r="22" spans="1:16">
      <c r="A22" s="11"/>
      <c r="B22" s="24">
        <v>325.10000000000002</v>
      </c>
      <c r="C22" s="19" t="s">
        <v>25</v>
      </c>
      <c r="D22" s="45">
        <v>0</v>
      </c>
      <c r="E22" s="45">
        <v>22608711</v>
      </c>
      <c r="F22" s="45">
        <v>0</v>
      </c>
      <c r="G22" s="45">
        <v>0</v>
      </c>
      <c r="H22" s="45">
        <v>0</v>
      </c>
      <c r="I22" s="45">
        <v>91826</v>
      </c>
      <c r="J22" s="45">
        <v>0</v>
      </c>
      <c r="K22" s="45">
        <v>0</v>
      </c>
      <c r="L22" s="45">
        <v>0</v>
      </c>
      <c r="M22" s="45">
        <v>0</v>
      </c>
      <c r="N22" s="45">
        <f t="shared" si="4"/>
        <v>22700537</v>
      </c>
      <c r="O22" s="46">
        <f t="shared" si="1"/>
        <v>15.7111276447016</v>
      </c>
      <c r="P22" s="9"/>
    </row>
    <row r="23" spans="1:16">
      <c r="A23" s="11"/>
      <c r="B23" s="24">
        <v>325.2</v>
      </c>
      <c r="C23" s="19" t="s">
        <v>26</v>
      </c>
      <c r="D23" s="45">
        <v>0</v>
      </c>
      <c r="E23" s="45">
        <v>9707883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45">
        <v>0</v>
      </c>
      <c r="L23" s="45">
        <v>0</v>
      </c>
      <c r="M23" s="45">
        <v>0</v>
      </c>
      <c r="N23" s="45">
        <f t="shared" si="4"/>
        <v>9707883</v>
      </c>
      <c r="O23" s="46">
        <f t="shared" si="1"/>
        <v>6.7188625966349917</v>
      </c>
      <c r="P23" s="9"/>
    </row>
    <row r="24" spans="1:16">
      <c r="A24" s="11"/>
      <c r="B24" s="24">
        <v>329</v>
      </c>
      <c r="C24" s="19" t="s">
        <v>27</v>
      </c>
      <c r="D24" s="45">
        <v>606222</v>
      </c>
      <c r="E24" s="45">
        <v>535445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5">
        <v>0</v>
      </c>
      <c r="L24" s="45">
        <v>0</v>
      </c>
      <c r="M24" s="45">
        <v>0</v>
      </c>
      <c r="N24" s="45">
        <f>SUM(D24:M24)</f>
        <v>1141667</v>
      </c>
      <c r="O24" s="46">
        <f t="shared" si="1"/>
        <v>0.79015205520219811</v>
      </c>
      <c r="P24" s="9"/>
    </row>
    <row r="25" spans="1:16">
      <c r="A25" s="11"/>
      <c r="B25" s="24">
        <v>367</v>
      </c>
      <c r="C25" s="19" t="s">
        <v>149</v>
      </c>
      <c r="D25" s="45">
        <v>1991381</v>
      </c>
      <c r="E25" s="45">
        <v>155350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f>SUM(D25:M25)</f>
        <v>2146731</v>
      </c>
      <c r="O25" s="46">
        <f t="shared" si="1"/>
        <v>1.4857606566680739</v>
      </c>
      <c r="P25" s="9"/>
    </row>
    <row r="26" spans="1:16" ht="15.75">
      <c r="A26" s="28" t="s">
        <v>30</v>
      </c>
      <c r="B26" s="29"/>
      <c r="C26" s="30"/>
      <c r="D26" s="31">
        <f t="shared" ref="D26:M26" si="5">SUM(D27:D66)</f>
        <v>44832839</v>
      </c>
      <c r="E26" s="31">
        <f t="shared" si="5"/>
        <v>246181487</v>
      </c>
      <c r="F26" s="31">
        <f t="shared" si="5"/>
        <v>0</v>
      </c>
      <c r="G26" s="31">
        <f t="shared" si="5"/>
        <v>470770</v>
      </c>
      <c r="H26" s="31">
        <f t="shared" si="5"/>
        <v>0</v>
      </c>
      <c r="I26" s="31">
        <f t="shared" si="5"/>
        <v>2934378</v>
      </c>
      <c r="J26" s="31">
        <f t="shared" si="5"/>
        <v>44953</v>
      </c>
      <c r="K26" s="31">
        <f t="shared" si="5"/>
        <v>0</v>
      </c>
      <c r="L26" s="31">
        <f t="shared" si="5"/>
        <v>0</v>
      </c>
      <c r="M26" s="31">
        <f t="shared" si="5"/>
        <v>5281273</v>
      </c>
      <c r="N26" s="43">
        <f>SUM(D26:M26)</f>
        <v>299745700</v>
      </c>
      <c r="O26" s="44">
        <f t="shared" si="1"/>
        <v>207.45513437195041</v>
      </c>
      <c r="P26" s="10"/>
    </row>
    <row r="27" spans="1:16">
      <c r="A27" s="11"/>
      <c r="B27" s="24">
        <v>331.1</v>
      </c>
      <c r="C27" s="19" t="s">
        <v>28</v>
      </c>
      <c r="D27" s="45">
        <v>0</v>
      </c>
      <c r="E27" s="45">
        <v>152500</v>
      </c>
      <c r="F27" s="45">
        <v>0</v>
      </c>
      <c r="G27" s="45">
        <v>0</v>
      </c>
      <c r="H27" s="45">
        <v>0</v>
      </c>
      <c r="I27" s="45">
        <v>0</v>
      </c>
      <c r="J27" s="45">
        <v>0</v>
      </c>
      <c r="K27" s="45">
        <v>0</v>
      </c>
      <c r="L27" s="45">
        <v>0</v>
      </c>
      <c r="M27" s="45">
        <v>0</v>
      </c>
      <c r="N27" s="45">
        <f>SUM(D27:M27)</f>
        <v>152500</v>
      </c>
      <c r="O27" s="46">
        <f t="shared" si="1"/>
        <v>0.10554582765231474</v>
      </c>
      <c r="P27" s="9"/>
    </row>
    <row r="28" spans="1:16">
      <c r="A28" s="11"/>
      <c r="B28" s="24">
        <v>331.2</v>
      </c>
      <c r="C28" s="19" t="s">
        <v>29</v>
      </c>
      <c r="D28" s="45">
        <v>1291391</v>
      </c>
      <c r="E28" s="45">
        <v>7833131</v>
      </c>
      <c r="F28" s="45">
        <v>0</v>
      </c>
      <c r="G28" s="45">
        <v>0</v>
      </c>
      <c r="H28" s="45">
        <v>0</v>
      </c>
      <c r="I28" s="45">
        <v>0</v>
      </c>
      <c r="J28" s="45">
        <v>0</v>
      </c>
      <c r="K28" s="45">
        <v>0</v>
      </c>
      <c r="L28" s="45">
        <v>0</v>
      </c>
      <c r="M28" s="45">
        <v>0</v>
      </c>
      <c r="N28" s="45">
        <f>SUM(D28:M28)</f>
        <v>9124522</v>
      </c>
      <c r="O28" s="46">
        <f t="shared" si="1"/>
        <v>6.315116238831175</v>
      </c>
      <c r="P28" s="9"/>
    </row>
    <row r="29" spans="1:16">
      <c r="A29" s="11"/>
      <c r="B29" s="24">
        <v>331.39</v>
      </c>
      <c r="C29" s="19" t="s">
        <v>35</v>
      </c>
      <c r="D29" s="45">
        <v>0</v>
      </c>
      <c r="E29" s="45">
        <v>873197</v>
      </c>
      <c r="F29" s="45">
        <v>0</v>
      </c>
      <c r="G29" s="45">
        <v>470770</v>
      </c>
      <c r="H29" s="45">
        <v>0</v>
      </c>
      <c r="I29" s="45">
        <v>0</v>
      </c>
      <c r="J29" s="45">
        <v>0</v>
      </c>
      <c r="K29" s="45">
        <v>0</v>
      </c>
      <c r="L29" s="45">
        <v>0</v>
      </c>
      <c r="M29" s="45">
        <v>0</v>
      </c>
      <c r="N29" s="45">
        <f t="shared" ref="N29:N37" si="6">SUM(D29:M29)</f>
        <v>1343967</v>
      </c>
      <c r="O29" s="46">
        <f t="shared" si="1"/>
        <v>0.93016465149113758</v>
      </c>
      <c r="P29" s="9"/>
    </row>
    <row r="30" spans="1:16">
      <c r="A30" s="11"/>
      <c r="B30" s="24">
        <v>331.49</v>
      </c>
      <c r="C30" s="19" t="s">
        <v>36</v>
      </c>
      <c r="D30" s="45">
        <v>0</v>
      </c>
      <c r="E30" s="45">
        <v>3868716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f t="shared" si="6"/>
        <v>3868716</v>
      </c>
      <c r="O30" s="46">
        <f t="shared" si="1"/>
        <v>2.6775529978475574</v>
      </c>
      <c r="P30" s="9"/>
    </row>
    <row r="31" spans="1:16">
      <c r="A31" s="11"/>
      <c r="B31" s="24">
        <v>331.5</v>
      </c>
      <c r="C31" s="19" t="s">
        <v>31</v>
      </c>
      <c r="D31" s="45">
        <v>1871397</v>
      </c>
      <c r="E31" s="45">
        <v>7004070</v>
      </c>
      <c r="F31" s="45">
        <v>0</v>
      </c>
      <c r="G31" s="45">
        <v>0</v>
      </c>
      <c r="H31" s="45">
        <v>0</v>
      </c>
      <c r="I31" s="45">
        <v>0</v>
      </c>
      <c r="J31" s="45">
        <v>0</v>
      </c>
      <c r="K31" s="45">
        <v>0</v>
      </c>
      <c r="L31" s="45">
        <v>0</v>
      </c>
      <c r="M31" s="45">
        <v>0</v>
      </c>
      <c r="N31" s="45">
        <f t="shared" si="6"/>
        <v>8875467</v>
      </c>
      <c r="O31" s="46">
        <f t="shared" si="1"/>
        <v>6.1427443299397178</v>
      </c>
      <c r="P31" s="9"/>
    </row>
    <row r="32" spans="1:16">
      <c r="A32" s="11"/>
      <c r="B32" s="24">
        <v>331.61</v>
      </c>
      <c r="C32" s="19" t="s">
        <v>37</v>
      </c>
      <c r="D32" s="45">
        <v>0</v>
      </c>
      <c r="E32" s="45">
        <v>3657206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45">
        <f t="shared" si="6"/>
        <v>3657206</v>
      </c>
      <c r="O32" s="46">
        <f t="shared" si="1"/>
        <v>2.5311661256722058</v>
      </c>
      <c r="P32" s="9"/>
    </row>
    <row r="33" spans="1:16">
      <c r="A33" s="11"/>
      <c r="B33" s="24">
        <v>331.65</v>
      </c>
      <c r="C33" s="19" t="s">
        <v>38</v>
      </c>
      <c r="D33" s="45">
        <v>1937616</v>
      </c>
      <c r="E33" s="45">
        <v>0</v>
      </c>
      <c r="F33" s="45">
        <v>0</v>
      </c>
      <c r="G33" s="45">
        <v>0</v>
      </c>
      <c r="H33" s="45">
        <v>0</v>
      </c>
      <c r="I33" s="45">
        <v>0</v>
      </c>
      <c r="J33" s="45">
        <v>0</v>
      </c>
      <c r="K33" s="45">
        <v>0</v>
      </c>
      <c r="L33" s="45">
        <v>0</v>
      </c>
      <c r="M33" s="45">
        <v>0</v>
      </c>
      <c r="N33" s="45">
        <f t="shared" si="6"/>
        <v>1937616</v>
      </c>
      <c r="O33" s="46">
        <f t="shared" si="1"/>
        <v>1.3410313730647048</v>
      </c>
      <c r="P33" s="9"/>
    </row>
    <row r="34" spans="1:16">
      <c r="A34" s="11"/>
      <c r="B34" s="24">
        <v>331.69</v>
      </c>
      <c r="C34" s="19" t="s">
        <v>39</v>
      </c>
      <c r="D34" s="45">
        <v>0</v>
      </c>
      <c r="E34" s="45">
        <v>56854529</v>
      </c>
      <c r="F34" s="45">
        <v>0</v>
      </c>
      <c r="G34" s="45">
        <v>0</v>
      </c>
      <c r="H34" s="45">
        <v>0</v>
      </c>
      <c r="I34" s="45">
        <v>0</v>
      </c>
      <c r="J34" s="45">
        <v>0</v>
      </c>
      <c r="K34" s="45">
        <v>0</v>
      </c>
      <c r="L34" s="45">
        <v>0</v>
      </c>
      <c r="M34" s="45">
        <v>0</v>
      </c>
      <c r="N34" s="45">
        <f t="shared" si="6"/>
        <v>56854529</v>
      </c>
      <c r="O34" s="46">
        <f t="shared" si="1"/>
        <v>39.349234879262497</v>
      </c>
      <c r="P34" s="9"/>
    </row>
    <row r="35" spans="1:16">
      <c r="A35" s="11"/>
      <c r="B35" s="24">
        <v>333</v>
      </c>
      <c r="C35" s="19" t="s">
        <v>4</v>
      </c>
      <c r="D35" s="45">
        <v>1002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f t="shared" si="6"/>
        <v>1002</v>
      </c>
      <c r="O35" s="46">
        <f t="shared" si="1"/>
        <v>6.9348799545979913E-4</v>
      </c>
      <c r="P35" s="9"/>
    </row>
    <row r="36" spans="1:16">
      <c r="A36" s="11"/>
      <c r="B36" s="24">
        <v>334.1</v>
      </c>
      <c r="C36" s="19" t="s">
        <v>189</v>
      </c>
      <c r="D36" s="45">
        <v>0</v>
      </c>
      <c r="E36" s="45">
        <v>1</v>
      </c>
      <c r="F36" s="45">
        <v>0</v>
      </c>
      <c r="G36" s="45">
        <v>0</v>
      </c>
      <c r="H36" s="45">
        <v>0</v>
      </c>
      <c r="I36" s="45">
        <v>2934378</v>
      </c>
      <c r="J36" s="45">
        <v>0</v>
      </c>
      <c r="K36" s="45">
        <v>0</v>
      </c>
      <c r="L36" s="45">
        <v>0</v>
      </c>
      <c r="M36" s="45">
        <v>0</v>
      </c>
      <c r="N36" s="45">
        <f t="shared" si="6"/>
        <v>2934379</v>
      </c>
      <c r="O36" s="46">
        <f t="shared" si="1"/>
        <v>2.0308948209873554</v>
      </c>
      <c r="P36" s="9"/>
    </row>
    <row r="37" spans="1:16">
      <c r="A37" s="11"/>
      <c r="B37" s="24">
        <v>334.2</v>
      </c>
      <c r="C37" s="19" t="s">
        <v>33</v>
      </c>
      <c r="D37" s="45">
        <v>303666</v>
      </c>
      <c r="E37" s="45">
        <v>2683050</v>
      </c>
      <c r="F37" s="45">
        <v>0</v>
      </c>
      <c r="G37" s="45">
        <v>0</v>
      </c>
      <c r="H37" s="45">
        <v>0</v>
      </c>
      <c r="I37" s="45">
        <v>0</v>
      </c>
      <c r="J37" s="45">
        <v>0</v>
      </c>
      <c r="K37" s="45">
        <v>0</v>
      </c>
      <c r="L37" s="45">
        <v>0</v>
      </c>
      <c r="M37" s="45">
        <v>0</v>
      </c>
      <c r="N37" s="45">
        <f t="shared" si="6"/>
        <v>2986716</v>
      </c>
      <c r="O37" s="46">
        <f t="shared" ref="O37:O68" si="7">(N37/O$152)</f>
        <v>2.067117456933842</v>
      </c>
      <c r="P37" s="9"/>
    </row>
    <row r="38" spans="1:16">
      <c r="A38" s="11"/>
      <c r="B38" s="24">
        <v>334.39</v>
      </c>
      <c r="C38" s="19" t="s">
        <v>40</v>
      </c>
      <c r="D38" s="45">
        <v>67250</v>
      </c>
      <c r="E38" s="45">
        <v>2171613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5">
        <v>0</v>
      </c>
      <c r="L38" s="45">
        <v>0</v>
      </c>
      <c r="M38" s="45">
        <v>0</v>
      </c>
      <c r="N38" s="45">
        <f t="shared" ref="N38:N60" si="8">SUM(D38:M38)</f>
        <v>2238863</v>
      </c>
      <c r="O38" s="46">
        <f t="shared" si="7"/>
        <v>1.5495255628534055</v>
      </c>
      <c r="P38" s="9"/>
    </row>
    <row r="39" spans="1:16">
      <c r="A39" s="11"/>
      <c r="B39" s="24">
        <v>334.49</v>
      </c>
      <c r="C39" s="19" t="s">
        <v>41</v>
      </c>
      <c r="D39" s="45">
        <v>0</v>
      </c>
      <c r="E39" s="45">
        <v>383667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f t="shared" si="8"/>
        <v>383667</v>
      </c>
      <c r="O39" s="46">
        <f t="shared" si="7"/>
        <v>0.26553738398610255</v>
      </c>
      <c r="P39" s="9"/>
    </row>
    <row r="40" spans="1:16">
      <c r="A40" s="11"/>
      <c r="B40" s="24">
        <v>334.5</v>
      </c>
      <c r="C40" s="19" t="s">
        <v>42</v>
      </c>
      <c r="D40" s="45">
        <v>496828</v>
      </c>
      <c r="E40" s="45">
        <v>61776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5">
        <v>0</v>
      </c>
      <c r="L40" s="45">
        <v>0</v>
      </c>
      <c r="M40" s="45">
        <v>0</v>
      </c>
      <c r="N40" s="45">
        <f t="shared" si="8"/>
        <v>558604</v>
      </c>
      <c r="O40" s="46">
        <f t="shared" si="7"/>
        <v>0.38661194432717128</v>
      </c>
      <c r="P40" s="9"/>
    </row>
    <row r="41" spans="1:16">
      <c r="A41" s="11"/>
      <c r="B41" s="24">
        <v>334.61</v>
      </c>
      <c r="C41" s="19" t="s">
        <v>43</v>
      </c>
      <c r="D41" s="45">
        <v>0</v>
      </c>
      <c r="E41" s="45">
        <v>130707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f t="shared" si="8"/>
        <v>130707</v>
      </c>
      <c r="O41" s="46">
        <f t="shared" si="7"/>
        <v>9.0462809802958052E-2</v>
      </c>
      <c r="P41" s="9"/>
    </row>
    <row r="42" spans="1:16">
      <c r="A42" s="11"/>
      <c r="B42" s="24">
        <v>334.69</v>
      </c>
      <c r="C42" s="19" t="s">
        <v>44</v>
      </c>
      <c r="D42" s="45">
        <v>0</v>
      </c>
      <c r="E42" s="45">
        <v>6450956</v>
      </c>
      <c r="F42" s="45">
        <v>0</v>
      </c>
      <c r="G42" s="45">
        <v>0</v>
      </c>
      <c r="H42" s="45">
        <v>0</v>
      </c>
      <c r="I42" s="45">
        <v>0</v>
      </c>
      <c r="J42" s="45">
        <v>0</v>
      </c>
      <c r="K42" s="45">
        <v>0</v>
      </c>
      <c r="L42" s="45">
        <v>0</v>
      </c>
      <c r="M42" s="45">
        <v>0</v>
      </c>
      <c r="N42" s="45">
        <f t="shared" si="8"/>
        <v>6450956</v>
      </c>
      <c r="O42" s="46">
        <f t="shared" si="7"/>
        <v>4.4647310830732181</v>
      </c>
      <c r="P42" s="9"/>
    </row>
    <row r="43" spans="1:16">
      <c r="A43" s="11"/>
      <c r="B43" s="24">
        <v>334.7</v>
      </c>
      <c r="C43" s="19" t="s">
        <v>45</v>
      </c>
      <c r="D43" s="45">
        <v>0</v>
      </c>
      <c r="E43" s="45">
        <v>1016636</v>
      </c>
      <c r="F43" s="45">
        <v>0</v>
      </c>
      <c r="G43" s="45">
        <v>0</v>
      </c>
      <c r="H43" s="45">
        <v>0</v>
      </c>
      <c r="I43" s="45">
        <v>0</v>
      </c>
      <c r="J43" s="45">
        <v>0</v>
      </c>
      <c r="K43" s="45">
        <v>0</v>
      </c>
      <c r="L43" s="45">
        <v>0</v>
      </c>
      <c r="M43" s="45">
        <v>0</v>
      </c>
      <c r="N43" s="45">
        <f t="shared" si="8"/>
        <v>1016636</v>
      </c>
      <c r="O43" s="46">
        <f t="shared" si="7"/>
        <v>0.70361762649926984</v>
      </c>
      <c r="P43" s="9"/>
    </row>
    <row r="44" spans="1:16">
      <c r="A44" s="11"/>
      <c r="B44" s="24">
        <v>334.82</v>
      </c>
      <c r="C44" s="19" t="s">
        <v>264</v>
      </c>
      <c r="D44" s="45">
        <v>0</v>
      </c>
      <c r="E44" s="45">
        <v>777960</v>
      </c>
      <c r="F44" s="45">
        <v>0</v>
      </c>
      <c r="G44" s="45">
        <v>0</v>
      </c>
      <c r="H44" s="45">
        <v>0</v>
      </c>
      <c r="I44" s="45">
        <v>0</v>
      </c>
      <c r="J44" s="45">
        <v>0</v>
      </c>
      <c r="K44" s="45">
        <v>0</v>
      </c>
      <c r="L44" s="45">
        <v>0</v>
      </c>
      <c r="M44" s="45">
        <v>0</v>
      </c>
      <c r="N44" s="45">
        <f>SUM(D44:M44)</f>
        <v>777960</v>
      </c>
      <c r="O44" s="46">
        <f t="shared" si="7"/>
        <v>0.53842906282226077</v>
      </c>
      <c r="P44" s="9"/>
    </row>
    <row r="45" spans="1:16">
      <c r="A45" s="11"/>
      <c r="B45" s="24">
        <v>334.89</v>
      </c>
      <c r="C45" s="19" t="s">
        <v>46</v>
      </c>
      <c r="D45" s="45">
        <v>0</v>
      </c>
      <c r="E45" s="45">
        <v>473376</v>
      </c>
      <c r="F45" s="45">
        <v>0</v>
      </c>
      <c r="G45" s="45">
        <v>0</v>
      </c>
      <c r="H45" s="45">
        <v>0</v>
      </c>
      <c r="I45" s="45">
        <v>0</v>
      </c>
      <c r="J45" s="45">
        <v>0</v>
      </c>
      <c r="K45" s="45">
        <v>0</v>
      </c>
      <c r="L45" s="45">
        <v>0</v>
      </c>
      <c r="M45" s="45">
        <v>0</v>
      </c>
      <c r="N45" s="45">
        <f t="shared" si="8"/>
        <v>473376</v>
      </c>
      <c r="O45" s="46">
        <f t="shared" si="7"/>
        <v>0.32762532269339112</v>
      </c>
      <c r="P45" s="9"/>
    </row>
    <row r="46" spans="1:16">
      <c r="A46" s="11"/>
      <c r="B46" s="24">
        <v>335.12</v>
      </c>
      <c r="C46" s="19" t="s">
        <v>204</v>
      </c>
      <c r="D46" s="45">
        <v>32581483</v>
      </c>
      <c r="E46" s="45">
        <v>6752474</v>
      </c>
      <c r="F46" s="45">
        <v>0</v>
      </c>
      <c r="G46" s="45">
        <v>0</v>
      </c>
      <c r="H46" s="45">
        <v>0</v>
      </c>
      <c r="I46" s="45">
        <v>0</v>
      </c>
      <c r="J46" s="45">
        <v>0</v>
      </c>
      <c r="K46" s="45">
        <v>0</v>
      </c>
      <c r="L46" s="45">
        <v>0</v>
      </c>
      <c r="M46" s="45">
        <v>0</v>
      </c>
      <c r="N46" s="45">
        <f t="shared" si="8"/>
        <v>39333957</v>
      </c>
      <c r="O46" s="46">
        <f t="shared" si="7"/>
        <v>27.223180632167601</v>
      </c>
      <c r="P46" s="9"/>
    </row>
    <row r="47" spans="1:16">
      <c r="A47" s="11"/>
      <c r="B47" s="24">
        <v>335.13</v>
      </c>
      <c r="C47" s="19" t="s">
        <v>205</v>
      </c>
      <c r="D47" s="45">
        <v>394376</v>
      </c>
      <c r="E47" s="45">
        <v>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f t="shared" si="8"/>
        <v>394376</v>
      </c>
      <c r="O47" s="46">
        <f t="shared" si="7"/>
        <v>0.27294912345055267</v>
      </c>
      <c r="P47" s="9"/>
    </row>
    <row r="48" spans="1:16">
      <c r="A48" s="11"/>
      <c r="B48" s="24">
        <v>335.14</v>
      </c>
      <c r="C48" s="19" t="s">
        <v>206</v>
      </c>
      <c r="D48" s="45">
        <v>397008</v>
      </c>
      <c r="E48" s="45">
        <v>0</v>
      </c>
      <c r="F48" s="45">
        <v>0</v>
      </c>
      <c r="G48" s="45">
        <v>0</v>
      </c>
      <c r="H48" s="45">
        <v>0</v>
      </c>
      <c r="I48" s="45">
        <v>0</v>
      </c>
      <c r="J48" s="45">
        <v>0</v>
      </c>
      <c r="K48" s="45">
        <v>0</v>
      </c>
      <c r="L48" s="45">
        <v>0</v>
      </c>
      <c r="M48" s="45">
        <v>0</v>
      </c>
      <c r="N48" s="45">
        <f t="shared" si="8"/>
        <v>397008</v>
      </c>
      <c r="O48" s="46">
        <f t="shared" si="7"/>
        <v>0.27477074062026341</v>
      </c>
      <c r="P48" s="9"/>
    </row>
    <row r="49" spans="1:16">
      <c r="A49" s="11"/>
      <c r="B49" s="24">
        <v>335.15</v>
      </c>
      <c r="C49" s="19" t="s">
        <v>207</v>
      </c>
      <c r="D49" s="45">
        <v>463313</v>
      </c>
      <c r="E49" s="45">
        <v>0</v>
      </c>
      <c r="F49" s="45">
        <v>0</v>
      </c>
      <c r="G49" s="45">
        <v>0</v>
      </c>
      <c r="H49" s="45">
        <v>0</v>
      </c>
      <c r="I49" s="45">
        <v>0</v>
      </c>
      <c r="J49" s="45">
        <v>0</v>
      </c>
      <c r="K49" s="45">
        <v>0</v>
      </c>
      <c r="L49" s="45">
        <v>0</v>
      </c>
      <c r="M49" s="45">
        <v>0</v>
      </c>
      <c r="N49" s="45">
        <f t="shared" si="8"/>
        <v>463313</v>
      </c>
      <c r="O49" s="46">
        <f t="shared" si="7"/>
        <v>0.3206606822759141</v>
      </c>
      <c r="P49" s="9"/>
    </row>
    <row r="50" spans="1:16">
      <c r="A50" s="11"/>
      <c r="B50" s="24">
        <v>335.16</v>
      </c>
      <c r="C50" s="19" t="s">
        <v>208</v>
      </c>
      <c r="D50" s="45">
        <v>4618554</v>
      </c>
      <c r="E50" s="45">
        <v>0</v>
      </c>
      <c r="F50" s="45">
        <v>0</v>
      </c>
      <c r="G50" s="45">
        <v>0</v>
      </c>
      <c r="H50" s="45">
        <v>0</v>
      </c>
      <c r="I50" s="45">
        <v>0</v>
      </c>
      <c r="J50" s="45">
        <v>0</v>
      </c>
      <c r="K50" s="45">
        <v>0</v>
      </c>
      <c r="L50" s="45">
        <v>0</v>
      </c>
      <c r="M50" s="45">
        <v>0</v>
      </c>
      <c r="N50" s="45">
        <f t="shared" si="8"/>
        <v>4618554</v>
      </c>
      <c r="O50" s="46">
        <f t="shared" si="7"/>
        <v>3.1965187179469434</v>
      </c>
      <c r="P50" s="9"/>
    </row>
    <row r="51" spans="1:16">
      <c r="A51" s="11"/>
      <c r="B51" s="24">
        <v>335.17</v>
      </c>
      <c r="C51" s="19" t="s">
        <v>209</v>
      </c>
      <c r="D51" s="45">
        <v>85255</v>
      </c>
      <c r="E51" s="45">
        <v>0</v>
      </c>
      <c r="F51" s="45">
        <v>0</v>
      </c>
      <c r="G51" s="45">
        <v>0</v>
      </c>
      <c r="H51" s="45">
        <v>0</v>
      </c>
      <c r="I51" s="45">
        <v>0</v>
      </c>
      <c r="J51" s="45">
        <v>0</v>
      </c>
      <c r="K51" s="45">
        <v>0</v>
      </c>
      <c r="L51" s="45">
        <v>0</v>
      </c>
      <c r="M51" s="45">
        <v>0</v>
      </c>
      <c r="N51" s="45">
        <f t="shared" si="8"/>
        <v>85255</v>
      </c>
      <c r="O51" s="46">
        <f t="shared" si="7"/>
        <v>5.9005308436053068E-2</v>
      </c>
      <c r="P51" s="9"/>
    </row>
    <row r="52" spans="1:16">
      <c r="A52" s="11"/>
      <c r="B52" s="24">
        <v>335.18</v>
      </c>
      <c r="C52" s="19" t="s">
        <v>210</v>
      </c>
      <c r="D52" s="45">
        <v>0</v>
      </c>
      <c r="E52" s="45">
        <v>113955466</v>
      </c>
      <c r="F52" s="45">
        <v>0</v>
      </c>
      <c r="G52" s="45">
        <v>0</v>
      </c>
      <c r="H52" s="45">
        <v>0</v>
      </c>
      <c r="I52" s="45">
        <v>0</v>
      </c>
      <c r="J52" s="45">
        <v>0</v>
      </c>
      <c r="K52" s="45">
        <v>0</v>
      </c>
      <c r="L52" s="45">
        <v>0</v>
      </c>
      <c r="M52" s="45">
        <v>0</v>
      </c>
      <c r="N52" s="45">
        <f t="shared" si="8"/>
        <v>113955466</v>
      </c>
      <c r="O52" s="46">
        <f t="shared" si="7"/>
        <v>78.869009668689912</v>
      </c>
      <c r="P52" s="9"/>
    </row>
    <row r="53" spans="1:16">
      <c r="A53" s="11"/>
      <c r="B53" s="24">
        <v>335.21</v>
      </c>
      <c r="C53" s="19" t="s">
        <v>55</v>
      </c>
      <c r="D53" s="45">
        <v>320017</v>
      </c>
      <c r="E53" s="45">
        <v>0</v>
      </c>
      <c r="F53" s="45">
        <v>0</v>
      </c>
      <c r="G53" s="45">
        <v>0</v>
      </c>
      <c r="H53" s="45">
        <v>0</v>
      </c>
      <c r="I53" s="45">
        <v>0</v>
      </c>
      <c r="J53" s="45">
        <v>0</v>
      </c>
      <c r="K53" s="45">
        <v>0</v>
      </c>
      <c r="L53" s="45">
        <v>0</v>
      </c>
      <c r="M53" s="45">
        <v>0</v>
      </c>
      <c r="N53" s="45">
        <f t="shared" si="8"/>
        <v>320017</v>
      </c>
      <c r="O53" s="46">
        <f t="shared" si="7"/>
        <v>0.22148497788728397</v>
      </c>
      <c r="P53" s="9"/>
    </row>
    <row r="54" spans="1:16">
      <c r="A54" s="11"/>
      <c r="B54" s="24">
        <v>335.22</v>
      </c>
      <c r="C54" s="19" t="s">
        <v>56</v>
      </c>
      <c r="D54" s="45">
        <v>0</v>
      </c>
      <c r="E54" s="45">
        <v>7001405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f t="shared" si="8"/>
        <v>7001405</v>
      </c>
      <c r="O54" s="46">
        <f t="shared" si="7"/>
        <v>4.8456989210101948</v>
      </c>
      <c r="P54" s="9"/>
    </row>
    <row r="55" spans="1:16">
      <c r="A55" s="11"/>
      <c r="B55" s="24">
        <v>335.23</v>
      </c>
      <c r="C55" s="19" t="s">
        <v>171</v>
      </c>
      <c r="D55" s="45">
        <v>0</v>
      </c>
      <c r="E55" s="45">
        <v>87410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f t="shared" si="8"/>
        <v>87410</v>
      </c>
      <c r="O55" s="46">
        <f t="shared" si="7"/>
        <v>6.049679209894316E-2</v>
      </c>
      <c r="P55" s="9"/>
    </row>
    <row r="56" spans="1:16">
      <c r="A56" s="11"/>
      <c r="B56" s="24">
        <v>335.29</v>
      </c>
      <c r="C56" s="19" t="s">
        <v>57</v>
      </c>
      <c r="D56" s="45">
        <v>3683</v>
      </c>
      <c r="E56" s="45">
        <v>0</v>
      </c>
      <c r="F56" s="45">
        <v>0</v>
      </c>
      <c r="G56" s="45">
        <v>0</v>
      </c>
      <c r="H56" s="45">
        <v>0</v>
      </c>
      <c r="I56" s="45">
        <v>0</v>
      </c>
      <c r="J56" s="45">
        <v>0</v>
      </c>
      <c r="K56" s="45">
        <v>0</v>
      </c>
      <c r="L56" s="45">
        <v>0</v>
      </c>
      <c r="M56" s="45">
        <v>0</v>
      </c>
      <c r="N56" s="45">
        <f t="shared" si="8"/>
        <v>3683</v>
      </c>
      <c r="O56" s="46">
        <f t="shared" si="7"/>
        <v>2.5490182507768864E-3</v>
      </c>
      <c r="P56" s="9"/>
    </row>
    <row r="57" spans="1:16">
      <c r="A57" s="11"/>
      <c r="B57" s="24">
        <v>335.39</v>
      </c>
      <c r="C57" s="19" t="s">
        <v>58</v>
      </c>
      <c r="D57" s="45">
        <v>0</v>
      </c>
      <c r="E57" s="45">
        <v>1237571</v>
      </c>
      <c r="F57" s="45">
        <v>0</v>
      </c>
      <c r="G57" s="45">
        <v>0</v>
      </c>
      <c r="H57" s="45">
        <v>0</v>
      </c>
      <c r="I57" s="45">
        <v>0</v>
      </c>
      <c r="J57" s="45">
        <v>0</v>
      </c>
      <c r="K57" s="45">
        <v>0</v>
      </c>
      <c r="L57" s="45">
        <v>0</v>
      </c>
      <c r="M57" s="45">
        <v>0</v>
      </c>
      <c r="N57" s="45">
        <f t="shared" si="8"/>
        <v>1237571</v>
      </c>
      <c r="O57" s="46">
        <f t="shared" si="7"/>
        <v>0.85652757687542824</v>
      </c>
      <c r="P57" s="9"/>
    </row>
    <row r="58" spans="1:16">
      <c r="A58" s="11"/>
      <c r="B58" s="24">
        <v>335.49</v>
      </c>
      <c r="C58" s="19" t="s">
        <v>59</v>
      </c>
      <c r="D58" s="45">
        <v>0</v>
      </c>
      <c r="E58" s="45">
        <v>18646435</v>
      </c>
      <c r="F58" s="45">
        <v>0</v>
      </c>
      <c r="G58" s="45">
        <v>0</v>
      </c>
      <c r="H58" s="45">
        <v>0</v>
      </c>
      <c r="I58" s="45">
        <v>0</v>
      </c>
      <c r="J58" s="45">
        <v>0</v>
      </c>
      <c r="K58" s="45">
        <v>0</v>
      </c>
      <c r="L58" s="45">
        <v>0</v>
      </c>
      <c r="M58" s="45">
        <v>0</v>
      </c>
      <c r="N58" s="45">
        <f t="shared" si="8"/>
        <v>18646435</v>
      </c>
      <c r="O58" s="46">
        <f t="shared" si="7"/>
        <v>12.905268294033373</v>
      </c>
      <c r="P58" s="9"/>
    </row>
    <row r="59" spans="1:16">
      <c r="A59" s="11"/>
      <c r="B59" s="24">
        <v>335.69</v>
      </c>
      <c r="C59" s="19" t="s">
        <v>61</v>
      </c>
      <c r="D59" s="45">
        <v>0</v>
      </c>
      <c r="E59" s="45">
        <v>0</v>
      </c>
      <c r="F59" s="45">
        <v>0</v>
      </c>
      <c r="G59" s="45">
        <v>0</v>
      </c>
      <c r="H59" s="45">
        <v>0</v>
      </c>
      <c r="I59" s="45">
        <v>0</v>
      </c>
      <c r="J59" s="45">
        <v>44953</v>
      </c>
      <c r="K59" s="45">
        <v>0</v>
      </c>
      <c r="L59" s="45">
        <v>0</v>
      </c>
      <c r="M59" s="45">
        <v>0</v>
      </c>
      <c r="N59" s="45">
        <f t="shared" si="8"/>
        <v>44953</v>
      </c>
      <c r="O59" s="46">
        <f t="shared" si="7"/>
        <v>3.1112141576750848E-2</v>
      </c>
      <c r="P59" s="9"/>
    </row>
    <row r="60" spans="1:16">
      <c r="A60" s="11"/>
      <c r="B60" s="24">
        <v>335.7</v>
      </c>
      <c r="C60" s="19" t="s">
        <v>62</v>
      </c>
      <c r="D60" s="45">
        <v>0</v>
      </c>
      <c r="E60" s="45">
        <v>2897873</v>
      </c>
      <c r="F60" s="45">
        <v>0</v>
      </c>
      <c r="G60" s="45">
        <v>0</v>
      </c>
      <c r="H60" s="45">
        <v>0</v>
      </c>
      <c r="I60" s="45">
        <v>0</v>
      </c>
      <c r="J60" s="45">
        <v>0</v>
      </c>
      <c r="K60" s="45">
        <v>0</v>
      </c>
      <c r="L60" s="45">
        <v>0</v>
      </c>
      <c r="M60" s="45">
        <v>0</v>
      </c>
      <c r="N60" s="45">
        <f t="shared" si="8"/>
        <v>2897873</v>
      </c>
      <c r="O60" s="46">
        <f t="shared" si="7"/>
        <v>2.0056288801068609</v>
      </c>
      <c r="P60" s="9"/>
    </row>
    <row r="61" spans="1:16">
      <c r="A61" s="11"/>
      <c r="B61" s="24">
        <v>337.1</v>
      </c>
      <c r="C61" s="19" t="s">
        <v>64</v>
      </c>
      <c r="D61" s="45">
        <v>0</v>
      </c>
      <c r="E61" s="45">
        <v>0</v>
      </c>
      <c r="F61" s="45">
        <v>0</v>
      </c>
      <c r="G61" s="45">
        <v>0</v>
      </c>
      <c r="H61" s="45">
        <v>0</v>
      </c>
      <c r="I61" s="45">
        <v>0</v>
      </c>
      <c r="J61" s="45">
        <v>0</v>
      </c>
      <c r="K61" s="45">
        <v>0</v>
      </c>
      <c r="L61" s="45">
        <v>0</v>
      </c>
      <c r="M61" s="45">
        <v>4353773</v>
      </c>
      <c r="N61" s="45">
        <f t="shared" ref="N61:N68" si="9">SUM(D61:M61)</f>
        <v>4353773</v>
      </c>
      <c r="O61" s="46">
        <f t="shared" si="7"/>
        <v>3.0132627848872215</v>
      </c>
      <c r="P61" s="9"/>
    </row>
    <row r="62" spans="1:16">
      <c r="A62" s="11"/>
      <c r="B62" s="24">
        <v>337.2</v>
      </c>
      <c r="C62" s="19" t="s">
        <v>65</v>
      </c>
      <c r="D62" s="45">
        <v>0</v>
      </c>
      <c r="E62" s="45">
        <v>39499</v>
      </c>
      <c r="F62" s="45">
        <v>0</v>
      </c>
      <c r="G62" s="45">
        <v>0</v>
      </c>
      <c r="H62" s="45">
        <v>0</v>
      </c>
      <c r="I62" s="45">
        <v>0</v>
      </c>
      <c r="J62" s="45">
        <v>0</v>
      </c>
      <c r="K62" s="45">
        <v>0</v>
      </c>
      <c r="L62" s="45">
        <v>0</v>
      </c>
      <c r="M62" s="45">
        <v>0</v>
      </c>
      <c r="N62" s="45">
        <f t="shared" si="9"/>
        <v>39499</v>
      </c>
      <c r="O62" s="46">
        <f t="shared" si="7"/>
        <v>2.7337407517631345E-2</v>
      </c>
      <c r="P62" s="9"/>
    </row>
    <row r="63" spans="1:16">
      <c r="A63" s="11"/>
      <c r="B63" s="24">
        <v>337.3</v>
      </c>
      <c r="C63" s="19" t="s">
        <v>66</v>
      </c>
      <c r="D63" s="45">
        <v>0</v>
      </c>
      <c r="E63" s="45">
        <v>507875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0</v>
      </c>
      <c r="N63" s="45">
        <f t="shared" si="9"/>
        <v>507875</v>
      </c>
      <c r="O63" s="46">
        <f t="shared" si="7"/>
        <v>0.35150221127160231</v>
      </c>
      <c r="P63" s="9"/>
    </row>
    <row r="64" spans="1:16">
      <c r="A64" s="11"/>
      <c r="B64" s="24">
        <v>337.4</v>
      </c>
      <c r="C64" s="19" t="s">
        <v>172</v>
      </c>
      <c r="D64" s="45">
        <v>0</v>
      </c>
      <c r="E64" s="45">
        <v>472449</v>
      </c>
      <c r="F64" s="45">
        <v>0</v>
      </c>
      <c r="G64" s="45">
        <v>0</v>
      </c>
      <c r="H64" s="45">
        <v>0</v>
      </c>
      <c r="I64" s="45">
        <v>0</v>
      </c>
      <c r="J64" s="45">
        <v>0</v>
      </c>
      <c r="K64" s="45">
        <v>0</v>
      </c>
      <c r="L64" s="45">
        <v>0</v>
      </c>
      <c r="M64" s="45">
        <v>50000</v>
      </c>
      <c r="N64" s="45">
        <f t="shared" si="9"/>
        <v>522449</v>
      </c>
      <c r="O64" s="46">
        <f t="shared" si="7"/>
        <v>0.36158893187622415</v>
      </c>
      <c r="P64" s="9"/>
    </row>
    <row r="65" spans="1:16">
      <c r="A65" s="11"/>
      <c r="B65" s="24">
        <v>337.5</v>
      </c>
      <c r="C65" s="19" t="s">
        <v>67</v>
      </c>
      <c r="D65" s="45">
        <v>0</v>
      </c>
      <c r="E65" s="45">
        <v>0</v>
      </c>
      <c r="F65" s="45">
        <v>0</v>
      </c>
      <c r="G65" s="45">
        <v>0</v>
      </c>
      <c r="H65" s="45">
        <v>0</v>
      </c>
      <c r="I65" s="45">
        <v>0</v>
      </c>
      <c r="J65" s="45">
        <v>0</v>
      </c>
      <c r="K65" s="45">
        <v>0</v>
      </c>
      <c r="L65" s="45">
        <v>0</v>
      </c>
      <c r="M65" s="45">
        <v>877500</v>
      </c>
      <c r="N65" s="45">
        <f t="shared" si="9"/>
        <v>877500</v>
      </c>
      <c r="O65" s="46">
        <f t="shared" si="7"/>
        <v>0.6073210738682373</v>
      </c>
      <c r="P65" s="9"/>
    </row>
    <row r="66" spans="1:16">
      <c r="A66" s="11"/>
      <c r="B66" s="24">
        <v>337.6</v>
      </c>
      <c r="C66" s="19" t="s">
        <v>211</v>
      </c>
      <c r="D66" s="45">
        <v>0</v>
      </c>
      <c r="E66" s="45">
        <v>189939</v>
      </c>
      <c r="F66" s="45">
        <v>0</v>
      </c>
      <c r="G66" s="45">
        <v>0</v>
      </c>
      <c r="H66" s="45">
        <v>0</v>
      </c>
      <c r="I66" s="45">
        <v>0</v>
      </c>
      <c r="J66" s="45">
        <v>0</v>
      </c>
      <c r="K66" s="45">
        <v>0</v>
      </c>
      <c r="L66" s="45">
        <v>0</v>
      </c>
      <c r="M66" s="45">
        <v>0</v>
      </c>
      <c r="N66" s="45">
        <f t="shared" si="9"/>
        <v>189939</v>
      </c>
      <c r="O66" s="46">
        <f t="shared" si="7"/>
        <v>0.13145750136690498</v>
      </c>
      <c r="P66" s="9"/>
    </row>
    <row r="67" spans="1:16" ht="15.75">
      <c r="A67" s="28" t="s">
        <v>75</v>
      </c>
      <c r="B67" s="29"/>
      <c r="C67" s="30"/>
      <c r="D67" s="31">
        <f t="shared" ref="D67:M67" si="10">SUM(D68:D122)</f>
        <v>133596028</v>
      </c>
      <c r="E67" s="31">
        <f t="shared" si="10"/>
        <v>58086889</v>
      </c>
      <c r="F67" s="31">
        <f t="shared" si="10"/>
        <v>406632</v>
      </c>
      <c r="G67" s="31">
        <f t="shared" si="10"/>
        <v>0</v>
      </c>
      <c r="H67" s="31">
        <f t="shared" si="10"/>
        <v>0</v>
      </c>
      <c r="I67" s="31">
        <f t="shared" si="10"/>
        <v>371767713</v>
      </c>
      <c r="J67" s="31">
        <f t="shared" si="10"/>
        <v>202242390</v>
      </c>
      <c r="K67" s="31">
        <f t="shared" si="10"/>
        <v>0</v>
      </c>
      <c r="L67" s="31">
        <f t="shared" si="10"/>
        <v>0</v>
      </c>
      <c r="M67" s="31">
        <f t="shared" si="10"/>
        <v>1297190</v>
      </c>
      <c r="N67" s="31">
        <f t="shared" si="9"/>
        <v>767396842</v>
      </c>
      <c r="O67" s="44">
        <f t="shared" si="7"/>
        <v>531.11826115844337</v>
      </c>
      <c r="P67" s="10"/>
    </row>
    <row r="68" spans="1:16">
      <c r="A68" s="11"/>
      <c r="B68" s="24">
        <v>341.1</v>
      </c>
      <c r="C68" s="19" t="s">
        <v>212</v>
      </c>
      <c r="D68" s="45">
        <v>5447273</v>
      </c>
      <c r="E68" s="45">
        <v>0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</v>
      </c>
      <c r="L68" s="45">
        <v>0</v>
      </c>
      <c r="M68" s="45">
        <v>0</v>
      </c>
      <c r="N68" s="45">
        <f t="shared" si="9"/>
        <v>5447273</v>
      </c>
      <c r="O68" s="46">
        <f t="shared" si="7"/>
        <v>3.7700782769384098</v>
      </c>
      <c r="P68" s="9"/>
    </row>
    <row r="69" spans="1:16">
      <c r="A69" s="11"/>
      <c r="B69" s="24">
        <v>341.15</v>
      </c>
      <c r="C69" s="19" t="s">
        <v>213</v>
      </c>
      <c r="D69" s="45">
        <v>0</v>
      </c>
      <c r="E69" s="45">
        <v>2992995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5">
        <v>0</v>
      </c>
      <c r="L69" s="45">
        <v>0</v>
      </c>
      <c r="M69" s="45">
        <v>0</v>
      </c>
      <c r="N69" s="45">
        <f t="shared" ref="N69:N122" si="11">SUM(D69:M69)</f>
        <v>2992995</v>
      </c>
      <c r="O69" s="46">
        <f t="shared" ref="O69:O100" si="12">(N69/O$152)</f>
        <v>2.0714631766179656</v>
      </c>
      <c r="P69" s="9"/>
    </row>
    <row r="70" spans="1:16">
      <c r="A70" s="11"/>
      <c r="B70" s="24">
        <v>341.16</v>
      </c>
      <c r="C70" s="19" t="s">
        <v>214</v>
      </c>
      <c r="D70" s="45">
        <v>0</v>
      </c>
      <c r="E70" s="45">
        <v>2282874</v>
      </c>
      <c r="F70" s="45">
        <v>0</v>
      </c>
      <c r="G70" s="45">
        <v>0</v>
      </c>
      <c r="H70" s="45">
        <v>0</v>
      </c>
      <c r="I70" s="45">
        <v>0</v>
      </c>
      <c r="J70" s="45">
        <v>0</v>
      </c>
      <c r="K70" s="45">
        <v>0</v>
      </c>
      <c r="L70" s="45">
        <v>0</v>
      </c>
      <c r="M70" s="45">
        <v>0</v>
      </c>
      <c r="N70" s="45">
        <f t="shared" si="11"/>
        <v>2282874</v>
      </c>
      <c r="O70" s="46">
        <f t="shared" si="12"/>
        <v>1.5799857426619697</v>
      </c>
      <c r="P70" s="9"/>
    </row>
    <row r="71" spans="1:16">
      <c r="A71" s="11"/>
      <c r="B71" s="24">
        <v>341.2</v>
      </c>
      <c r="C71" s="19" t="s">
        <v>215</v>
      </c>
      <c r="D71" s="45">
        <v>0</v>
      </c>
      <c r="E71" s="45">
        <v>0</v>
      </c>
      <c r="F71" s="45">
        <v>0</v>
      </c>
      <c r="G71" s="45">
        <v>0</v>
      </c>
      <c r="H71" s="45">
        <v>0</v>
      </c>
      <c r="I71" s="45">
        <v>0</v>
      </c>
      <c r="J71" s="45">
        <v>170882720</v>
      </c>
      <c r="K71" s="45">
        <v>0</v>
      </c>
      <c r="L71" s="45">
        <v>0</v>
      </c>
      <c r="M71" s="45">
        <v>0</v>
      </c>
      <c r="N71" s="45">
        <f t="shared" si="11"/>
        <v>170882720</v>
      </c>
      <c r="O71" s="46">
        <f t="shared" si="12"/>
        <v>118.26857779592628</v>
      </c>
      <c r="P71" s="9"/>
    </row>
    <row r="72" spans="1:16">
      <c r="A72" s="11"/>
      <c r="B72" s="24">
        <v>341.3</v>
      </c>
      <c r="C72" s="19" t="s">
        <v>216</v>
      </c>
      <c r="D72" s="45">
        <v>96736</v>
      </c>
      <c r="E72" s="45">
        <v>2946452</v>
      </c>
      <c r="F72" s="45">
        <v>0</v>
      </c>
      <c r="G72" s="45">
        <v>0</v>
      </c>
      <c r="H72" s="45">
        <v>0</v>
      </c>
      <c r="I72" s="45">
        <v>0</v>
      </c>
      <c r="J72" s="45">
        <v>0</v>
      </c>
      <c r="K72" s="45">
        <v>0</v>
      </c>
      <c r="L72" s="45">
        <v>0</v>
      </c>
      <c r="M72" s="45">
        <v>0</v>
      </c>
      <c r="N72" s="45">
        <f t="shared" si="11"/>
        <v>3043188</v>
      </c>
      <c r="O72" s="46">
        <f t="shared" si="12"/>
        <v>2.1062019420432287</v>
      </c>
      <c r="P72" s="9"/>
    </row>
    <row r="73" spans="1:16">
      <c r="A73" s="11"/>
      <c r="B73" s="24">
        <v>341.52</v>
      </c>
      <c r="C73" s="19" t="s">
        <v>217</v>
      </c>
      <c r="D73" s="45">
        <v>477874</v>
      </c>
      <c r="E73" s="45">
        <v>137646</v>
      </c>
      <c r="F73" s="45">
        <v>0</v>
      </c>
      <c r="G73" s="45">
        <v>0</v>
      </c>
      <c r="H73" s="45">
        <v>0</v>
      </c>
      <c r="I73" s="45">
        <v>0</v>
      </c>
      <c r="J73" s="45">
        <v>0</v>
      </c>
      <c r="K73" s="45">
        <v>0</v>
      </c>
      <c r="L73" s="45">
        <v>0</v>
      </c>
      <c r="M73" s="45">
        <v>0</v>
      </c>
      <c r="N73" s="45">
        <f t="shared" si="11"/>
        <v>615520</v>
      </c>
      <c r="O73" s="46">
        <f t="shared" si="12"/>
        <v>0.42600372351837884</v>
      </c>
      <c r="P73" s="9"/>
    </row>
    <row r="74" spans="1:16">
      <c r="A74" s="11"/>
      <c r="B74" s="24">
        <v>341.55</v>
      </c>
      <c r="C74" s="19" t="s">
        <v>218</v>
      </c>
      <c r="D74" s="45">
        <v>50036</v>
      </c>
      <c r="E74" s="45">
        <v>0</v>
      </c>
      <c r="F74" s="45">
        <v>0</v>
      </c>
      <c r="G74" s="45">
        <v>0</v>
      </c>
      <c r="H74" s="45">
        <v>0</v>
      </c>
      <c r="I74" s="45">
        <v>0</v>
      </c>
      <c r="J74" s="45">
        <v>0</v>
      </c>
      <c r="K74" s="45">
        <v>0</v>
      </c>
      <c r="L74" s="45">
        <v>0</v>
      </c>
      <c r="M74" s="45">
        <v>0</v>
      </c>
      <c r="N74" s="45">
        <f t="shared" si="11"/>
        <v>50036</v>
      </c>
      <c r="O74" s="46">
        <f t="shared" si="12"/>
        <v>3.4630105130565379E-2</v>
      </c>
      <c r="P74" s="9"/>
    </row>
    <row r="75" spans="1:16">
      <c r="A75" s="11"/>
      <c r="B75" s="24">
        <v>341.9</v>
      </c>
      <c r="C75" s="19" t="s">
        <v>220</v>
      </c>
      <c r="D75" s="45">
        <v>63965018</v>
      </c>
      <c r="E75" s="45">
        <v>3301921</v>
      </c>
      <c r="F75" s="45">
        <v>0</v>
      </c>
      <c r="G75" s="45">
        <v>0</v>
      </c>
      <c r="H75" s="45">
        <v>0</v>
      </c>
      <c r="I75" s="45">
        <v>0</v>
      </c>
      <c r="J75" s="45">
        <v>6031261</v>
      </c>
      <c r="K75" s="45">
        <v>0</v>
      </c>
      <c r="L75" s="45">
        <v>0</v>
      </c>
      <c r="M75" s="45">
        <v>611572</v>
      </c>
      <c r="N75" s="45">
        <f t="shared" si="11"/>
        <v>73909772</v>
      </c>
      <c r="O75" s="46">
        <f t="shared" si="12"/>
        <v>51.153233162845098</v>
      </c>
      <c r="P75" s="9"/>
    </row>
    <row r="76" spans="1:16">
      <c r="A76" s="11"/>
      <c r="B76" s="24">
        <v>342.1</v>
      </c>
      <c r="C76" s="19" t="s">
        <v>87</v>
      </c>
      <c r="D76" s="45">
        <v>6491967</v>
      </c>
      <c r="E76" s="45">
        <v>9871477</v>
      </c>
      <c r="F76" s="45">
        <v>0</v>
      </c>
      <c r="G76" s="45">
        <v>0</v>
      </c>
      <c r="H76" s="45">
        <v>0</v>
      </c>
      <c r="I76" s="45">
        <v>0</v>
      </c>
      <c r="J76" s="45">
        <v>0</v>
      </c>
      <c r="K76" s="45">
        <v>0</v>
      </c>
      <c r="L76" s="45">
        <v>0</v>
      </c>
      <c r="M76" s="45">
        <v>0</v>
      </c>
      <c r="N76" s="45">
        <f t="shared" si="11"/>
        <v>16363444</v>
      </c>
      <c r="O76" s="46">
        <f t="shared" si="12"/>
        <v>11.32520157522822</v>
      </c>
      <c r="P76" s="9"/>
    </row>
    <row r="77" spans="1:16">
      <c r="A77" s="11"/>
      <c r="B77" s="24">
        <v>342.2</v>
      </c>
      <c r="C77" s="19" t="s">
        <v>88</v>
      </c>
      <c r="D77" s="45">
        <v>1118399</v>
      </c>
      <c r="E77" s="45">
        <v>0</v>
      </c>
      <c r="F77" s="45">
        <v>0</v>
      </c>
      <c r="G77" s="45">
        <v>0</v>
      </c>
      <c r="H77" s="45">
        <v>0</v>
      </c>
      <c r="I77" s="45">
        <v>0</v>
      </c>
      <c r="J77" s="45">
        <v>0</v>
      </c>
      <c r="K77" s="45">
        <v>0</v>
      </c>
      <c r="L77" s="45">
        <v>0</v>
      </c>
      <c r="M77" s="45">
        <v>0</v>
      </c>
      <c r="N77" s="45">
        <f t="shared" si="11"/>
        <v>1118399</v>
      </c>
      <c r="O77" s="46">
        <f t="shared" si="12"/>
        <v>0.77404818426571254</v>
      </c>
      <c r="P77" s="9"/>
    </row>
    <row r="78" spans="1:16">
      <c r="A78" s="11"/>
      <c r="B78" s="24">
        <v>342.3</v>
      </c>
      <c r="C78" s="19" t="s">
        <v>89</v>
      </c>
      <c r="D78" s="45">
        <v>137637</v>
      </c>
      <c r="E78" s="45">
        <v>0</v>
      </c>
      <c r="F78" s="45">
        <v>0</v>
      </c>
      <c r="G78" s="45">
        <v>0</v>
      </c>
      <c r="H78" s="45">
        <v>0</v>
      </c>
      <c r="I78" s="45">
        <v>0</v>
      </c>
      <c r="J78" s="45">
        <v>0</v>
      </c>
      <c r="K78" s="45">
        <v>0</v>
      </c>
      <c r="L78" s="45">
        <v>0</v>
      </c>
      <c r="M78" s="45">
        <v>0</v>
      </c>
      <c r="N78" s="45">
        <f t="shared" si="11"/>
        <v>137637</v>
      </c>
      <c r="O78" s="46">
        <f t="shared" si="12"/>
        <v>9.5259089052994392E-2</v>
      </c>
      <c r="P78" s="9"/>
    </row>
    <row r="79" spans="1:16">
      <c r="A79" s="11"/>
      <c r="B79" s="24">
        <v>342.5</v>
      </c>
      <c r="C79" s="19" t="s">
        <v>90</v>
      </c>
      <c r="D79" s="45">
        <v>1829079</v>
      </c>
      <c r="E79" s="45">
        <v>0</v>
      </c>
      <c r="F79" s="45">
        <v>0</v>
      </c>
      <c r="G79" s="45">
        <v>0</v>
      </c>
      <c r="H79" s="45">
        <v>0</v>
      </c>
      <c r="I79" s="45">
        <v>0</v>
      </c>
      <c r="J79" s="45">
        <v>0</v>
      </c>
      <c r="K79" s="45">
        <v>0</v>
      </c>
      <c r="L79" s="45">
        <v>0</v>
      </c>
      <c r="M79" s="45">
        <v>0</v>
      </c>
      <c r="N79" s="45">
        <f t="shared" si="11"/>
        <v>1829079</v>
      </c>
      <c r="O79" s="46">
        <f t="shared" si="12"/>
        <v>1.2659125042391357</v>
      </c>
      <c r="P79" s="9"/>
    </row>
    <row r="80" spans="1:16">
      <c r="A80" s="11"/>
      <c r="B80" s="24">
        <v>342.6</v>
      </c>
      <c r="C80" s="19" t="s">
        <v>91</v>
      </c>
      <c r="D80" s="45">
        <v>18998591</v>
      </c>
      <c r="E80" s="45">
        <v>0</v>
      </c>
      <c r="F80" s="45">
        <v>0</v>
      </c>
      <c r="G80" s="45">
        <v>0</v>
      </c>
      <c r="H80" s="45">
        <v>0</v>
      </c>
      <c r="I80" s="45">
        <v>0</v>
      </c>
      <c r="J80" s="45">
        <v>0</v>
      </c>
      <c r="K80" s="45">
        <v>0</v>
      </c>
      <c r="L80" s="45">
        <v>0</v>
      </c>
      <c r="M80" s="45">
        <v>0</v>
      </c>
      <c r="N80" s="45">
        <f t="shared" si="11"/>
        <v>18998591</v>
      </c>
      <c r="O80" s="46">
        <f t="shared" si="12"/>
        <v>13.148996795559462</v>
      </c>
      <c r="P80" s="9"/>
    </row>
    <row r="81" spans="1:16">
      <c r="A81" s="11"/>
      <c r="B81" s="24">
        <v>342.9</v>
      </c>
      <c r="C81" s="19" t="s">
        <v>92</v>
      </c>
      <c r="D81" s="45">
        <v>1116095</v>
      </c>
      <c r="E81" s="45">
        <v>2122850</v>
      </c>
      <c r="F81" s="45">
        <v>0</v>
      </c>
      <c r="G81" s="45">
        <v>0</v>
      </c>
      <c r="H81" s="45">
        <v>0</v>
      </c>
      <c r="I81" s="45">
        <v>0</v>
      </c>
      <c r="J81" s="45">
        <v>0</v>
      </c>
      <c r="K81" s="45">
        <v>0</v>
      </c>
      <c r="L81" s="45">
        <v>0</v>
      </c>
      <c r="M81" s="45">
        <v>0</v>
      </c>
      <c r="N81" s="45">
        <f t="shared" si="11"/>
        <v>3238945</v>
      </c>
      <c r="O81" s="46">
        <f t="shared" si="12"/>
        <v>2.2416861032480431</v>
      </c>
      <c r="P81" s="9"/>
    </row>
    <row r="82" spans="1:16">
      <c r="A82" s="11"/>
      <c r="B82" s="24">
        <v>343.4</v>
      </c>
      <c r="C82" s="19" t="s">
        <v>93</v>
      </c>
      <c r="D82" s="45">
        <v>0</v>
      </c>
      <c r="E82" s="45">
        <v>0</v>
      </c>
      <c r="F82" s="45">
        <v>0</v>
      </c>
      <c r="G82" s="45">
        <v>0</v>
      </c>
      <c r="H82" s="45">
        <v>0</v>
      </c>
      <c r="I82" s="45">
        <v>109409281</v>
      </c>
      <c r="J82" s="45">
        <v>0</v>
      </c>
      <c r="K82" s="45">
        <v>0</v>
      </c>
      <c r="L82" s="45">
        <v>0</v>
      </c>
      <c r="M82" s="45">
        <v>0</v>
      </c>
      <c r="N82" s="45">
        <f t="shared" si="11"/>
        <v>109409281</v>
      </c>
      <c r="O82" s="46">
        <f t="shared" si="12"/>
        <v>75.722577809768353</v>
      </c>
      <c r="P82" s="9"/>
    </row>
    <row r="83" spans="1:16">
      <c r="A83" s="11"/>
      <c r="B83" s="24">
        <v>343.6</v>
      </c>
      <c r="C83" s="19" t="s">
        <v>94</v>
      </c>
      <c r="D83" s="45">
        <v>0</v>
      </c>
      <c r="E83" s="45">
        <v>0</v>
      </c>
      <c r="F83" s="45">
        <v>0</v>
      </c>
      <c r="G83" s="45">
        <v>0</v>
      </c>
      <c r="H83" s="45">
        <v>0</v>
      </c>
      <c r="I83" s="45">
        <v>262358432</v>
      </c>
      <c r="J83" s="45">
        <v>0</v>
      </c>
      <c r="K83" s="45">
        <v>0</v>
      </c>
      <c r="L83" s="45">
        <v>0</v>
      </c>
      <c r="M83" s="45">
        <v>0</v>
      </c>
      <c r="N83" s="45">
        <f t="shared" si="11"/>
        <v>262358432</v>
      </c>
      <c r="O83" s="46">
        <f t="shared" si="12"/>
        <v>181.57926457051499</v>
      </c>
      <c r="P83" s="9"/>
    </row>
    <row r="84" spans="1:16">
      <c r="A84" s="11"/>
      <c r="B84" s="24">
        <v>343.7</v>
      </c>
      <c r="C84" s="19" t="s">
        <v>95</v>
      </c>
      <c r="D84" s="45">
        <v>2841388</v>
      </c>
      <c r="E84" s="45">
        <v>1562354</v>
      </c>
      <c r="F84" s="45">
        <v>0</v>
      </c>
      <c r="G84" s="45">
        <v>0</v>
      </c>
      <c r="H84" s="45">
        <v>0</v>
      </c>
      <c r="I84" s="45">
        <v>0</v>
      </c>
      <c r="J84" s="45">
        <v>0</v>
      </c>
      <c r="K84" s="45">
        <v>0</v>
      </c>
      <c r="L84" s="45">
        <v>0</v>
      </c>
      <c r="M84" s="45">
        <v>77921</v>
      </c>
      <c r="N84" s="45">
        <f t="shared" si="11"/>
        <v>4481663</v>
      </c>
      <c r="O84" s="46">
        <f t="shared" si="12"/>
        <v>3.1017759383197103</v>
      </c>
      <c r="P84" s="9"/>
    </row>
    <row r="85" spans="1:16">
      <c r="A85" s="11"/>
      <c r="B85" s="24">
        <v>343.9</v>
      </c>
      <c r="C85" s="19" t="s">
        <v>96</v>
      </c>
      <c r="D85" s="45">
        <v>1447873</v>
      </c>
      <c r="E85" s="45">
        <v>102742</v>
      </c>
      <c r="F85" s="45">
        <v>0</v>
      </c>
      <c r="G85" s="45">
        <v>0</v>
      </c>
      <c r="H85" s="45">
        <v>0</v>
      </c>
      <c r="I85" s="45">
        <v>0</v>
      </c>
      <c r="J85" s="45">
        <v>0</v>
      </c>
      <c r="K85" s="45">
        <v>0</v>
      </c>
      <c r="L85" s="45">
        <v>0</v>
      </c>
      <c r="M85" s="45">
        <v>0</v>
      </c>
      <c r="N85" s="45">
        <f t="shared" si="11"/>
        <v>1550615</v>
      </c>
      <c r="O85" s="46">
        <f t="shared" si="12"/>
        <v>1.0731865150497968</v>
      </c>
      <c r="P85" s="9"/>
    </row>
    <row r="86" spans="1:16">
      <c r="A86" s="11"/>
      <c r="B86" s="24">
        <v>344.5</v>
      </c>
      <c r="C86" s="19" t="s">
        <v>221</v>
      </c>
      <c r="D86" s="45">
        <v>869103</v>
      </c>
      <c r="E86" s="45">
        <v>0</v>
      </c>
      <c r="F86" s="45">
        <v>0</v>
      </c>
      <c r="G86" s="45">
        <v>0</v>
      </c>
      <c r="H86" s="45">
        <v>0</v>
      </c>
      <c r="I86" s="45">
        <v>0</v>
      </c>
      <c r="J86" s="45">
        <v>1984</v>
      </c>
      <c r="K86" s="45">
        <v>0</v>
      </c>
      <c r="L86" s="45">
        <v>0</v>
      </c>
      <c r="M86" s="45">
        <v>0</v>
      </c>
      <c r="N86" s="45">
        <f t="shared" si="11"/>
        <v>871087</v>
      </c>
      <c r="O86" s="46">
        <f t="shared" si="12"/>
        <v>0.60288261227653694</v>
      </c>
      <c r="P86" s="9"/>
    </row>
    <row r="87" spans="1:16">
      <c r="A87" s="11"/>
      <c r="B87" s="24">
        <v>344.9</v>
      </c>
      <c r="C87" s="19" t="s">
        <v>222</v>
      </c>
      <c r="D87" s="45">
        <v>1428483</v>
      </c>
      <c r="E87" s="45">
        <v>1433714</v>
      </c>
      <c r="F87" s="45">
        <v>0</v>
      </c>
      <c r="G87" s="45">
        <v>0</v>
      </c>
      <c r="H87" s="45">
        <v>0</v>
      </c>
      <c r="I87" s="45">
        <v>0</v>
      </c>
      <c r="J87" s="45">
        <v>0</v>
      </c>
      <c r="K87" s="45">
        <v>0</v>
      </c>
      <c r="L87" s="45">
        <v>0</v>
      </c>
      <c r="M87" s="45">
        <v>0</v>
      </c>
      <c r="N87" s="45">
        <f t="shared" si="11"/>
        <v>2862197</v>
      </c>
      <c r="O87" s="46">
        <f t="shared" si="12"/>
        <v>1.9809373853703101</v>
      </c>
      <c r="P87" s="9"/>
    </row>
    <row r="88" spans="1:16">
      <c r="A88" s="11"/>
      <c r="B88" s="24">
        <v>345.1</v>
      </c>
      <c r="C88" s="19" t="s">
        <v>99</v>
      </c>
      <c r="D88" s="45">
        <v>0</v>
      </c>
      <c r="E88" s="45">
        <v>0</v>
      </c>
      <c r="F88" s="45">
        <v>0</v>
      </c>
      <c r="G88" s="45">
        <v>0</v>
      </c>
      <c r="H88" s="45">
        <v>0</v>
      </c>
      <c r="I88" s="45">
        <v>0</v>
      </c>
      <c r="J88" s="45">
        <v>0</v>
      </c>
      <c r="K88" s="45">
        <v>0</v>
      </c>
      <c r="L88" s="45">
        <v>0</v>
      </c>
      <c r="M88" s="45">
        <v>607697</v>
      </c>
      <c r="N88" s="45">
        <f t="shared" si="11"/>
        <v>607697</v>
      </c>
      <c r="O88" s="46">
        <f t="shared" si="12"/>
        <v>0.42058939558576203</v>
      </c>
      <c r="P88" s="9"/>
    </row>
    <row r="89" spans="1:16">
      <c r="A89" s="11"/>
      <c r="B89" s="24">
        <v>345.9</v>
      </c>
      <c r="C89" s="19" t="s">
        <v>100</v>
      </c>
      <c r="D89" s="45">
        <v>137975</v>
      </c>
      <c r="E89" s="45">
        <v>0</v>
      </c>
      <c r="F89" s="45">
        <v>0</v>
      </c>
      <c r="G89" s="45">
        <v>0</v>
      </c>
      <c r="H89" s="45">
        <v>0</v>
      </c>
      <c r="I89" s="45">
        <v>0</v>
      </c>
      <c r="J89" s="45">
        <v>0</v>
      </c>
      <c r="K89" s="45">
        <v>0</v>
      </c>
      <c r="L89" s="45">
        <v>0</v>
      </c>
      <c r="M89" s="45">
        <v>0</v>
      </c>
      <c r="N89" s="45">
        <f t="shared" si="11"/>
        <v>137975</v>
      </c>
      <c r="O89" s="46">
        <f t="shared" si="12"/>
        <v>9.5493020133299189E-2</v>
      </c>
      <c r="P89" s="9"/>
    </row>
    <row r="90" spans="1:16">
      <c r="A90" s="11"/>
      <c r="B90" s="24">
        <v>346.4</v>
      </c>
      <c r="C90" s="19" t="s">
        <v>101</v>
      </c>
      <c r="D90" s="45">
        <v>324053</v>
      </c>
      <c r="E90" s="45">
        <v>0</v>
      </c>
      <c r="F90" s="45">
        <v>0</v>
      </c>
      <c r="G90" s="45">
        <v>0</v>
      </c>
      <c r="H90" s="45">
        <v>0</v>
      </c>
      <c r="I90" s="45">
        <v>0</v>
      </c>
      <c r="J90" s="45">
        <v>0</v>
      </c>
      <c r="K90" s="45">
        <v>0</v>
      </c>
      <c r="L90" s="45">
        <v>0</v>
      </c>
      <c r="M90" s="45">
        <v>0</v>
      </c>
      <c r="N90" s="45">
        <f t="shared" si="11"/>
        <v>324053</v>
      </c>
      <c r="O90" s="46">
        <f t="shared" si="12"/>
        <v>0.22427830877518393</v>
      </c>
      <c r="P90" s="9"/>
    </row>
    <row r="91" spans="1:16">
      <c r="A91" s="11"/>
      <c r="B91" s="24">
        <v>346.9</v>
      </c>
      <c r="C91" s="19" t="s">
        <v>102</v>
      </c>
      <c r="D91" s="45">
        <v>861621</v>
      </c>
      <c r="E91" s="45">
        <v>1962</v>
      </c>
      <c r="F91" s="45">
        <v>0</v>
      </c>
      <c r="G91" s="45">
        <v>0</v>
      </c>
      <c r="H91" s="45">
        <v>0</v>
      </c>
      <c r="I91" s="45">
        <v>0</v>
      </c>
      <c r="J91" s="45">
        <v>25326425</v>
      </c>
      <c r="K91" s="45">
        <v>0</v>
      </c>
      <c r="L91" s="45">
        <v>0</v>
      </c>
      <c r="M91" s="45">
        <v>0</v>
      </c>
      <c r="N91" s="45">
        <f t="shared" si="11"/>
        <v>26190008</v>
      </c>
      <c r="O91" s="46">
        <f t="shared" si="12"/>
        <v>18.126203741513077</v>
      </c>
      <c r="P91" s="9"/>
    </row>
    <row r="92" spans="1:16">
      <c r="A92" s="11"/>
      <c r="B92" s="24">
        <v>347.1</v>
      </c>
      <c r="C92" s="19" t="s">
        <v>103</v>
      </c>
      <c r="D92" s="45">
        <v>0</v>
      </c>
      <c r="E92" s="45">
        <v>13627</v>
      </c>
      <c r="F92" s="45">
        <v>0</v>
      </c>
      <c r="G92" s="45">
        <v>0</v>
      </c>
      <c r="H92" s="45">
        <v>0</v>
      </c>
      <c r="I92" s="45">
        <v>0</v>
      </c>
      <c r="J92" s="45">
        <v>0</v>
      </c>
      <c r="K92" s="45">
        <v>0</v>
      </c>
      <c r="L92" s="45">
        <v>0</v>
      </c>
      <c r="M92" s="45">
        <v>0</v>
      </c>
      <c r="N92" s="45">
        <f t="shared" si="11"/>
        <v>13627</v>
      </c>
      <c r="O92" s="46">
        <f t="shared" si="12"/>
        <v>9.4312983174956923E-3</v>
      </c>
      <c r="P92" s="9"/>
    </row>
    <row r="93" spans="1:16">
      <c r="A93" s="11"/>
      <c r="B93" s="24">
        <v>347.2</v>
      </c>
      <c r="C93" s="19" t="s">
        <v>104</v>
      </c>
      <c r="D93" s="45">
        <v>3612042</v>
      </c>
      <c r="E93" s="45">
        <v>0</v>
      </c>
      <c r="F93" s="45">
        <v>0</v>
      </c>
      <c r="G93" s="45">
        <v>0</v>
      </c>
      <c r="H93" s="45">
        <v>0</v>
      </c>
      <c r="I93" s="45">
        <v>0</v>
      </c>
      <c r="J93" s="45">
        <v>0</v>
      </c>
      <c r="K93" s="45">
        <v>0</v>
      </c>
      <c r="L93" s="45">
        <v>0</v>
      </c>
      <c r="M93" s="45">
        <v>0</v>
      </c>
      <c r="N93" s="45">
        <f t="shared" si="11"/>
        <v>3612042</v>
      </c>
      <c r="O93" s="46">
        <f t="shared" si="12"/>
        <v>2.4999079501962114</v>
      </c>
      <c r="P93" s="9"/>
    </row>
    <row r="94" spans="1:16">
      <c r="A94" s="11"/>
      <c r="B94" s="24">
        <v>347.4</v>
      </c>
      <c r="C94" s="19" t="s">
        <v>105</v>
      </c>
      <c r="D94" s="45">
        <v>23539</v>
      </c>
      <c r="E94" s="45">
        <v>6850</v>
      </c>
      <c r="F94" s="45">
        <v>406632</v>
      </c>
      <c r="G94" s="45">
        <v>0</v>
      </c>
      <c r="H94" s="45">
        <v>0</v>
      </c>
      <c r="I94" s="45">
        <v>0</v>
      </c>
      <c r="J94" s="45">
        <v>0</v>
      </c>
      <c r="K94" s="45">
        <v>0</v>
      </c>
      <c r="L94" s="45">
        <v>0</v>
      </c>
      <c r="M94" s="45">
        <v>0</v>
      </c>
      <c r="N94" s="45">
        <f t="shared" si="11"/>
        <v>437021</v>
      </c>
      <c r="O94" s="46">
        <f t="shared" si="12"/>
        <v>0.30246388948486713</v>
      </c>
      <c r="P94" s="9"/>
    </row>
    <row r="95" spans="1:16">
      <c r="A95" s="11"/>
      <c r="B95" s="24">
        <v>347.5</v>
      </c>
      <c r="C95" s="19" t="s">
        <v>106</v>
      </c>
      <c r="D95" s="45">
        <v>287448</v>
      </c>
      <c r="E95" s="45">
        <v>0</v>
      </c>
      <c r="F95" s="45">
        <v>0</v>
      </c>
      <c r="G95" s="45">
        <v>0</v>
      </c>
      <c r="H95" s="45">
        <v>0</v>
      </c>
      <c r="I95" s="45">
        <v>0</v>
      </c>
      <c r="J95" s="45">
        <v>0</v>
      </c>
      <c r="K95" s="45">
        <v>0</v>
      </c>
      <c r="L95" s="45">
        <v>0</v>
      </c>
      <c r="M95" s="45">
        <v>0</v>
      </c>
      <c r="N95" s="45">
        <f t="shared" si="11"/>
        <v>287448</v>
      </c>
      <c r="O95" s="46">
        <f t="shared" si="12"/>
        <v>0.19894384961968897</v>
      </c>
      <c r="P95" s="9"/>
    </row>
    <row r="96" spans="1:16">
      <c r="A96" s="11"/>
      <c r="B96" s="24">
        <v>347.9</v>
      </c>
      <c r="C96" s="19" t="s">
        <v>107</v>
      </c>
      <c r="D96" s="45">
        <v>53726</v>
      </c>
      <c r="E96" s="45">
        <v>0</v>
      </c>
      <c r="F96" s="45">
        <v>0</v>
      </c>
      <c r="G96" s="45">
        <v>0</v>
      </c>
      <c r="H96" s="45">
        <v>0</v>
      </c>
      <c r="I96" s="45">
        <v>0</v>
      </c>
      <c r="J96" s="45">
        <v>0</v>
      </c>
      <c r="K96" s="45">
        <v>0</v>
      </c>
      <c r="L96" s="45">
        <v>0</v>
      </c>
      <c r="M96" s="45">
        <v>0</v>
      </c>
      <c r="N96" s="45">
        <f t="shared" si="11"/>
        <v>53726</v>
      </c>
      <c r="O96" s="46">
        <f t="shared" si="12"/>
        <v>3.7183968107857457E-2</v>
      </c>
      <c r="P96" s="9"/>
    </row>
    <row r="97" spans="1:16">
      <c r="A97" s="11"/>
      <c r="B97" s="24">
        <v>348.11</v>
      </c>
      <c r="C97" s="19" t="s">
        <v>244</v>
      </c>
      <c r="D97" s="45">
        <v>0</v>
      </c>
      <c r="E97" s="45">
        <v>51352</v>
      </c>
      <c r="F97" s="45">
        <v>0</v>
      </c>
      <c r="G97" s="45">
        <v>0</v>
      </c>
      <c r="H97" s="45">
        <v>0</v>
      </c>
      <c r="I97" s="45">
        <v>0</v>
      </c>
      <c r="J97" s="45">
        <v>0</v>
      </c>
      <c r="K97" s="45">
        <v>0</v>
      </c>
      <c r="L97" s="45">
        <v>0</v>
      </c>
      <c r="M97" s="45">
        <v>0</v>
      </c>
      <c r="N97" s="45">
        <f>SUM(D97:M97)</f>
        <v>51352</v>
      </c>
      <c r="O97" s="46">
        <f t="shared" si="12"/>
        <v>3.5540913715420765E-2</v>
      </c>
      <c r="P97" s="9"/>
    </row>
    <row r="98" spans="1:16">
      <c r="A98" s="11"/>
      <c r="B98" s="24">
        <v>348.12</v>
      </c>
      <c r="C98" s="19" t="s">
        <v>245</v>
      </c>
      <c r="D98" s="45">
        <v>0</v>
      </c>
      <c r="E98" s="45">
        <v>106425</v>
      </c>
      <c r="F98" s="45">
        <v>0</v>
      </c>
      <c r="G98" s="45">
        <v>0</v>
      </c>
      <c r="H98" s="45">
        <v>0</v>
      </c>
      <c r="I98" s="45">
        <v>0</v>
      </c>
      <c r="J98" s="45">
        <v>0</v>
      </c>
      <c r="K98" s="45">
        <v>0</v>
      </c>
      <c r="L98" s="45">
        <v>0</v>
      </c>
      <c r="M98" s="45">
        <v>0</v>
      </c>
      <c r="N98" s="45">
        <f t="shared" ref="N98:N113" si="13">SUM(D98:M98)</f>
        <v>106425</v>
      </c>
      <c r="O98" s="46">
        <f t="shared" si="12"/>
        <v>7.3657145625558015E-2</v>
      </c>
      <c r="P98" s="9"/>
    </row>
    <row r="99" spans="1:16">
      <c r="A99" s="11"/>
      <c r="B99" s="24">
        <v>348.13</v>
      </c>
      <c r="C99" s="19" t="s">
        <v>246</v>
      </c>
      <c r="D99" s="45">
        <v>0</v>
      </c>
      <c r="E99" s="45">
        <v>228124</v>
      </c>
      <c r="F99" s="45">
        <v>0</v>
      </c>
      <c r="G99" s="45">
        <v>0</v>
      </c>
      <c r="H99" s="45">
        <v>0</v>
      </c>
      <c r="I99" s="45">
        <v>0</v>
      </c>
      <c r="J99" s="45">
        <v>0</v>
      </c>
      <c r="K99" s="45">
        <v>0</v>
      </c>
      <c r="L99" s="45">
        <v>0</v>
      </c>
      <c r="M99" s="45">
        <v>0</v>
      </c>
      <c r="N99" s="45">
        <f t="shared" si="13"/>
        <v>228124</v>
      </c>
      <c r="O99" s="46">
        <f t="shared" si="12"/>
        <v>0.1578854845072567</v>
      </c>
      <c r="P99" s="9"/>
    </row>
    <row r="100" spans="1:16">
      <c r="A100" s="11"/>
      <c r="B100" s="24">
        <v>348.21</v>
      </c>
      <c r="C100" s="19" t="s">
        <v>284</v>
      </c>
      <c r="D100" s="45">
        <v>0</v>
      </c>
      <c r="E100" s="45">
        <v>4490</v>
      </c>
      <c r="F100" s="45">
        <v>0</v>
      </c>
      <c r="G100" s="45">
        <v>0</v>
      </c>
      <c r="H100" s="45">
        <v>0</v>
      </c>
      <c r="I100" s="45">
        <v>0</v>
      </c>
      <c r="J100" s="45">
        <v>0</v>
      </c>
      <c r="K100" s="45">
        <v>0</v>
      </c>
      <c r="L100" s="45">
        <v>0</v>
      </c>
      <c r="M100" s="45">
        <v>0</v>
      </c>
      <c r="N100" s="45">
        <f t="shared" si="13"/>
        <v>4490</v>
      </c>
      <c r="O100" s="46">
        <f t="shared" si="12"/>
        <v>3.1075460075992998E-3</v>
      </c>
      <c r="P100" s="9"/>
    </row>
    <row r="101" spans="1:16">
      <c r="A101" s="11"/>
      <c r="B101" s="24">
        <v>348.22</v>
      </c>
      <c r="C101" s="19" t="s">
        <v>247</v>
      </c>
      <c r="D101" s="45">
        <v>0</v>
      </c>
      <c r="E101" s="45">
        <v>99577</v>
      </c>
      <c r="F101" s="45">
        <v>0</v>
      </c>
      <c r="G101" s="45">
        <v>0</v>
      </c>
      <c r="H101" s="45">
        <v>0</v>
      </c>
      <c r="I101" s="45">
        <v>0</v>
      </c>
      <c r="J101" s="45">
        <v>0</v>
      </c>
      <c r="K101" s="45">
        <v>0</v>
      </c>
      <c r="L101" s="45">
        <v>0</v>
      </c>
      <c r="M101" s="45">
        <v>0</v>
      </c>
      <c r="N101" s="45">
        <f t="shared" si="13"/>
        <v>99577</v>
      </c>
      <c r="O101" s="46">
        <f t="shared" ref="O101:O132" si="14">(N101/O$152)</f>
        <v>6.8917618886128157E-2</v>
      </c>
      <c r="P101" s="9"/>
    </row>
    <row r="102" spans="1:16">
      <c r="A102" s="11"/>
      <c r="B102" s="24">
        <v>348.23</v>
      </c>
      <c r="C102" s="19" t="s">
        <v>248</v>
      </c>
      <c r="D102" s="45">
        <v>0</v>
      </c>
      <c r="E102" s="45">
        <v>387511</v>
      </c>
      <c r="F102" s="45">
        <v>0</v>
      </c>
      <c r="G102" s="45">
        <v>0</v>
      </c>
      <c r="H102" s="45">
        <v>0</v>
      </c>
      <c r="I102" s="45">
        <v>0</v>
      </c>
      <c r="J102" s="45">
        <v>0</v>
      </c>
      <c r="K102" s="45">
        <v>0</v>
      </c>
      <c r="L102" s="45">
        <v>0</v>
      </c>
      <c r="M102" s="45">
        <v>0</v>
      </c>
      <c r="N102" s="45">
        <f t="shared" si="13"/>
        <v>387511</v>
      </c>
      <c r="O102" s="46">
        <f t="shared" si="14"/>
        <v>0.26819783094672878</v>
      </c>
      <c r="P102" s="9"/>
    </row>
    <row r="103" spans="1:16">
      <c r="A103" s="11"/>
      <c r="B103" s="24">
        <v>348.31</v>
      </c>
      <c r="C103" s="19" t="s">
        <v>249</v>
      </c>
      <c r="D103" s="45">
        <v>0</v>
      </c>
      <c r="E103" s="45">
        <v>9695451</v>
      </c>
      <c r="F103" s="45">
        <v>0</v>
      </c>
      <c r="G103" s="45">
        <v>0</v>
      </c>
      <c r="H103" s="45">
        <v>0</v>
      </c>
      <c r="I103" s="45">
        <v>0</v>
      </c>
      <c r="J103" s="45">
        <v>0</v>
      </c>
      <c r="K103" s="45">
        <v>0</v>
      </c>
      <c r="L103" s="45">
        <v>0</v>
      </c>
      <c r="M103" s="45">
        <v>0</v>
      </c>
      <c r="N103" s="45">
        <f t="shared" si="13"/>
        <v>9695451</v>
      </c>
      <c r="O103" s="46">
        <f t="shared" si="14"/>
        <v>6.7102583623440175</v>
      </c>
      <c r="P103" s="9"/>
    </row>
    <row r="104" spans="1:16">
      <c r="A104" s="11"/>
      <c r="B104" s="24">
        <v>348.32</v>
      </c>
      <c r="C104" s="19" t="s">
        <v>250</v>
      </c>
      <c r="D104" s="45">
        <v>0</v>
      </c>
      <c r="E104" s="45">
        <v>718007</v>
      </c>
      <c r="F104" s="45">
        <v>0</v>
      </c>
      <c r="G104" s="45">
        <v>0</v>
      </c>
      <c r="H104" s="45">
        <v>0</v>
      </c>
      <c r="I104" s="45">
        <v>0</v>
      </c>
      <c r="J104" s="45">
        <v>0</v>
      </c>
      <c r="K104" s="45">
        <v>0</v>
      </c>
      <c r="L104" s="45">
        <v>0</v>
      </c>
      <c r="M104" s="45">
        <v>0</v>
      </c>
      <c r="N104" s="45">
        <f t="shared" si="13"/>
        <v>718007</v>
      </c>
      <c r="O104" s="46">
        <f t="shared" si="14"/>
        <v>0.4969353644272495</v>
      </c>
      <c r="P104" s="9"/>
    </row>
    <row r="105" spans="1:16">
      <c r="A105" s="11"/>
      <c r="B105" s="24">
        <v>348.41</v>
      </c>
      <c r="C105" s="19" t="s">
        <v>251</v>
      </c>
      <c r="D105" s="45">
        <v>0</v>
      </c>
      <c r="E105" s="45">
        <v>4266297</v>
      </c>
      <c r="F105" s="45">
        <v>0</v>
      </c>
      <c r="G105" s="45">
        <v>0</v>
      </c>
      <c r="H105" s="45">
        <v>0</v>
      </c>
      <c r="I105" s="45">
        <v>0</v>
      </c>
      <c r="J105" s="45">
        <v>0</v>
      </c>
      <c r="K105" s="45">
        <v>0</v>
      </c>
      <c r="L105" s="45">
        <v>0</v>
      </c>
      <c r="M105" s="45">
        <v>0</v>
      </c>
      <c r="N105" s="45">
        <f t="shared" si="13"/>
        <v>4266297</v>
      </c>
      <c r="O105" s="46">
        <f t="shared" si="14"/>
        <v>2.9527203139382783</v>
      </c>
      <c r="P105" s="9"/>
    </row>
    <row r="106" spans="1:16">
      <c r="A106" s="11"/>
      <c r="B106" s="24">
        <v>348.42</v>
      </c>
      <c r="C106" s="19" t="s">
        <v>252</v>
      </c>
      <c r="D106" s="45">
        <v>0</v>
      </c>
      <c r="E106" s="45">
        <v>2289317</v>
      </c>
      <c r="F106" s="45">
        <v>0</v>
      </c>
      <c r="G106" s="45">
        <v>0</v>
      </c>
      <c r="H106" s="45">
        <v>0</v>
      </c>
      <c r="I106" s="45">
        <v>0</v>
      </c>
      <c r="J106" s="45">
        <v>0</v>
      </c>
      <c r="K106" s="45">
        <v>0</v>
      </c>
      <c r="L106" s="45">
        <v>0</v>
      </c>
      <c r="M106" s="45">
        <v>0</v>
      </c>
      <c r="N106" s="45">
        <f t="shared" si="13"/>
        <v>2289317</v>
      </c>
      <c r="O106" s="46">
        <f t="shared" si="14"/>
        <v>1.5844449673673064</v>
      </c>
      <c r="P106" s="9"/>
    </row>
    <row r="107" spans="1:16">
      <c r="A107" s="11"/>
      <c r="B107" s="24">
        <v>348.51</v>
      </c>
      <c r="C107" s="19" t="s">
        <v>254</v>
      </c>
      <c r="D107" s="45">
        <v>0</v>
      </c>
      <c r="E107" s="45">
        <v>6416</v>
      </c>
      <c r="F107" s="45">
        <v>0</v>
      </c>
      <c r="G107" s="45">
        <v>0</v>
      </c>
      <c r="H107" s="45">
        <v>0</v>
      </c>
      <c r="I107" s="45">
        <v>0</v>
      </c>
      <c r="J107" s="45">
        <v>0</v>
      </c>
      <c r="K107" s="45">
        <v>0</v>
      </c>
      <c r="L107" s="45">
        <v>0</v>
      </c>
      <c r="M107" s="45">
        <v>0</v>
      </c>
      <c r="N107" s="45">
        <f t="shared" si="13"/>
        <v>6416</v>
      </c>
      <c r="O107" s="46">
        <f t="shared" si="14"/>
        <v>4.4405379030639435E-3</v>
      </c>
      <c r="P107" s="9"/>
    </row>
    <row r="108" spans="1:16">
      <c r="A108" s="11"/>
      <c r="B108" s="24">
        <v>348.52</v>
      </c>
      <c r="C108" s="19" t="s">
        <v>255</v>
      </c>
      <c r="D108" s="45">
        <v>0</v>
      </c>
      <c r="E108" s="45">
        <v>2453427</v>
      </c>
      <c r="F108" s="45">
        <v>0</v>
      </c>
      <c r="G108" s="45">
        <v>0</v>
      </c>
      <c r="H108" s="45">
        <v>0</v>
      </c>
      <c r="I108" s="45">
        <v>0</v>
      </c>
      <c r="J108" s="45">
        <v>0</v>
      </c>
      <c r="K108" s="45">
        <v>0</v>
      </c>
      <c r="L108" s="45">
        <v>0</v>
      </c>
      <c r="M108" s="45">
        <v>0</v>
      </c>
      <c r="N108" s="45">
        <f t="shared" si="13"/>
        <v>2453427</v>
      </c>
      <c r="O108" s="46">
        <f t="shared" si="14"/>
        <v>1.6980261199969549</v>
      </c>
      <c r="P108" s="9"/>
    </row>
    <row r="109" spans="1:16">
      <c r="A109" s="11"/>
      <c r="B109" s="24">
        <v>348.53</v>
      </c>
      <c r="C109" s="19" t="s">
        <v>256</v>
      </c>
      <c r="D109" s="45">
        <v>0</v>
      </c>
      <c r="E109" s="45">
        <v>3748042</v>
      </c>
      <c r="F109" s="45">
        <v>0</v>
      </c>
      <c r="G109" s="45">
        <v>0</v>
      </c>
      <c r="H109" s="45">
        <v>0</v>
      </c>
      <c r="I109" s="45">
        <v>0</v>
      </c>
      <c r="J109" s="45">
        <v>0</v>
      </c>
      <c r="K109" s="45">
        <v>0</v>
      </c>
      <c r="L109" s="45">
        <v>0</v>
      </c>
      <c r="M109" s="45">
        <v>0</v>
      </c>
      <c r="N109" s="45">
        <f t="shared" si="13"/>
        <v>3748042</v>
      </c>
      <c r="O109" s="46">
        <f t="shared" si="14"/>
        <v>2.5940340653484397</v>
      </c>
      <c r="P109" s="9"/>
    </row>
    <row r="110" spans="1:16">
      <c r="A110" s="11"/>
      <c r="B110" s="24">
        <v>348.61</v>
      </c>
      <c r="C110" s="19" t="s">
        <v>257</v>
      </c>
      <c r="D110" s="45">
        <v>0</v>
      </c>
      <c r="E110" s="45">
        <v>52051</v>
      </c>
      <c r="F110" s="45">
        <v>0</v>
      </c>
      <c r="G110" s="45">
        <v>0</v>
      </c>
      <c r="H110" s="45">
        <v>0</v>
      </c>
      <c r="I110" s="45">
        <v>0</v>
      </c>
      <c r="J110" s="45">
        <v>0</v>
      </c>
      <c r="K110" s="45">
        <v>0</v>
      </c>
      <c r="L110" s="45">
        <v>0</v>
      </c>
      <c r="M110" s="45">
        <v>0</v>
      </c>
      <c r="N110" s="45">
        <f t="shared" si="13"/>
        <v>52051</v>
      </c>
      <c r="O110" s="46">
        <f t="shared" si="14"/>
        <v>3.6024694263151705E-2</v>
      </c>
      <c r="P110" s="9"/>
    </row>
    <row r="111" spans="1:16">
      <c r="A111" s="11"/>
      <c r="B111" s="24">
        <v>348.62</v>
      </c>
      <c r="C111" s="19" t="s">
        <v>258</v>
      </c>
      <c r="D111" s="45">
        <v>0</v>
      </c>
      <c r="E111" s="45">
        <v>13267</v>
      </c>
      <c r="F111" s="45">
        <v>0</v>
      </c>
      <c r="G111" s="45">
        <v>0</v>
      </c>
      <c r="H111" s="45">
        <v>0</v>
      </c>
      <c r="I111" s="45">
        <v>0</v>
      </c>
      <c r="J111" s="45">
        <v>0</v>
      </c>
      <c r="K111" s="45">
        <v>0</v>
      </c>
      <c r="L111" s="45">
        <v>0</v>
      </c>
      <c r="M111" s="45">
        <v>0</v>
      </c>
      <c r="N111" s="45">
        <f t="shared" si="13"/>
        <v>13267</v>
      </c>
      <c r="O111" s="46">
        <f t="shared" si="14"/>
        <v>9.182140953857441E-3</v>
      </c>
      <c r="P111" s="9"/>
    </row>
    <row r="112" spans="1:16">
      <c r="A112" s="11"/>
      <c r="B112" s="24">
        <v>348.71</v>
      </c>
      <c r="C112" s="19" t="s">
        <v>259</v>
      </c>
      <c r="D112" s="45">
        <v>0</v>
      </c>
      <c r="E112" s="45">
        <v>701357</v>
      </c>
      <c r="F112" s="45">
        <v>0</v>
      </c>
      <c r="G112" s="45">
        <v>0</v>
      </c>
      <c r="H112" s="45">
        <v>0</v>
      </c>
      <c r="I112" s="45">
        <v>0</v>
      </c>
      <c r="J112" s="45">
        <v>0</v>
      </c>
      <c r="K112" s="45">
        <v>0</v>
      </c>
      <c r="L112" s="45">
        <v>0</v>
      </c>
      <c r="M112" s="45">
        <v>0</v>
      </c>
      <c r="N112" s="45">
        <f t="shared" si="13"/>
        <v>701357</v>
      </c>
      <c r="O112" s="46">
        <f t="shared" si="14"/>
        <v>0.48541183635898039</v>
      </c>
      <c r="P112" s="9"/>
    </row>
    <row r="113" spans="1:16">
      <c r="A113" s="11"/>
      <c r="B113" s="24">
        <v>348.72</v>
      </c>
      <c r="C113" s="19" t="s">
        <v>260</v>
      </c>
      <c r="D113" s="45">
        <v>0</v>
      </c>
      <c r="E113" s="45">
        <v>112348</v>
      </c>
      <c r="F113" s="45">
        <v>0</v>
      </c>
      <c r="G113" s="45">
        <v>0</v>
      </c>
      <c r="H113" s="45">
        <v>0</v>
      </c>
      <c r="I113" s="45">
        <v>0</v>
      </c>
      <c r="J113" s="45">
        <v>0</v>
      </c>
      <c r="K113" s="45">
        <v>0</v>
      </c>
      <c r="L113" s="45">
        <v>0</v>
      </c>
      <c r="M113" s="45">
        <v>0</v>
      </c>
      <c r="N113" s="45">
        <f t="shared" si="13"/>
        <v>112348</v>
      </c>
      <c r="O113" s="46">
        <f t="shared" si="14"/>
        <v>7.775647636119512E-2</v>
      </c>
      <c r="P113" s="9"/>
    </row>
    <row r="114" spans="1:16">
      <c r="A114" s="11"/>
      <c r="B114" s="24">
        <v>348.88</v>
      </c>
      <c r="C114" s="19" t="s">
        <v>223</v>
      </c>
      <c r="D114" s="45">
        <v>96621</v>
      </c>
      <c r="E114" s="45">
        <v>0</v>
      </c>
      <c r="F114" s="45">
        <v>0</v>
      </c>
      <c r="G114" s="45">
        <v>0</v>
      </c>
      <c r="H114" s="45">
        <v>0</v>
      </c>
      <c r="I114" s="45">
        <v>0</v>
      </c>
      <c r="J114" s="45">
        <v>0</v>
      </c>
      <c r="K114" s="45">
        <v>0</v>
      </c>
      <c r="L114" s="45">
        <v>0</v>
      </c>
      <c r="M114" s="45">
        <v>0</v>
      </c>
      <c r="N114" s="45">
        <f t="shared" si="11"/>
        <v>96621</v>
      </c>
      <c r="O114" s="46">
        <f t="shared" si="14"/>
        <v>6.6871760089142973E-2</v>
      </c>
      <c r="P114" s="9"/>
    </row>
    <row r="115" spans="1:16">
      <c r="A115" s="11"/>
      <c r="B115" s="24">
        <v>348.92099999999999</v>
      </c>
      <c r="C115" s="19" t="s">
        <v>224</v>
      </c>
      <c r="D115" s="45">
        <v>0</v>
      </c>
      <c r="E115" s="45">
        <v>224851</v>
      </c>
      <c r="F115" s="45">
        <v>0</v>
      </c>
      <c r="G115" s="45">
        <v>0</v>
      </c>
      <c r="H115" s="45">
        <v>0</v>
      </c>
      <c r="I115" s="45">
        <v>0</v>
      </c>
      <c r="J115" s="45">
        <v>0</v>
      </c>
      <c r="K115" s="45">
        <v>0</v>
      </c>
      <c r="L115" s="45">
        <v>0</v>
      </c>
      <c r="M115" s="45">
        <v>0</v>
      </c>
      <c r="N115" s="45">
        <f t="shared" si="11"/>
        <v>224851</v>
      </c>
      <c r="O115" s="46">
        <f t="shared" si="14"/>
        <v>0.15562022880951226</v>
      </c>
      <c r="P115" s="9"/>
    </row>
    <row r="116" spans="1:16">
      <c r="A116" s="11"/>
      <c r="B116" s="24">
        <v>348.92200000000003</v>
      </c>
      <c r="C116" s="19" t="s">
        <v>225</v>
      </c>
      <c r="D116" s="45">
        <v>0</v>
      </c>
      <c r="E116" s="45">
        <v>224851</v>
      </c>
      <c r="F116" s="45">
        <v>0</v>
      </c>
      <c r="G116" s="45">
        <v>0</v>
      </c>
      <c r="H116" s="45">
        <v>0</v>
      </c>
      <c r="I116" s="45">
        <v>0</v>
      </c>
      <c r="J116" s="45">
        <v>0</v>
      </c>
      <c r="K116" s="45">
        <v>0</v>
      </c>
      <c r="L116" s="45">
        <v>0</v>
      </c>
      <c r="M116" s="45">
        <v>0</v>
      </c>
      <c r="N116" s="45">
        <f t="shared" si="11"/>
        <v>224851</v>
      </c>
      <c r="O116" s="46">
        <f t="shared" si="14"/>
        <v>0.15562022880951226</v>
      </c>
      <c r="P116" s="9"/>
    </row>
    <row r="117" spans="1:16">
      <c r="A117" s="11"/>
      <c r="B117" s="24">
        <v>348.923</v>
      </c>
      <c r="C117" s="19" t="s">
        <v>226</v>
      </c>
      <c r="D117" s="45">
        <v>0</v>
      </c>
      <c r="E117" s="45">
        <v>224851</v>
      </c>
      <c r="F117" s="45">
        <v>0</v>
      </c>
      <c r="G117" s="45">
        <v>0</v>
      </c>
      <c r="H117" s="45">
        <v>0</v>
      </c>
      <c r="I117" s="45">
        <v>0</v>
      </c>
      <c r="J117" s="45">
        <v>0</v>
      </c>
      <c r="K117" s="45">
        <v>0</v>
      </c>
      <c r="L117" s="45">
        <v>0</v>
      </c>
      <c r="M117" s="45">
        <v>0</v>
      </c>
      <c r="N117" s="45">
        <f t="shared" si="11"/>
        <v>224851</v>
      </c>
      <c r="O117" s="46">
        <f t="shared" si="14"/>
        <v>0.15562022880951226</v>
      </c>
      <c r="P117" s="9"/>
    </row>
    <row r="118" spans="1:16">
      <c r="A118" s="11"/>
      <c r="B118" s="24">
        <v>348.92399999999998</v>
      </c>
      <c r="C118" s="19" t="s">
        <v>227</v>
      </c>
      <c r="D118" s="45">
        <v>0</v>
      </c>
      <c r="E118" s="45">
        <v>224851</v>
      </c>
      <c r="F118" s="45">
        <v>0</v>
      </c>
      <c r="G118" s="45">
        <v>0</v>
      </c>
      <c r="H118" s="45">
        <v>0</v>
      </c>
      <c r="I118" s="45">
        <v>0</v>
      </c>
      <c r="J118" s="45">
        <v>0</v>
      </c>
      <c r="K118" s="45">
        <v>0</v>
      </c>
      <c r="L118" s="45">
        <v>0</v>
      </c>
      <c r="M118" s="45">
        <v>0</v>
      </c>
      <c r="N118" s="45">
        <f t="shared" si="11"/>
        <v>224851</v>
      </c>
      <c r="O118" s="46">
        <f t="shared" si="14"/>
        <v>0.15562022880951226</v>
      </c>
      <c r="P118" s="9"/>
    </row>
    <row r="119" spans="1:16">
      <c r="A119" s="11"/>
      <c r="B119" s="24">
        <v>348.93</v>
      </c>
      <c r="C119" s="19" t="s">
        <v>228</v>
      </c>
      <c r="D119" s="45">
        <v>4440</v>
      </c>
      <c r="E119" s="45">
        <v>2843857</v>
      </c>
      <c r="F119" s="45">
        <v>0</v>
      </c>
      <c r="G119" s="45">
        <v>0</v>
      </c>
      <c r="H119" s="45">
        <v>0</v>
      </c>
      <c r="I119" s="45">
        <v>0</v>
      </c>
      <c r="J119" s="45">
        <v>0</v>
      </c>
      <c r="K119" s="45">
        <v>0</v>
      </c>
      <c r="L119" s="45">
        <v>0</v>
      </c>
      <c r="M119" s="45">
        <v>0</v>
      </c>
      <c r="N119" s="45">
        <f t="shared" si="11"/>
        <v>2848297</v>
      </c>
      <c r="O119" s="46">
        <f t="shared" si="14"/>
        <v>1.9713171427187222</v>
      </c>
      <c r="P119" s="9"/>
    </row>
    <row r="120" spans="1:16">
      <c r="A120" s="11"/>
      <c r="B120" s="24">
        <v>348.93200000000002</v>
      </c>
      <c r="C120" s="19" t="s">
        <v>229</v>
      </c>
      <c r="D120" s="45">
        <v>48332</v>
      </c>
      <c r="E120" s="45">
        <v>0</v>
      </c>
      <c r="F120" s="45">
        <v>0</v>
      </c>
      <c r="G120" s="45">
        <v>0</v>
      </c>
      <c r="H120" s="45">
        <v>0</v>
      </c>
      <c r="I120" s="45">
        <v>0</v>
      </c>
      <c r="J120" s="45">
        <v>0</v>
      </c>
      <c r="K120" s="45">
        <v>0</v>
      </c>
      <c r="L120" s="45">
        <v>0</v>
      </c>
      <c r="M120" s="45">
        <v>0</v>
      </c>
      <c r="N120" s="45">
        <f t="shared" si="11"/>
        <v>48332</v>
      </c>
      <c r="O120" s="46">
        <f t="shared" si="14"/>
        <v>3.3450760276010988E-2</v>
      </c>
      <c r="P120" s="9"/>
    </row>
    <row r="121" spans="1:16">
      <c r="A121" s="11"/>
      <c r="B121" s="24">
        <v>348.99</v>
      </c>
      <c r="C121" s="19" t="s">
        <v>231</v>
      </c>
      <c r="D121" s="45">
        <v>0</v>
      </c>
      <c r="E121" s="45">
        <v>2508204</v>
      </c>
      <c r="F121" s="45">
        <v>0</v>
      </c>
      <c r="G121" s="45">
        <v>0</v>
      </c>
      <c r="H121" s="45">
        <v>0</v>
      </c>
      <c r="I121" s="45">
        <v>0</v>
      </c>
      <c r="J121" s="45">
        <v>0</v>
      </c>
      <c r="K121" s="45">
        <v>0</v>
      </c>
      <c r="L121" s="45">
        <v>0</v>
      </c>
      <c r="M121" s="45">
        <v>0</v>
      </c>
      <c r="N121" s="45">
        <f t="shared" si="11"/>
        <v>2508204</v>
      </c>
      <c r="O121" s="46">
        <f t="shared" si="14"/>
        <v>1.7359374891858783</v>
      </c>
      <c r="P121" s="9"/>
    </row>
    <row r="122" spans="1:16">
      <c r="A122" s="11"/>
      <c r="B122" s="24">
        <v>349</v>
      </c>
      <c r="C122" s="19" t="s">
        <v>1</v>
      </c>
      <c r="D122" s="45">
        <v>21830679</v>
      </c>
      <c r="E122" s="45">
        <v>124501</v>
      </c>
      <c r="F122" s="45">
        <v>0</v>
      </c>
      <c r="G122" s="45">
        <v>0</v>
      </c>
      <c r="H122" s="45">
        <v>0</v>
      </c>
      <c r="I122" s="45">
        <v>0</v>
      </c>
      <c r="J122" s="45">
        <v>0</v>
      </c>
      <c r="K122" s="45">
        <v>0</v>
      </c>
      <c r="L122" s="45">
        <v>0</v>
      </c>
      <c r="M122" s="45">
        <v>0</v>
      </c>
      <c r="N122" s="45">
        <f t="shared" si="11"/>
        <v>21955180</v>
      </c>
      <c r="O122" s="46">
        <f t="shared" si="14"/>
        <v>15.195263241675722</v>
      </c>
      <c r="P122" s="9"/>
    </row>
    <row r="123" spans="1:16" ht="15.75">
      <c r="A123" s="28" t="s">
        <v>76</v>
      </c>
      <c r="B123" s="29"/>
      <c r="C123" s="30"/>
      <c r="D123" s="31">
        <f t="shared" ref="D123:M123" si="15">SUM(D124:D133)</f>
        <v>7528333</v>
      </c>
      <c r="E123" s="31">
        <f t="shared" si="15"/>
        <v>6298302</v>
      </c>
      <c r="F123" s="31">
        <f t="shared" si="15"/>
        <v>0</v>
      </c>
      <c r="G123" s="31">
        <f t="shared" si="15"/>
        <v>0</v>
      </c>
      <c r="H123" s="31">
        <f t="shared" si="15"/>
        <v>0</v>
      </c>
      <c r="I123" s="31">
        <f t="shared" si="15"/>
        <v>-486</v>
      </c>
      <c r="J123" s="31">
        <f t="shared" si="15"/>
        <v>-40</v>
      </c>
      <c r="K123" s="31">
        <f t="shared" si="15"/>
        <v>0</v>
      </c>
      <c r="L123" s="31">
        <f t="shared" si="15"/>
        <v>0</v>
      </c>
      <c r="M123" s="31">
        <f t="shared" si="15"/>
        <v>0</v>
      </c>
      <c r="N123" s="31">
        <f>SUM(D123:M123)</f>
        <v>13826109</v>
      </c>
      <c r="O123" s="44">
        <f t="shared" si="14"/>
        <v>9.5691024105974929</v>
      </c>
      <c r="P123" s="10"/>
    </row>
    <row r="124" spans="1:16">
      <c r="A124" s="12"/>
      <c r="B124" s="38">
        <v>351.1</v>
      </c>
      <c r="C124" s="20" t="s">
        <v>134</v>
      </c>
      <c r="D124" s="45">
        <v>0</v>
      </c>
      <c r="E124" s="45">
        <v>470754</v>
      </c>
      <c r="F124" s="45">
        <v>0</v>
      </c>
      <c r="G124" s="45">
        <v>0</v>
      </c>
      <c r="H124" s="45">
        <v>0</v>
      </c>
      <c r="I124" s="45">
        <v>0</v>
      </c>
      <c r="J124" s="45">
        <v>0</v>
      </c>
      <c r="K124" s="45">
        <v>0</v>
      </c>
      <c r="L124" s="45">
        <v>0</v>
      </c>
      <c r="M124" s="45">
        <v>0</v>
      </c>
      <c r="N124" s="45">
        <f>SUM(D124:M124)</f>
        <v>470754</v>
      </c>
      <c r="O124" s="46">
        <f t="shared" si="14"/>
        <v>0.32581062656155918</v>
      </c>
      <c r="P124" s="9"/>
    </row>
    <row r="125" spans="1:16">
      <c r="A125" s="12"/>
      <c r="B125" s="38">
        <v>351.2</v>
      </c>
      <c r="C125" s="20" t="s">
        <v>136</v>
      </c>
      <c r="D125" s="45">
        <v>0</v>
      </c>
      <c r="E125" s="45">
        <v>219165</v>
      </c>
      <c r="F125" s="45">
        <v>0</v>
      </c>
      <c r="G125" s="45">
        <v>0</v>
      </c>
      <c r="H125" s="45">
        <v>0</v>
      </c>
      <c r="I125" s="45">
        <v>0</v>
      </c>
      <c r="J125" s="45">
        <v>0</v>
      </c>
      <c r="K125" s="45">
        <v>0</v>
      </c>
      <c r="L125" s="45">
        <v>0</v>
      </c>
      <c r="M125" s="45">
        <v>0</v>
      </c>
      <c r="N125" s="45">
        <f t="shared" ref="N125:N133" si="16">SUM(D125:M125)</f>
        <v>219165</v>
      </c>
      <c r="O125" s="46">
        <f t="shared" si="14"/>
        <v>0.15168492667160369</v>
      </c>
      <c r="P125" s="9"/>
    </row>
    <row r="126" spans="1:16">
      <c r="A126" s="12"/>
      <c r="B126" s="38">
        <v>351.5</v>
      </c>
      <c r="C126" s="20" t="s">
        <v>137</v>
      </c>
      <c r="D126" s="45">
        <v>712482</v>
      </c>
      <c r="E126" s="45">
        <v>3345324</v>
      </c>
      <c r="F126" s="45">
        <v>0</v>
      </c>
      <c r="G126" s="45">
        <v>0</v>
      </c>
      <c r="H126" s="45">
        <v>0</v>
      </c>
      <c r="I126" s="45">
        <v>0</v>
      </c>
      <c r="J126" s="45">
        <v>0</v>
      </c>
      <c r="K126" s="45">
        <v>0</v>
      </c>
      <c r="L126" s="45">
        <v>0</v>
      </c>
      <c r="M126" s="45">
        <v>0</v>
      </c>
      <c r="N126" s="45">
        <f t="shared" si="16"/>
        <v>4057806</v>
      </c>
      <c r="O126" s="46">
        <f t="shared" si="14"/>
        <v>2.8084229030985486</v>
      </c>
      <c r="P126" s="9"/>
    </row>
    <row r="127" spans="1:16">
      <c r="A127" s="12"/>
      <c r="B127" s="38">
        <v>351.6</v>
      </c>
      <c r="C127" s="20" t="s">
        <v>277</v>
      </c>
      <c r="D127" s="45">
        <v>0</v>
      </c>
      <c r="E127" s="45">
        <v>192</v>
      </c>
      <c r="F127" s="45">
        <v>0</v>
      </c>
      <c r="G127" s="45">
        <v>0</v>
      </c>
      <c r="H127" s="45">
        <v>0</v>
      </c>
      <c r="I127" s="45">
        <v>0</v>
      </c>
      <c r="J127" s="45">
        <v>0</v>
      </c>
      <c r="K127" s="45">
        <v>0</v>
      </c>
      <c r="L127" s="45">
        <v>0</v>
      </c>
      <c r="M127" s="45">
        <v>0</v>
      </c>
      <c r="N127" s="45">
        <f t="shared" si="16"/>
        <v>192</v>
      </c>
      <c r="O127" s="46">
        <f t="shared" si="14"/>
        <v>1.3288392727373396E-4</v>
      </c>
      <c r="P127" s="9"/>
    </row>
    <row r="128" spans="1:16">
      <c r="A128" s="12"/>
      <c r="B128" s="38">
        <v>351.7</v>
      </c>
      <c r="C128" s="20" t="s">
        <v>232</v>
      </c>
      <c r="D128" s="45">
        <v>0</v>
      </c>
      <c r="E128" s="45">
        <v>599793</v>
      </c>
      <c r="F128" s="45">
        <v>0</v>
      </c>
      <c r="G128" s="45">
        <v>0</v>
      </c>
      <c r="H128" s="45">
        <v>0</v>
      </c>
      <c r="I128" s="45">
        <v>-566</v>
      </c>
      <c r="J128" s="45">
        <v>0</v>
      </c>
      <c r="K128" s="45">
        <v>0</v>
      </c>
      <c r="L128" s="45">
        <v>0</v>
      </c>
      <c r="M128" s="45">
        <v>0</v>
      </c>
      <c r="N128" s="45">
        <f t="shared" si="16"/>
        <v>599227</v>
      </c>
      <c r="O128" s="46">
        <f t="shared" si="14"/>
        <v>0.41472727650238428</v>
      </c>
      <c r="P128" s="9"/>
    </row>
    <row r="129" spans="1:16">
      <c r="A129" s="12"/>
      <c r="B129" s="38">
        <v>351.9</v>
      </c>
      <c r="C129" s="20" t="s">
        <v>234</v>
      </c>
      <c r="D129" s="45">
        <v>0</v>
      </c>
      <c r="E129" s="45">
        <v>874766</v>
      </c>
      <c r="F129" s="45">
        <v>0</v>
      </c>
      <c r="G129" s="45">
        <v>0</v>
      </c>
      <c r="H129" s="45">
        <v>0</v>
      </c>
      <c r="I129" s="45">
        <v>0</v>
      </c>
      <c r="J129" s="45">
        <v>0</v>
      </c>
      <c r="K129" s="45">
        <v>0</v>
      </c>
      <c r="L129" s="45">
        <v>0</v>
      </c>
      <c r="M129" s="45">
        <v>0</v>
      </c>
      <c r="N129" s="45">
        <f t="shared" si="16"/>
        <v>874766</v>
      </c>
      <c r="O129" s="46">
        <f t="shared" si="14"/>
        <v>0.60542886211216229</v>
      </c>
      <c r="P129" s="9"/>
    </row>
    <row r="130" spans="1:16">
      <c r="A130" s="12"/>
      <c r="B130" s="38">
        <v>352</v>
      </c>
      <c r="C130" s="20" t="s">
        <v>138</v>
      </c>
      <c r="D130" s="45">
        <v>0</v>
      </c>
      <c r="E130" s="45">
        <v>48866</v>
      </c>
      <c r="F130" s="45">
        <v>0</v>
      </c>
      <c r="G130" s="45">
        <v>0</v>
      </c>
      <c r="H130" s="45">
        <v>0</v>
      </c>
      <c r="I130" s="45">
        <v>0</v>
      </c>
      <c r="J130" s="45">
        <v>0</v>
      </c>
      <c r="K130" s="45">
        <v>0</v>
      </c>
      <c r="L130" s="45">
        <v>0</v>
      </c>
      <c r="M130" s="45">
        <v>0</v>
      </c>
      <c r="N130" s="45">
        <f t="shared" si="16"/>
        <v>48866</v>
      </c>
      <c r="O130" s="46">
        <f t="shared" si="14"/>
        <v>3.3820343698741061E-2</v>
      </c>
      <c r="P130" s="9"/>
    </row>
    <row r="131" spans="1:16">
      <c r="A131" s="12"/>
      <c r="B131" s="38">
        <v>353</v>
      </c>
      <c r="C131" s="20" t="s">
        <v>139</v>
      </c>
      <c r="D131" s="45">
        <v>0</v>
      </c>
      <c r="E131" s="45">
        <v>140572</v>
      </c>
      <c r="F131" s="45">
        <v>0</v>
      </c>
      <c r="G131" s="45">
        <v>0</v>
      </c>
      <c r="H131" s="45">
        <v>0</v>
      </c>
      <c r="I131" s="45">
        <v>0</v>
      </c>
      <c r="J131" s="45">
        <v>0</v>
      </c>
      <c r="K131" s="45">
        <v>0</v>
      </c>
      <c r="L131" s="45">
        <v>0</v>
      </c>
      <c r="M131" s="45">
        <v>0</v>
      </c>
      <c r="N131" s="45">
        <f t="shared" si="16"/>
        <v>140572</v>
      </c>
      <c r="O131" s="46">
        <f t="shared" si="14"/>
        <v>9.729041367043402E-2</v>
      </c>
      <c r="P131" s="9"/>
    </row>
    <row r="132" spans="1:16">
      <c r="A132" s="12"/>
      <c r="B132" s="38">
        <v>354</v>
      </c>
      <c r="C132" s="20" t="s">
        <v>140</v>
      </c>
      <c r="D132" s="45">
        <v>6782443</v>
      </c>
      <c r="E132" s="45">
        <v>63310</v>
      </c>
      <c r="F132" s="45">
        <v>0</v>
      </c>
      <c r="G132" s="45">
        <v>0</v>
      </c>
      <c r="H132" s="45">
        <v>0</v>
      </c>
      <c r="I132" s="45">
        <v>80</v>
      </c>
      <c r="J132" s="45">
        <v>-40</v>
      </c>
      <c r="K132" s="45">
        <v>0</v>
      </c>
      <c r="L132" s="45">
        <v>0</v>
      </c>
      <c r="M132" s="45">
        <v>0</v>
      </c>
      <c r="N132" s="45">
        <f t="shared" si="16"/>
        <v>6845793</v>
      </c>
      <c r="O132" s="46">
        <f t="shared" si="14"/>
        <v>4.737999266369985</v>
      </c>
      <c r="P132" s="9"/>
    </row>
    <row r="133" spans="1:16">
      <c r="A133" s="12"/>
      <c r="B133" s="38">
        <v>359</v>
      </c>
      <c r="C133" s="20" t="s">
        <v>141</v>
      </c>
      <c r="D133" s="45">
        <v>33408</v>
      </c>
      <c r="E133" s="45">
        <v>535560</v>
      </c>
      <c r="F133" s="45">
        <v>0</v>
      </c>
      <c r="G133" s="45">
        <v>0</v>
      </c>
      <c r="H133" s="45">
        <v>0</v>
      </c>
      <c r="I133" s="45">
        <v>0</v>
      </c>
      <c r="J133" s="45">
        <v>0</v>
      </c>
      <c r="K133" s="45">
        <v>0</v>
      </c>
      <c r="L133" s="45">
        <v>0</v>
      </c>
      <c r="M133" s="45">
        <v>0</v>
      </c>
      <c r="N133" s="45">
        <f t="shared" si="16"/>
        <v>568968</v>
      </c>
      <c r="O133" s="46">
        <f t="shared" ref="O133:O150" si="17">(N133/O$152)</f>
        <v>0.39378490798480142</v>
      </c>
      <c r="P133" s="9"/>
    </row>
    <row r="134" spans="1:16" ht="15.75">
      <c r="A134" s="28" t="s">
        <v>5</v>
      </c>
      <c r="B134" s="29"/>
      <c r="C134" s="30"/>
      <c r="D134" s="31">
        <f t="shared" ref="D134:M134" si="18">SUM(D135:D142)</f>
        <v>35213118</v>
      </c>
      <c r="E134" s="31">
        <f t="shared" si="18"/>
        <v>46547966</v>
      </c>
      <c r="F134" s="31">
        <f t="shared" si="18"/>
        <v>2458830</v>
      </c>
      <c r="G134" s="31">
        <f t="shared" si="18"/>
        <v>2202806</v>
      </c>
      <c r="H134" s="31">
        <f t="shared" si="18"/>
        <v>0</v>
      </c>
      <c r="I134" s="31">
        <f t="shared" si="18"/>
        <v>1674745</v>
      </c>
      <c r="J134" s="31">
        <f t="shared" si="18"/>
        <v>905050</v>
      </c>
      <c r="K134" s="31">
        <f t="shared" si="18"/>
        <v>0</v>
      </c>
      <c r="L134" s="31">
        <f t="shared" si="18"/>
        <v>0</v>
      </c>
      <c r="M134" s="31">
        <f t="shared" si="18"/>
        <v>727699</v>
      </c>
      <c r="N134" s="31">
        <f>SUM(D134:M134)</f>
        <v>89730214</v>
      </c>
      <c r="O134" s="44">
        <f t="shared" si="17"/>
        <v>62.102620997044717</v>
      </c>
      <c r="P134" s="10"/>
    </row>
    <row r="135" spans="1:16">
      <c r="A135" s="11"/>
      <c r="B135" s="24">
        <v>361.1</v>
      </c>
      <c r="C135" s="19" t="s">
        <v>142</v>
      </c>
      <c r="D135" s="45">
        <v>23286204</v>
      </c>
      <c r="E135" s="45">
        <v>22500388</v>
      </c>
      <c r="F135" s="45">
        <v>1822278</v>
      </c>
      <c r="G135" s="45">
        <v>1579582</v>
      </c>
      <c r="H135" s="45">
        <v>0</v>
      </c>
      <c r="I135" s="45">
        <v>0</v>
      </c>
      <c r="J135" s="45">
        <v>0</v>
      </c>
      <c r="K135" s="45">
        <v>0</v>
      </c>
      <c r="L135" s="45">
        <v>0</v>
      </c>
      <c r="M135" s="45">
        <v>242913</v>
      </c>
      <c r="N135" s="45">
        <f>SUM(D135:M135)</f>
        <v>49431365</v>
      </c>
      <c r="O135" s="46">
        <f t="shared" si="17"/>
        <v>34.21163495677812</v>
      </c>
      <c r="P135" s="9"/>
    </row>
    <row r="136" spans="1:16">
      <c r="A136" s="11"/>
      <c r="B136" s="24">
        <v>361.4</v>
      </c>
      <c r="C136" s="19" t="s">
        <v>261</v>
      </c>
      <c r="D136" s="45">
        <v>0</v>
      </c>
      <c r="E136" s="45">
        <v>0</v>
      </c>
      <c r="F136" s="45">
        <v>0</v>
      </c>
      <c r="G136" s="45">
        <v>0</v>
      </c>
      <c r="H136" s="45">
        <v>0</v>
      </c>
      <c r="I136" s="45">
        <v>0</v>
      </c>
      <c r="J136" s="45">
        <v>0</v>
      </c>
      <c r="K136" s="45">
        <v>0</v>
      </c>
      <c r="L136" s="45">
        <v>0</v>
      </c>
      <c r="M136" s="45">
        <v>483484</v>
      </c>
      <c r="N136" s="45">
        <f t="shared" ref="N136:N142" si="19">SUM(D136:M136)</f>
        <v>483484</v>
      </c>
      <c r="O136" s="46">
        <f t="shared" si="17"/>
        <v>0.33462110778132287</v>
      </c>
      <c r="P136" s="9"/>
    </row>
    <row r="137" spans="1:16">
      <c r="A137" s="11"/>
      <c r="B137" s="24">
        <v>362</v>
      </c>
      <c r="C137" s="19" t="s">
        <v>145</v>
      </c>
      <c r="D137" s="45">
        <v>1532307</v>
      </c>
      <c r="E137" s="45">
        <v>74629</v>
      </c>
      <c r="F137" s="45">
        <v>636552</v>
      </c>
      <c r="G137" s="45">
        <v>153994</v>
      </c>
      <c r="H137" s="45">
        <v>0</v>
      </c>
      <c r="I137" s="45">
        <v>271717</v>
      </c>
      <c r="J137" s="45">
        <v>0</v>
      </c>
      <c r="K137" s="45">
        <v>0</v>
      </c>
      <c r="L137" s="45">
        <v>0</v>
      </c>
      <c r="M137" s="45">
        <v>0</v>
      </c>
      <c r="N137" s="45">
        <f t="shared" si="19"/>
        <v>2669199</v>
      </c>
      <c r="O137" s="46">
        <f t="shared" si="17"/>
        <v>1.8473627385162679</v>
      </c>
      <c r="P137" s="9"/>
    </row>
    <row r="138" spans="1:16">
      <c r="A138" s="11"/>
      <c r="B138" s="24">
        <v>364</v>
      </c>
      <c r="C138" s="19" t="s">
        <v>237</v>
      </c>
      <c r="D138" s="45">
        <v>7664901</v>
      </c>
      <c r="E138" s="45">
        <v>2120258</v>
      </c>
      <c r="F138" s="45">
        <v>0</v>
      </c>
      <c r="G138" s="45">
        <v>441874</v>
      </c>
      <c r="H138" s="45">
        <v>0</v>
      </c>
      <c r="I138" s="45">
        <v>545304</v>
      </c>
      <c r="J138" s="45">
        <v>877015</v>
      </c>
      <c r="K138" s="45">
        <v>0</v>
      </c>
      <c r="L138" s="45">
        <v>0</v>
      </c>
      <c r="M138" s="45">
        <v>0</v>
      </c>
      <c r="N138" s="45">
        <f t="shared" si="19"/>
        <v>11649352</v>
      </c>
      <c r="O138" s="46">
        <f t="shared" si="17"/>
        <v>8.062560645594413</v>
      </c>
      <c r="P138" s="9"/>
    </row>
    <row r="139" spans="1:16">
      <c r="A139" s="11"/>
      <c r="B139" s="24">
        <v>365</v>
      </c>
      <c r="C139" s="19" t="s">
        <v>238</v>
      </c>
      <c r="D139" s="45">
        <v>146918</v>
      </c>
      <c r="E139" s="45">
        <v>20001</v>
      </c>
      <c r="F139" s="45">
        <v>0</v>
      </c>
      <c r="G139" s="45">
        <v>0</v>
      </c>
      <c r="H139" s="45">
        <v>0</v>
      </c>
      <c r="I139" s="45">
        <v>247826</v>
      </c>
      <c r="J139" s="45">
        <v>13219</v>
      </c>
      <c r="K139" s="45">
        <v>0</v>
      </c>
      <c r="L139" s="45">
        <v>0</v>
      </c>
      <c r="M139" s="45">
        <v>0</v>
      </c>
      <c r="N139" s="45">
        <f t="shared" si="19"/>
        <v>427964</v>
      </c>
      <c r="O139" s="46">
        <f t="shared" si="17"/>
        <v>0.2961955054780015</v>
      </c>
      <c r="P139" s="9"/>
    </row>
    <row r="140" spans="1:16">
      <c r="A140" s="11"/>
      <c r="B140" s="24">
        <v>366</v>
      </c>
      <c r="C140" s="19" t="s">
        <v>148</v>
      </c>
      <c r="D140" s="45">
        <v>125937</v>
      </c>
      <c r="E140" s="45">
        <v>165690</v>
      </c>
      <c r="F140" s="45">
        <v>0</v>
      </c>
      <c r="G140" s="45">
        <v>23375</v>
      </c>
      <c r="H140" s="45">
        <v>0</v>
      </c>
      <c r="I140" s="45">
        <v>0</v>
      </c>
      <c r="J140" s="45">
        <v>0</v>
      </c>
      <c r="K140" s="45">
        <v>0</v>
      </c>
      <c r="L140" s="45">
        <v>0</v>
      </c>
      <c r="M140" s="45">
        <v>1000</v>
      </c>
      <c r="N140" s="45">
        <f t="shared" si="19"/>
        <v>316002</v>
      </c>
      <c r="O140" s="46">
        <f t="shared" si="17"/>
        <v>0.21870618117892959</v>
      </c>
      <c r="P140" s="9"/>
    </row>
    <row r="141" spans="1:16">
      <c r="A141" s="11"/>
      <c r="B141" s="24">
        <v>369.3</v>
      </c>
      <c r="C141" s="19" t="s">
        <v>150</v>
      </c>
      <c r="D141" s="45">
        <v>117392</v>
      </c>
      <c r="E141" s="45">
        <v>816685</v>
      </c>
      <c r="F141" s="45">
        <v>0</v>
      </c>
      <c r="G141" s="45">
        <v>0</v>
      </c>
      <c r="H141" s="45">
        <v>0</v>
      </c>
      <c r="I141" s="45">
        <v>0</v>
      </c>
      <c r="J141" s="45">
        <v>0</v>
      </c>
      <c r="K141" s="45">
        <v>0</v>
      </c>
      <c r="L141" s="45">
        <v>0</v>
      </c>
      <c r="M141" s="45">
        <v>0</v>
      </c>
      <c r="N141" s="45">
        <f t="shared" si="19"/>
        <v>934077</v>
      </c>
      <c r="O141" s="46">
        <f t="shared" si="17"/>
        <v>0.64647822987535208</v>
      </c>
      <c r="P141" s="9"/>
    </row>
    <row r="142" spans="1:16">
      <c r="A142" s="11"/>
      <c r="B142" s="24">
        <v>369.9</v>
      </c>
      <c r="C142" s="19" t="s">
        <v>151</v>
      </c>
      <c r="D142" s="45">
        <v>2339459</v>
      </c>
      <c r="E142" s="45">
        <v>20850315</v>
      </c>
      <c r="F142" s="45">
        <v>0</v>
      </c>
      <c r="G142" s="45">
        <v>3981</v>
      </c>
      <c r="H142" s="45">
        <v>0</v>
      </c>
      <c r="I142" s="45">
        <v>609898</v>
      </c>
      <c r="J142" s="45">
        <v>14816</v>
      </c>
      <c r="K142" s="45">
        <v>0</v>
      </c>
      <c r="L142" s="45">
        <v>0</v>
      </c>
      <c r="M142" s="45">
        <v>302</v>
      </c>
      <c r="N142" s="45">
        <f t="shared" si="19"/>
        <v>23818771</v>
      </c>
      <c r="O142" s="46">
        <f t="shared" si="17"/>
        <v>16.48506163184231</v>
      </c>
      <c r="P142" s="9"/>
    </row>
    <row r="143" spans="1:16" ht="15.75">
      <c r="A143" s="28" t="s">
        <v>77</v>
      </c>
      <c r="B143" s="29"/>
      <c r="C143" s="30"/>
      <c r="D143" s="31">
        <f t="shared" ref="D143:M143" si="20">SUM(D144:D149)</f>
        <v>673376002</v>
      </c>
      <c r="E143" s="31">
        <f t="shared" si="20"/>
        <v>144859845</v>
      </c>
      <c r="F143" s="31">
        <f t="shared" si="20"/>
        <v>327041602</v>
      </c>
      <c r="G143" s="31">
        <f t="shared" si="20"/>
        <v>254410383</v>
      </c>
      <c r="H143" s="31">
        <f t="shared" si="20"/>
        <v>0</v>
      </c>
      <c r="I143" s="31">
        <f t="shared" si="20"/>
        <v>102834091</v>
      </c>
      <c r="J143" s="31">
        <f t="shared" si="20"/>
        <v>18279032</v>
      </c>
      <c r="K143" s="31">
        <f t="shared" si="20"/>
        <v>0</v>
      </c>
      <c r="L143" s="31">
        <f t="shared" si="20"/>
        <v>0</v>
      </c>
      <c r="M143" s="31">
        <f t="shared" si="20"/>
        <v>0</v>
      </c>
      <c r="N143" s="31">
        <f t="shared" ref="N143:N150" si="21">SUM(D143:M143)</f>
        <v>1520800955</v>
      </c>
      <c r="O143" s="44">
        <f t="shared" si="17"/>
        <v>1052.552101573152</v>
      </c>
      <c r="P143" s="9"/>
    </row>
    <row r="144" spans="1:16">
      <c r="A144" s="11"/>
      <c r="B144" s="24">
        <v>381</v>
      </c>
      <c r="C144" s="19" t="s">
        <v>152</v>
      </c>
      <c r="D144" s="45">
        <v>673376002</v>
      </c>
      <c r="E144" s="45">
        <v>132139605</v>
      </c>
      <c r="F144" s="45">
        <v>67406472</v>
      </c>
      <c r="G144" s="45">
        <v>241839613</v>
      </c>
      <c r="H144" s="45">
        <v>0</v>
      </c>
      <c r="I144" s="45">
        <v>0</v>
      </c>
      <c r="J144" s="45">
        <v>8596188</v>
      </c>
      <c r="K144" s="45">
        <v>0</v>
      </c>
      <c r="L144" s="45">
        <v>0</v>
      </c>
      <c r="M144" s="45">
        <v>0</v>
      </c>
      <c r="N144" s="45">
        <f t="shared" si="21"/>
        <v>1123357880</v>
      </c>
      <c r="O144" s="46">
        <f t="shared" si="17"/>
        <v>777.48024389737486</v>
      </c>
      <c r="P144" s="9"/>
    </row>
    <row r="145" spans="1:119">
      <c r="A145" s="11"/>
      <c r="B145" s="24">
        <v>384</v>
      </c>
      <c r="C145" s="19" t="s">
        <v>153</v>
      </c>
      <c r="D145" s="45">
        <v>0</v>
      </c>
      <c r="E145" s="45">
        <v>12600000</v>
      </c>
      <c r="F145" s="45">
        <v>259635130</v>
      </c>
      <c r="G145" s="45">
        <v>12100000</v>
      </c>
      <c r="H145" s="45">
        <v>0</v>
      </c>
      <c r="I145" s="45">
        <v>0</v>
      </c>
      <c r="J145" s="45">
        <v>0</v>
      </c>
      <c r="K145" s="45">
        <v>0</v>
      </c>
      <c r="L145" s="45">
        <v>0</v>
      </c>
      <c r="M145" s="45">
        <v>0</v>
      </c>
      <c r="N145" s="45">
        <f t="shared" si="21"/>
        <v>284335130</v>
      </c>
      <c r="O145" s="46">
        <f t="shared" si="17"/>
        <v>196.7894205014984</v>
      </c>
      <c r="P145" s="9"/>
    </row>
    <row r="146" spans="1:119">
      <c r="A146" s="11"/>
      <c r="B146" s="24">
        <v>389.1</v>
      </c>
      <c r="C146" s="19" t="s">
        <v>239</v>
      </c>
      <c r="D146" s="45">
        <v>0</v>
      </c>
      <c r="E146" s="45">
        <v>0</v>
      </c>
      <c r="F146" s="45">
        <v>0</v>
      </c>
      <c r="G146" s="45">
        <v>0</v>
      </c>
      <c r="H146" s="45">
        <v>0</v>
      </c>
      <c r="I146" s="45">
        <v>27769834</v>
      </c>
      <c r="J146" s="45">
        <v>9256100</v>
      </c>
      <c r="K146" s="45">
        <v>0</v>
      </c>
      <c r="L146" s="45">
        <v>0</v>
      </c>
      <c r="M146" s="45">
        <v>0</v>
      </c>
      <c r="N146" s="45">
        <f t="shared" si="21"/>
        <v>37025934</v>
      </c>
      <c r="O146" s="46">
        <f t="shared" si="17"/>
        <v>25.625789171344135</v>
      </c>
      <c r="P146" s="9"/>
    </row>
    <row r="147" spans="1:119">
      <c r="A147" s="11"/>
      <c r="B147" s="24">
        <v>389.2</v>
      </c>
      <c r="C147" s="19" t="s">
        <v>271</v>
      </c>
      <c r="D147" s="45">
        <v>0</v>
      </c>
      <c r="E147" s="45">
        <v>0</v>
      </c>
      <c r="F147" s="45">
        <v>0</v>
      </c>
      <c r="G147" s="45">
        <v>470770</v>
      </c>
      <c r="H147" s="45">
        <v>0</v>
      </c>
      <c r="I147" s="45">
        <v>0</v>
      </c>
      <c r="J147" s="45">
        <v>0</v>
      </c>
      <c r="K147" s="45">
        <v>0</v>
      </c>
      <c r="L147" s="45">
        <v>0</v>
      </c>
      <c r="M147" s="45">
        <v>0</v>
      </c>
      <c r="N147" s="45">
        <f t="shared" si="21"/>
        <v>470770</v>
      </c>
      <c r="O147" s="46">
        <f t="shared" si="17"/>
        <v>0.32582170022216533</v>
      </c>
      <c r="P147" s="9"/>
    </row>
    <row r="148" spans="1:119">
      <c r="A148" s="11"/>
      <c r="B148" s="24">
        <v>389.4</v>
      </c>
      <c r="C148" s="19" t="s">
        <v>240</v>
      </c>
      <c r="D148" s="45">
        <v>0</v>
      </c>
      <c r="E148" s="45">
        <v>0</v>
      </c>
      <c r="F148" s="45">
        <v>0</v>
      </c>
      <c r="G148" s="45">
        <v>0</v>
      </c>
      <c r="H148" s="45">
        <v>0</v>
      </c>
      <c r="I148" s="45">
        <v>71130596</v>
      </c>
      <c r="J148" s="45">
        <v>0</v>
      </c>
      <c r="K148" s="45">
        <v>0</v>
      </c>
      <c r="L148" s="45">
        <v>0</v>
      </c>
      <c r="M148" s="45">
        <v>0</v>
      </c>
      <c r="N148" s="45">
        <f t="shared" si="21"/>
        <v>71130596</v>
      </c>
      <c r="O148" s="46">
        <f t="shared" si="17"/>
        <v>49.229754926048713</v>
      </c>
      <c r="P148" s="9"/>
    </row>
    <row r="149" spans="1:119" ht="15.75" thickBot="1">
      <c r="A149" s="11"/>
      <c r="B149" s="24">
        <v>389.9</v>
      </c>
      <c r="C149" s="19" t="s">
        <v>241</v>
      </c>
      <c r="D149" s="45">
        <v>0</v>
      </c>
      <c r="E149" s="45">
        <v>120240</v>
      </c>
      <c r="F149" s="45">
        <v>0</v>
      </c>
      <c r="G149" s="45">
        <v>0</v>
      </c>
      <c r="H149" s="45">
        <v>0</v>
      </c>
      <c r="I149" s="45">
        <v>3933661</v>
      </c>
      <c r="J149" s="45">
        <v>426744</v>
      </c>
      <c r="K149" s="45">
        <v>0</v>
      </c>
      <c r="L149" s="45">
        <v>0</v>
      </c>
      <c r="M149" s="45">
        <v>0</v>
      </c>
      <c r="N149" s="45">
        <f t="shared" si="21"/>
        <v>4480645</v>
      </c>
      <c r="O149" s="46">
        <f t="shared" si="17"/>
        <v>3.1010713766636444</v>
      </c>
      <c r="P149" s="9"/>
    </row>
    <row r="150" spans="1:119" ht="16.5" thickBot="1">
      <c r="A150" s="13" t="s">
        <v>114</v>
      </c>
      <c r="B150" s="22"/>
      <c r="C150" s="21"/>
      <c r="D150" s="14">
        <f t="shared" ref="D150:M150" si="22">SUM(D5,D13,D26,D67,D123,D134,D143)</f>
        <v>1663781534</v>
      </c>
      <c r="E150" s="14">
        <f t="shared" si="22"/>
        <v>1084643733</v>
      </c>
      <c r="F150" s="14">
        <f t="shared" si="22"/>
        <v>336878060</v>
      </c>
      <c r="G150" s="14">
        <f t="shared" si="22"/>
        <v>257083959</v>
      </c>
      <c r="H150" s="14">
        <f t="shared" si="22"/>
        <v>0</v>
      </c>
      <c r="I150" s="14">
        <f t="shared" si="22"/>
        <v>479302267</v>
      </c>
      <c r="J150" s="14">
        <f t="shared" si="22"/>
        <v>221471385</v>
      </c>
      <c r="K150" s="14">
        <f t="shared" si="22"/>
        <v>0</v>
      </c>
      <c r="L150" s="14">
        <f t="shared" si="22"/>
        <v>0</v>
      </c>
      <c r="M150" s="14">
        <f t="shared" si="22"/>
        <v>9179484</v>
      </c>
      <c r="N150" s="14">
        <f t="shared" si="21"/>
        <v>4052340422</v>
      </c>
      <c r="O150" s="37">
        <f t="shared" si="17"/>
        <v>2804.6401558617731</v>
      </c>
      <c r="P150" s="6"/>
      <c r="Q150" s="2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</row>
    <row r="151" spans="1:119">
      <c r="A151" s="15"/>
      <c r="B151" s="17"/>
      <c r="C151" s="17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8"/>
    </row>
    <row r="152" spans="1:119">
      <c r="A152" s="39"/>
      <c r="B152" s="40"/>
      <c r="C152" s="40"/>
      <c r="D152" s="41"/>
      <c r="E152" s="41"/>
      <c r="F152" s="41"/>
      <c r="G152" s="41"/>
      <c r="H152" s="41"/>
      <c r="I152" s="41"/>
      <c r="J152" s="41"/>
      <c r="K152" s="41"/>
      <c r="L152" s="48" t="s">
        <v>290</v>
      </c>
      <c r="M152" s="48"/>
      <c r="N152" s="48"/>
      <c r="O152" s="42">
        <v>1444870</v>
      </c>
    </row>
    <row r="153" spans="1:119">
      <c r="A153" s="49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1"/>
    </row>
    <row r="154" spans="1:119" ht="15.75" customHeight="1" thickBot="1">
      <c r="A154" s="52" t="s">
        <v>178</v>
      </c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4"/>
    </row>
  </sheetData>
  <mergeCells count="10">
    <mergeCell ref="L152:N152"/>
    <mergeCell ref="A153:O153"/>
    <mergeCell ref="A154:O154"/>
    <mergeCell ref="A1:O1"/>
    <mergeCell ref="A2:O2"/>
    <mergeCell ref="A3:C4"/>
    <mergeCell ref="D3:H3"/>
    <mergeCell ref="I3:J3"/>
    <mergeCell ref="K3:L3"/>
    <mergeCell ref="O3:O4"/>
  </mergeCells>
  <printOptions horizontalCentered="1"/>
  <pageMargins left="0.5" right="0.5" top="0.5" bottom="0.5" header="0.3" footer="0.3"/>
  <pageSetup paperSize="5" scale="55" fitToHeight="0" orientation="landscape" r:id="rId1"/>
  <headerFooter>
    <oddFooter>&amp;L&amp;14Office of Economic and Demographic Research&amp;R&amp;14Page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EC160"/>
  <sheetViews>
    <sheetView workbookViewId="0">
      <selection sqref="A1:O1"/>
    </sheetView>
  </sheetViews>
  <sheetFormatPr defaultColWidth="9.77734375" defaultRowHeight="15"/>
  <cols>
    <col min="1" max="1" width="1.77734375" style="3" customWidth="1"/>
    <col min="2" max="2" width="6.77734375" style="3" customWidth="1"/>
    <col min="3" max="3" width="60.77734375" style="3" customWidth="1"/>
    <col min="4" max="5" width="16.77734375" style="4" customWidth="1"/>
    <col min="6" max="7" width="15.77734375" style="4" customWidth="1"/>
    <col min="8" max="8" width="13.77734375" style="4" customWidth="1"/>
    <col min="9" max="10" width="15.77734375" style="4" customWidth="1"/>
    <col min="11" max="13" width="13.77734375" style="4" customWidth="1"/>
    <col min="14" max="14" width="16.77734375" style="4" customWidth="1"/>
    <col min="15" max="15" width="13.77734375" style="3" customWidth="1"/>
    <col min="16" max="16" width="9.77734375" style="3" customWidth="1"/>
    <col min="17" max="17" width="9.77734375" style="3"/>
  </cols>
  <sheetData>
    <row r="1" spans="1:133" ht="27.75">
      <c r="A1" s="55" t="s">
        <v>165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7"/>
      <c r="P1" s="7"/>
      <c r="Q1"/>
    </row>
    <row r="2" spans="1:133" ht="24" thickBot="1">
      <c r="A2" s="58" t="s">
        <v>286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60"/>
      <c r="P2" s="7"/>
      <c r="Q2"/>
    </row>
    <row r="3" spans="1:133" ht="18" customHeight="1">
      <c r="A3" s="61" t="s">
        <v>158</v>
      </c>
      <c r="B3" s="62"/>
      <c r="C3" s="63"/>
      <c r="D3" s="67" t="s">
        <v>71</v>
      </c>
      <c r="E3" s="68"/>
      <c r="F3" s="68"/>
      <c r="G3" s="68"/>
      <c r="H3" s="69"/>
      <c r="I3" s="67" t="s">
        <v>72</v>
      </c>
      <c r="J3" s="69"/>
      <c r="K3" s="67" t="s">
        <v>74</v>
      </c>
      <c r="L3" s="69"/>
      <c r="M3" s="35"/>
      <c r="N3" s="36"/>
      <c r="O3" s="70" t="s">
        <v>163</v>
      </c>
      <c r="P3" s="5"/>
      <c r="Q3"/>
    </row>
    <row r="4" spans="1:133" ht="32.25" customHeight="1" thickBot="1">
      <c r="A4" s="64"/>
      <c r="B4" s="65"/>
      <c r="C4" s="66"/>
      <c r="D4" s="33" t="s">
        <v>6</v>
      </c>
      <c r="E4" s="33" t="s">
        <v>159</v>
      </c>
      <c r="F4" s="33" t="s">
        <v>160</v>
      </c>
      <c r="G4" s="33" t="s">
        <v>161</v>
      </c>
      <c r="H4" s="33" t="s">
        <v>7</v>
      </c>
      <c r="I4" s="33" t="s">
        <v>8</v>
      </c>
      <c r="J4" s="34" t="s">
        <v>162</v>
      </c>
      <c r="K4" s="34" t="s">
        <v>9</v>
      </c>
      <c r="L4" s="34" t="s">
        <v>10</v>
      </c>
      <c r="M4" s="34" t="s">
        <v>11</v>
      </c>
      <c r="N4" s="34" t="s">
        <v>73</v>
      </c>
      <c r="O4" s="71"/>
      <c r="P4" s="8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</row>
    <row r="5" spans="1:133" ht="15.75">
      <c r="A5" s="23" t="s">
        <v>2</v>
      </c>
      <c r="B5" s="25"/>
      <c r="C5" s="25"/>
      <c r="D5" s="26">
        <f t="shared" ref="D5:M5" si="0">SUM(D6:D12)</f>
        <v>698165338</v>
      </c>
      <c r="E5" s="26">
        <f t="shared" si="0"/>
        <v>400718808</v>
      </c>
      <c r="F5" s="26">
        <f t="shared" si="0"/>
        <v>6353999</v>
      </c>
      <c r="G5" s="26">
        <f t="shared" si="0"/>
        <v>0</v>
      </c>
      <c r="H5" s="26">
        <f t="shared" si="0"/>
        <v>0</v>
      </c>
      <c r="I5" s="26">
        <f t="shared" si="0"/>
        <v>0</v>
      </c>
      <c r="J5" s="26">
        <f t="shared" si="0"/>
        <v>0</v>
      </c>
      <c r="K5" s="26">
        <f t="shared" si="0"/>
        <v>0</v>
      </c>
      <c r="L5" s="26">
        <f t="shared" si="0"/>
        <v>0</v>
      </c>
      <c r="M5" s="26">
        <f t="shared" si="0"/>
        <v>0</v>
      </c>
      <c r="N5" s="27">
        <f>SUM(D5:M5)</f>
        <v>1105238145</v>
      </c>
      <c r="O5" s="32">
        <f t="shared" ref="O5:O36" si="1">(N5/O$158)</f>
        <v>784.48888253230973</v>
      </c>
      <c r="P5" s="6"/>
    </row>
    <row r="6" spans="1:133">
      <c r="A6" s="11"/>
      <c r="B6" s="24">
        <v>311</v>
      </c>
      <c r="C6" s="19" t="s">
        <v>3</v>
      </c>
      <c r="D6" s="45">
        <v>696636703</v>
      </c>
      <c r="E6" s="45">
        <v>44753531</v>
      </c>
      <c r="F6" s="45">
        <v>6353999</v>
      </c>
      <c r="G6" s="45">
        <v>0</v>
      </c>
      <c r="H6" s="45">
        <v>0</v>
      </c>
      <c r="I6" s="45">
        <v>0</v>
      </c>
      <c r="J6" s="45">
        <v>0</v>
      </c>
      <c r="K6" s="45">
        <v>0</v>
      </c>
      <c r="L6" s="45">
        <v>0</v>
      </c>
      <c r="M6" s="45">
        <v>0</v>
      </c>
      <c r="N6" s="45">
        <f>SUM(D6:M6)</f>
        <v>747744233</v>
      </c>
      <c r="O6" s="46">
        <f t="shared" si="1"/>
        <v>530.74266430258706</v>
      </c>
      <c r="P6" s="9"/>
    </row>
    <row r="7" spans="1:133">
      <c r="A7" s="11"/>
      <c r="B7" s="24">
        <v>312.10000000000002</v>
      </c>
      <c r="C7" s="19" t="s">
        <v>12</v>
      </c>
      <c r="D7" s="45">
        <v>0</v>
      </c>
      <c r="E7" s="45">
        <v>33629434</v>
      </c>
      <c r="F7" s="45">
        <v>0</v>
      </c>
      <c r="G7" s="45">
        <v>0</v>
      </c>
      <c r="H7" s="45">
        <v>0</v>
      </c>
      <c r="I7" s="45">
        <v>0</v>
      </c>
      <c r="J7" s="45">
        <v>0</v>
      </c>
      <c r="K7" s="45">
        <v>0</v>
      </c>
      <c r="L7" s="45">
        <v>0</v>
      </c>
      <c r="M7" s="45">
        <v>0</v>
      </c>
      <c r="N7" s="45">
        <f t="shared" ref="N7:N12" si="2">SUM(D7:M7)</f>
        <v>33629434</v>
      </c>
      <c r="O7" s="46">
        <f t="shared" si="1"/>
        <v>23.869893758375543</v>
      </c>
      <c r="P7" s="9"/>
    </row>
    <row r="8" spans="1:133">
      <c r="A8" s="11"/>
      <c r="B8" s="24">
        <v>312.3</v>
      </c>
      <c r="C8" s="19" t="s">
        <v>13</v>
      </c>
      <c r="D8" s="45">
        <v>0</v>
      </c>
      <c r="E8" s="45">
        <v>7438117</v>
      </c>
      <c r="F8" s="45">
        <v>0</v>
      </c>
      <c r="G8" s="45">
        <v>0</v>
      </c>
      <c r="H8" s="45">
        <v>0</v>
      </c>
      <c r="I8" s="45">
        <v>0</v>
      </c>
      <c r="J8" s="45">
        <v>0</v>
      </c>
      <c r="K8" s="45">
        <v>0</v>
      </c>
      <c r="L8" s="45">
        <v>0</v>
      </c>
      <c r="M8" s="45">
        <v>0</v>
      </c>
      <c r="N8" s="45">
        <f t="shared" si="2"/>
        <v>7438117</v>
      </c>
      <c r="O8" s="46">
        <f t="shared" si="1"/>
        <v>5.2795138494560154</v>
      </c>
      <c r="P8" s="9"/>
    </row>
    <row r="9" spans="1:133">
      <c r="A9" s="11"/>
      <c r="B9" s="24">
        <v>312.41000000000003</v>
      </c>
      <c r="C9" s="19" t="s">
        <v>14</v>
      </c>
      <c r="D9" s="45">
        <v>0</v>
      </c>
      <c r="E9" s="45">
        <v>28236382</v>
      </c>
      <c r="F9" s="45">
        <v>0</v>
      </c>
      <c r="G9" s="45">
        <v>0</v>
      </c>
      <c r="H9" s="45">
        <v>0</v>
      </c>
      <c r="I9" s="45">
        <v>0</v>
      </c>
      <c r="J9" s="45">
        <v>0</v>
      </c>
      <c r="K9" s="45">
        <v>0</v>
      </c>
      <c r="L9" s="45">
        <v>0</v>
      </c>
      <c r="M9" s="45">
        <v>0</v>
      </c>
      <c r="N9" s="45">
        <f t="shared" si="2"/>
        <v>28236382</v>
      </c>
      <c r="O9" s="46">
        <f t="shared" si="1"/>
        <v>20.041950110159675</v>
      </c>
      <c r="P9" s="9"/>
    </row>
    <row r="10" spans="1:133">
      <c r="A10" s="11"/>
      <c r="B10" s="24">
        <v>312.60000000000002</v>
      </c>
      <c r="C10" s="19" t="s">
        <v>15</v>
      </c>
      <c r="D10" s="45">
        <v>0</v>
      </c>
      <c r="E10" s="45">
        <v>265793797</v>
      </c>
      <c r="F10" s="45">
        <v>0</v>
      </c>
      <c r="G10" s="45">
        <v>0</v>
      </c>
      <c r="H10" s="45">
        <v>0</v>
      </c>
      <c r="I10" s="45">
        <v>0</v>
      </c>
      <c r="J10" s="45">
        <v>0</v>
      </c>
      <c r="K10" s="45">
        <v>0</v>
      </c>
      <c r="L10" s="45">
        <v>0</v>
      </c>
      <c r="M10" s="45">
        <v>0</v>
      </c>
      <c r="N10" s="45">
        <f t="shared" si="2"/>
        <v>265793797</v>
      </c>
      <c r="O10" s="46">
        <f t="shared" si="1"/>
        <v>188.65823599722899</v>
      </c>
      <c r="P10" s="9"/>
    </row>
    <row r="11" spans="1:133">
      <c r="A11" s="11"/>
      <c r="B11" s="24">
        <v>315</v>
      </c>
      <c r="C11" s="19" t="s">
        <v>202</v>
      </c>
      <c r="D11" s="45">
        <v>0</v>
      </c>
      <c r="E11" s="45">
        <v>20708472</v>
      </c>
      <c r="F11" s="45">
        <v>0</v>
      </c>
      <c r="G11" s="45">
        <v>0</v>
      </c>
      <c r="H11" s="45">
        <v>0</v>
      </c>
      <c r="I11" s="45">
        <v>0</v>
      </c>
      <c r="J11" s="45">
        <v>0</v>
      </c>
      <c r="K11" s="45">
        <v>0</v>
      </c>
      <c r="L11" s="45">
        <v>0</v>
      </c>
      <c r="M11" s="45">
        <v>0</v>
      </c>
      <c r="N11" s="45">
        <f t="shared" si="2"/>
        <v>20708472</v>
      </c>
      <c r="O11" s="46">
        <f t="shared" si="1"/>
        <v>14.698701932904809</v>
      </c>
      <c r="P11" s="9"/>
    </row>
    <row r="12" spans="1:133">
      <c r="A12" s="11"/>
      <c r="B12" s="24">
        <v>316</v>
      </c>
      <c r="C12" s="19" t="s">
        <v>203</v>
      </c>
      <c r="D12" s="45">
        <v>1528635</v>
      </c>
      <c r="E12" s="45">
        <v>159075</v>
      </c>
      <c r="F12" s="45">
        <v>0</v>
      </c>
      <c r="G12" s="45">
        <v>0</v>
      </c>
      <c r="H12" s="45">
        <v>0</v>
      </c>
      <c r="I12" s="45">
        <v>0</v>
      </c>
      <c r="J12" s="45">
        <v>0</v>
      </c>
      <c r="K12" s="45">
        <v>0</v>
      </c>
      <c r="L12" s="45">
        <v>0</v>
      </c>
      <c r="M12" s="45">
        <v>0</v>
      </c>
      <c r="N12" s="45">
        <f t="shared" si="2"/>
        <v>1687710</v>
      </c>
      <c r="O12" s="46">
        <f t="shared" si="1"/>
        <v>1.197922581597656</v>
      </c>
      <c r="P12" s="9"/>
    </row>
    <row r="13" spans="1:133" ht="15.75">
      <c r="A13" s="28" t="s">
        <v>18</v>
      </c>
      <c r="B13" s="29"/>
      <c r="C13" s="30"/>
      <c r="D13" s="31">
        <f t="shared" ref="D13:M13" si="3">SUM(D14:D26)</f>
        <v>2656860</v>
      </c>
      <c r="E13" s="31">
        <f t="shared" si="3"/>
        <v>90040948</v>
      </c>
      <c r="F13" s="31">
        <f t="shared" si="3"/>
        <v>0</v>
      </c>
      <c r="G13" s="31">
        <f t="shared" si="3"/>
        <v>0</v>
      </c>
      <c r="H13" s="31">
        <f t="shared" si="3"/>
        <v>0</v>
      </c>
      <c r="I13" s="31">
        <f t="shared" si="3"/>
        <v>55839</v>
      </c>
      <c r="J13" s="31">
        <f t="shared" si="3"/>
        <v>0</v>
      </c>
      <c r="K13" s="31">
        <f t="shared" si="3"/>
        <v>0</v>
      </c>
      <c r="L13" s="31">
        <f t="shared" si="3"/>
        <v>0</v>
      </c>
      <c r="M13" s="31">
        <f t="shared" si="3"/>
        <v>0</v>
      </c>
      <c r="N13" s="43">
        <f>SUM(D13:M13)</f>
        <v>92753647</v>
      </c>
      <c r="O13" s="44">
        <f t="shared" si="1"/>
        <v>65.835770521498176</v>
      </c>
      <c r="P13" s="10"/>
    </row>
    <row r="14" spans="1:133">
      <c r="A14" s="11"/>
      <c r="B14" s="24">
        <v>322</v>
      </c>
      <c r="C14" s="19" t="s">
        <v>0</v>
      </c>
      <c r="D14" s="45">
        <v>0</v>
      </c>
      <c r="E14" s="45">
        <v>18329683</v>
      </c>
      <c r="F14" s="45">
        <v>0</v>
      </c>
      <c r="G14" s="45">
        <v>0</v>
      </c>
      <c r="H14" s="45">
        <v>0</v>
      </c>
      <c r="I14" s="45">
        <v>0</v>
      </c>
      <c r="J14" s="45">
        <v>0</v>
      </c>
      <c r="K14" s="45">
        <v>0</v>
      </c>
      <c r="L14" s="45">
        <v>0</v>
      </c>
      <c r="M14" s="45">
        <v>0</v>
      </c>
      <c r="N14" s="45">
        <f>SUM(D14:M14)</f>
        <v>18329683</v>
      </c>
      <c r="O14" s="46">
        <f t="shared" si="1"/>
        <v>13.010257200127194</v>
      </c>
      <c r="P14" s="9"/>
    </row>
    <row r="15" spans="1:133">
      <c r="A15" s="11"/>
      <c r="B15" s="24">
        <v>323.3</v>
      </c>
      <c r="C15" s="19" t="s">
        <v>19</v>
      </c>
      <c r="D15" s="45">
        <v>3062</v>
      </c>
      <c r="E15" s="45">
        <v>0</v>
      </c>
      <c r="F15" s="45">
        <v>0</v>
      </c>
      <c r="G15" s="45">
        <v>0</v>
      </c>
      <c r="H15" s="45">
        <v>0</v>
      </c>
      <c r="I15" s="45">
        <v>0</v>
      </c>
      <c r="J15" s="45">
        <v>0</v>
      </c>
      <c r="K15" s="45">
        <v>0</v>
      </c>
      <c r="L15" s="45">
        <v>0</v>
      </c>
      <c r="M15" s="45">
        <v>0</v>
      </c>
      <c r="N15" s="45">
        <f t="shared" ref="N15:N24" si="4">SUM(D15:M15)</f>
        <v>3062</v>
      </c>
      <c r="O15" s="46">
        <f t="shared" si="1"/>
        <v>2.1733822427146979E-3</v>
      </c>
      <c r="P15" s="9"/>
    </row>
    <row r="16" spans="1:133">
      <c r="A16" s="11"/>
      <c r="B16" s="24">
        <v>323.60000000000002</v>
      </c>
      <c r="C16" s="19" t="s">
        <v>20</v>
      </c>
      <c r="D16" s="45">
        <v>7321</v>
      </c>
      <c r="E16" s="45">
        <v>0</v>
      </c>
      <c r="F16" s="45">
        <v>0</v>
      </c>
      <c r="G16" s="45">
        <v>0</v>
      </c>
      <c r="H16" s="45">
        <v>0</v>
      </c>
      <c r="I16" s="45">
        <v>0</v>
      </c>
      <c r="J16" s="45">
        <v>0</v>
      </c>
      <c r="K16" s="45">
        <v>0</v>
      </c>
      <c r="L16" s="45">
        <v>0</v>
      </c>
      <c r="M16" s="45">
        <v>0</v>
      </c>
      <c r="N16" s="45">
        <f t="shared" si="4"/>
        <v>7321</v>
      </c>
      <c r="O16" s="46">
        <f t="shared" si="1"/>
        <v>5.1963851727349127E-3</v>
      </c>
      <c r="P16" s="9"/>
    </row>
    <row r="17" spans="1:16">
      <c r="A17" s="11"/>
      <c r="B17" s="24">
        <v>324.11</v>
      </c>
      <c r="C17" s="19" t="s">
        <v>21</v>
      </c>
      <c r="D17" s="45">
        <v>0</v>
      </c>
      <c r="E17" s="45">
        <v>290327</v>
      </c>
      <c r="F17" s="45">
        <v>0</v>
      </c>
      <c r="G17" s="45">
        <v>0</v>
      </c>
      <c r="H17" s="45">
        <v>0</v>
      </c>
      <c r="I17" s="45">
        <v>0</v>
      </c>
      <c r="J17" s="45">
        <v>0</v>
      </c>
      <c r="K17" s="45">
        <v>0</v>
      </c>
      <c r="L17" s="45">
        <v>0</v>
      </c>
      <c r="M17" s="45">
        <v>0</v>
      </c>
      <c r="N17" s="45">
        <f t="shared" si="4"/>
        <v>290327</v>
      </c>
      <c r="O17" s="46">
        <f t="shared" si="1"/>
        <v>0.20607170032025801</v>
      </c>
      <c r="P17" s="9"/>
    </row>
    <row r="18" spans="1:16">
      <c r="A18" s="11"/>
      <c r="B18" s="24">
        <v>324.12</v>
      </c>
      <c r="C18" s="19" t="s">
        <v>180</v>
      </c>
      <c r="D18" s="45">
        <v>0</v>
      </c>
      <c r="E18" s="45">
        <v>85390</v>
      </c>
      <c r="F18" s="45">
        <v>0</v>
      </c>
      <c r="G18" s="45">
        <v>0</v>
      </c>
      <c r="H18" s="45">
        <v>0</v>
      </c>
      <c r="I18" s="45">
        <v>0</v>
      </c>
      <c r="J18" s="45">
        <v>0</v>
      </c>
      <c r="K18" s="45">
        <v>0</v>
      </c>
      <c r="L18" s="45">
        <v>0</v>
      </c>
      <c r="M18" s="45">
        <v>0</v>
      </c>
      <c r="N18" s="45">
        <f t="shared" si="4"/>
        <v>85390</v>
      </c>
      <c r="O18" s="46">
        <f t="shared" si="1"/>
        <v>6.0609114861335092E-2</v>
      </c>
      <c r="P18" s="9"/>
    </row>
    <row r="19" spans="1:16">
      <c r="A19" s="11"/>
      <c r="B19" s="24">
        <v>324.20999999999998</v>
      </c>
      <c r="C19" s="19" t="s">
        <v>22</v>
      </c>
      <c r="D19" s="45">
        <v>0</v>
      </c>
      <c r="E19" s="45">
        <v>34238792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5">
        <v>0</v>
      </c>
      <c r="L19" s="45">
        <v>0</v>
      </c>
      <c r="M19" s="45">
        <v>0</v>
      </c>
      <c r="N19" s="45">
        <f t="shared" si="4"/>
        <v>34238792</v>
      </c>
      <c r="O19" s="46">
        <f t="shared" si="1"/>
        <v>24.302411020510142</v>
      </c>
      <c r="P19" s="9"/>
    </row>
    <row r="20" spans="1:16">
      <c r="A20" s="11"/>
      <c r="B20" s="24">
        <v>324.31</v>
      </c>
      <c r="C20" s="19" t="s">
        <v>23</v>
      </c>
      <c r="D20" s="45">
        <v>0</v>
      </c>
      <c r="E20" s="45">
        <v>4548846</v>
      </c>
      <c r="F20" s="45">
        <v>0</v>
      </c>
      <c r="G20" s="45">
        <v>0</v>
      </c>
      <c r="H20" s="45">
        <v>0</v>
      </c>
      <c r="I20" s="45">
        <v>0</v>
      </c>
      <c r="J20" s="45">
        <v>0</v>
      </c>
      <c r="K20" s="45">
        <v>0</v>
      </c>
      <c r="L20" s="45">
        <v>0</v>
      </c>
      <c r="M20" s="45">
        <v>0</v>
      </c>
      <c r="N20" s="45">
        <f t="shared" si="4"/>
        <v>4548846</v>
      </c>
      <c r="O20" s="46">
        <f t="shared" si="1"/>
        <v>3.2287332205237695</v>
      </c>
      <c r="P20" s="9"/>
    </row>
    <row r="21" spans="1:16">
      <c r="A21" s="11"/>
      <c r="B21" s="24">
        <v>324.32</v>
      </c>
      <c r="C21" s="19" t="s">
        <v>167</v>
      </c>
      <c r="D21" s="45">
        <v>0</v>
      </c>
      <c r="E21" s="45">
        <v>911463</v>
      </c>
      <c r="F21" s="45">
        <v>0</v>
      </c>
      <c r="G21" s="45">
        <v>0</v>
      </c>
      <c r="H21" s="45">
        <v>0</v>
      </c>
      <c r="I21" s="45">
        <v>0</v>
      </c>
      <c r="J21" s="45">
        <v>0</v>
      </c>
      <c r="K21" s="45">
        <v>0</v>
      </c>
      <c r="L21" s="45">
        <v>0</v>
      </c>
      <c r="M21" s="45">
        <v>0</v>
      </c>
      <c r="N21" s="45">
        <f t="shared" si="4"/>
        <v>911463</v>
      </c>
      <c r="O21" s="46">
        <f t="shared" si="1"/>
        <v>0.6469488893179185</v>
      </c>
      <c r="P21" s="9"/>
    </row>
    <row r="22" spans="1:16">
      <c r="A22" s="11"/>
      <c r="B22" s="24">
        <v>324.61</v>
      </c>
      <c r="C22" s="19" t="s">
        <v>24</v>
      </c>
      <c r="D22" s="45">
        <v>0</v>
      </c>
      <c r="E22" s="45">
        <v>2245148</v>
      </c>
      <c r="F22" s="45">
        <v>0</v>
      </c>
      <c r="G22" s="45">
        <v>0</v>
      </c>
      <c r="H22" s="45">
        <v>0</v>
      </c>
      <c r="I22" s="45">
        <v>0</v>
      </c>
      <c r="J22" s="45">
        <v>0</v>
      </c>
      <c r="K22" s="45">
        <v>0</v>
      </c>
      <c r="L22" s="45">
        <v>0</v>
      </c>
      <c r="M22" s="45">
        <v>0</v>
      </c>
      <c r="N22" s="45">
        <f t="shared" si="4"/>
        <v>2245148</v>
      </c>
      <c r="O22" s="46">
        <f t="shared" si="1"/>
        <v>1.5935874576964135</v>
      </c>
      <c r="P22" s="9"/>
    </row>
    <row r="23" spans="1:16">
      <c r="A23" s="11"/>
      <c r="B23" s="24">
        <v>325.10000000000002</v>
      </c>
      <c r="C23" s="19" t="s">
        <v>25</v>
      </c>
      <c r="D23" s="45">
        <v>0</v>
      </c>
      <c r="E23" s="45">
        <v>19118954</v>
      </c>
      <c r="F23" s="45">
        <v>0</v>
      </c>
      <c r="G23" s="45">
        <v>0</v>
      </c>
      <c r="H23" s="45">
        <v>0</v>
      </c>
      <c r="I23" s="45">
        <v>55839</v>
      </c>
      <c r="J23" s="45">
        <v>0</v>
      </c>
      <c r="K23" s="45">
        <v>0</v>
      </c>
      <c r="L23" s="45">
        <v>0</v>
      </c>
      <c r="M23" s="45">
        <v>0</v>
      </c>
      <c r="N23" s="45">
        <f t="shared" si="4"/>
        <v>19174793</v>
      </c>
      <c r="O23" s="46">
        <f t="shared" si="1"/>
        <v>13.610109279533013</v>
      </c>
      <c r="P23" s="9"/>
    </row>
    <row r="24" spans="1:16">
      <c r="A24" s="11"/>
      <c r="B24" s="24">
        <v>325.2</v>
      </c>
      <c r="C24" s="19" t="s">
        <v>26</v>
      </c>
      <c r="D24" s="45">
        <v>0</v>
      </c>
      <c r="E24" s="45">
        <v>9597238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5">
        <v>0</v>
      </c>
      <c r="L24" s="45">
        <v>0</v>
      </c>
      <c r="M24" s="45">
        <v>0</v>
      </c>
      <c r="N24" s="45">
        <f t="shared" si="4"/>
        <v>9597238</v>
      </c>
      <c r="O24" s="46">
        <f t="shared" si="1"/>
        <v>6.8120400549662703</v>
      </c>
      <c r="P24" s="9"/>
    </row>
    <row r="25" spans="1:16">
      <c r="A25" s="11"/>
      <c r="B25" s="24">
        <v>329</v>
      </c>
      <c r="C25" s="19" t="s">
        <v>27</v>
      </c>
      <c r="D25" s="45">
        <v>592230</v>
      </c>
      <c r="E25" s="45">
        <v>533502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f>SUM(D25:M25)</f>
        <v>1125732</v>
      </c>
      <c r="O25" s="46">
        <f t="shared" si="1"/>
        <v>0.79903525109591844</v>
      </c>
      <c r="P25" s="9"/>
    </row>
    <row r="26" spans="1:16">
      <c r="A26" s="11"/>
      <c r="B26" s="24">
        <v>367</v>
      </c>
      <c r="C26" s="19" t="s">
        <v>149</v>
      </c>
      <c r="D26" s="45">
        <v>2054247</v>
      </c>
      <c r="E26" s="45">
        <v>141605</v>
      </c>
      <c r="F26" s="45">
        <v>0</v>
      </c>
      <c r="G26" s="45">
        <v>0</v>
      </c>
      <c r="H26" s="45">
        <v>0</v>
      </c>
      <c r="I26" s="45">
        <v>0</v>
      </c>
      <c r="J26" s="45">
        <v>0</v>
      </c>
      <c r="K26" s="45">
        <v>0</v>
      </c>
      <c r="L26" s="45">
        <v>0</v>
      </c>
      <c r="M26" s="45">
        <v>0</v>
      </c>
      <c r="N26" s="45">
        <f>SUM(D26:M26)</f>
        <v>2195852</v>
      </c>
      <c r="O26" s="46">
        <f t="shared" si="1"/>
        <v>1.5585975651304882</v>
      </c>
      <c r="P26" s="9"/>
    </row>
    <row r="27" spans="1:16" ht="15.75">
      <c r="A27" s="28" t="s">
        <v>30</v>
      </c>
      <c r="B27" s="29"/>
      <c r="C27" s="30"/>
      <c r="D27" s="31">
        <f t="shared" ref="D27:M27" si="5">SUM(D28:D69)</f>
        <v>38350673</v>
      </c>
      <c r="E27" s="31">
        <f t="shared" si="5"/>
        <v>247502541</v>
      </c>
      <c r="F27" s="31">
        <f t="shared" si="5"/>
        <v>0</v>
      </c>
      <c r="G27" s="31">
        <f t="shared" si="5"/>
        <v>3471623</v>
      </c>
      <c r="H27" s="31">
        <f t="shared" si="5"/>
        <v>0</v>
      </c>
      <c r="I27" s="31">
        <f t="shared" si="5"/>
        <v>1521375</v>
      </c>
      <c r="J27" s="31">
        <f t="shared" si="5"/>
        <v>5260</v>
      </c>
      <c r="K27" s="31">
        <f t="shared" si="5"/>
        <v>0</v>
      </c>
      <c r="L27" s="31">
        <f t="shared" si="5"/>
        <v>0</v>
      </c>
      <c r="M27" s="31">
        <f t="shared" si="5"/>
        <v>4102287</v>
      </c>
      <c r="N27" s="43">
        <f>SUM(D27:M27)</f>
        <v>294953759</v>
      </c>
      <c r="O27" s="44">
        <f t="shared" si="1"/>
        <v>209.35573554296226</v>
      </c>
      <c r="P27" s="10"/>
    </row>
    <row r="28" spans="1:16">
      <c r="A28" s="11"/>
      <c r="B28" s="24">
        <v>331.1</v>
      </c>
      <c r="C28" s="19" t="s">
        <v>28</v>
      </c>
      <c r="D28" s="45">
        <v>0</v>
      </c>
      <c r="E28" s="45">
        <v>3734858</v>
      </c>
      <c r="F28" s="45">
        <v>0</v>
      </c>
      <c r="G28" s="45">
        <v>0</v>
      </c>
      <c r="H28" s="45">
        <v>0</v>
      </c>
      <c r="I28" s="45">
        <v>0</v>
      </c>
      <c r="J28" s="45">
        <v>0</v>
      </c>
      <c r="K28" s="45">
        <v>0</v>
      </c>
      <c r="L28" s="45">
        <v>0</v>
      </c>
      <c r="M28" s="45">
        <v>0</v>
      </c>
      <c r="N28" s="45">
        <f>SUM(D28:M28)</f>
        <v>3734858</v>
      </c>
      <c r="O28" s="46">
        <f t="shared" si="1"/>
        <v>2.6509712789878939</v>
      </c>
      <c r="P28" s="9"/>
    </row>
    <row r="29" spans="1:16">
      <c r="A29" s="11"/>
      <c r="B29" s="24">
        <v>331.2</v>
      </c>
      <c r="C29" s="19" t="s">
        <v>29</v>
      </c>
      <c r="D29" s="45">
        <v>1203707</v>
      </c>
      <c r="E29" s="45">
        <v>7448459</v>
      </c>
      <c r="F29" s="45">
        <v>0</v>
      </c>
      <c r="G29" s="45">
        <v>0</v>
      </c>
      <c r="H29" s="45">
        <v>0</v>
      </c>
      <c r="I29" s="45">
        <v>0</v>
      </c>
      <c r="J29" s="45">
        <v>0</v>
      </c>
      <c r="K29" s="45">
        <v>0</v>
      </c>
      <c r="L29" s="45">
        <v>0</v>
      </c>
      <c r="M29" s="45">
        <v>0</v>
      </c>
      <c r="N29" s="45">
        <f>SUM(D29:M29)</f>
        <v>8652166</v>
      </c>
      <c r="O29" s="46">
        <f t="shared" si="1"/>
        <v>6.1412357757739571</v>
      </c>
      <c r="P29" s="9"/>
    </row>
    <row r="30" spans="1:16">
      <c r="A30" s="11"/>
      <c r="B30" s="24">
        <v>331.39</v>
      </c>
      <c r="C30" s="19" t="s">
        <v>35</v>
      </c>
      <c r="D30" s="45">
        <v>0</v>
      </c>
      <c r="E30" s="45">
        <v>913837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f t="shared" ref="N30:N38" si="6">SUM(D30:M30)</f>
        <v>913837</v>
      </c>
      <c r="O30" s="46">
        <f t="shared" si="1"/>
        <v>0.64863393485815524</v>
      </c>
      <c r="P30" s="9"/>
    </row>
    <row r="31" spans="1:16">
      <c r="A31" s="11"/>
      <c r="B31" s="24">
        <v>331.49</v>
      </c>
      <c r="C31" s="19" t="s">
        <v>36</v>
      </c>
      <c r="D31" s="45">
        <v>0</v>
      </c>
      <c r="E31" s="45">
        <v>2913879</v>
      </c>
      <c r="F31" s="45">
        <v>0</v>
      </c>
      <c r="G31" s="45">
        <v>0</v>
      </c>
      <c r="H31" s="45">
        <v>0</v>
      </c>
      <c r="I31" s="45">
        <v>0</v>
      </c>
      <c r="J31" s="45">
        <v>0</v>
      </c>
      <c r="K31" s="45">
        <v>0</v>
      </c>
      <c r="L31" s="45">
        <v>0</v>
      </c>
      <c r="M31" s="45">
        <v>0</v>
      </c>
      <c r="N31" s="45">
        <f t="shared" si="6"/>
        <v>2913879</v>
      </c>
      <c r="O31" s="46">
        <f t="shared" si="1"/>
        <v>2.0682471835464602</v>
      </c>
      <c r="P31" s="9"/>
    </row>
    <row r="32" spans="1:16">
      <c r="A32" s="11"/>
      <c r="B32" s="24">
        <v>331.5</v>
      </c>
      <c r="C32" s="19" t="s">
        <v>31</v>
      </c>
      <c r="D32" s="45">
        <v>26797</v>
      </c>
      <c r="E32" s="45">
        <v>8588662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45">
        <f t="shared" si="6"/>
        <v>8615459</v>
      </c>
      <c r="O32" s="46">
        <f t="shared" si="1"/>
        <v>6.1151814511549727</v>
      </c>
      <c r="P32" s="9"/>
    </row>
    <row r="33" spans="1:16">
      <c r="A33" s="11"/>
      <c r="B33" s="24">
        <v>331.61</v>
      </c>
      <c r="C33" s="19" t="s">
        <v>37</v>
      </c>
      <c r="D33" s="45">
        <v>0</v>
      </c>
      <c r="E33" s="45">
        <v>3334915</v>
      </c>
      <c r="F33" s="45">
        <v>0</v>
      </c>
      <c r="G33" s="45">
        <v>0</v>
      </c>
      <c r="H33" s="45">
        <v>0</v>
      </c>
      <c r="I33" s="45">
        <v>0</v>
      </c>
      <c r="J33" s="45">
        <v>0</v>
      </c>
      <c r="K33" s="45">
        <v>0</v>
      </c>
      <c r="L33" s="45">
        <v>0</v>
      </c>
      <c r="M33" s="45">
        <v>0</v>
      </c>
      <c r="N33" s="45">
        <f t="shared" si="6"/>
        <v>3334915</v>
      </c>
      <c r="O33" s="46">
        <f t="shared" si="1"/>
        <v>2.3670950496286371</v>
      </c>
      <c r="P33" s="9"/>
    </row>
    <row r="34" spans="1:16">
      <c r="A34" s="11"/>
      <c r="B34" s="24">
        <v>331.62</v>
      </c>
      <c r="C34" s="19" t="s">
        <v>287</v>
      </c>
      <c r="D34" s="45">
        <v>0</v>
      </c>
      <c r="E34" s="45">
        <v>50224</v>
      </c>
      <c r="F34" s="45">
        <v>0</v>
      </c>
      <c r="G34" s="45">
        <v>0</v>
      </c>
      <c r="H34" s="45">
        <v>0</v>
      </c>
      <c r="I34" s="45">
        <v>0</v>
      </c>
      <c r="J34" s="45">
        <v>0</v>
      </c>
      <c r="K34" s="45">
        <v>0</v>
      </c>
      <c r="L34" s="45">
        <v>0</v>
      </c>
      <c r="M34" s="45">
        <v>0</v>
      </c>
      <c r="N34" s="45">
        <f t="shared" si="6"/>
        <v>50224</v>
      </c>
      <c r="O34" s="46">
        <f t="shared" si="1"/>
        <v>3.5648579280895813E-2</v>
      </c>
      <c r="P34" s="9"/>
    </row>
    <row r="35" spans="1:16">
      <c r="A35" s="11"/>
      <c r="B35" s="24">
        <v>331.65</v>
      </c>
      <c r="C35" s="19" t="s">
        <v>38</v>
      </c>
      <c r="D35" s="45">
        <v>1062052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f t="shared" si="6"/>
        <v>1062052</v>
      </c>
      <c r="O35" s="46">
        <f t="shared" si="1"/>
        <v>0.75383571444795239</v>
      </c>
      <c r="P35" s="9"/>
    </row>
    <row r="36" spans="1:16">
      <c r="A36" s="11"/>
      <c r="B36" s="24">
        <v>331.69</v>
      </c>
      <c r="C36" s="19" t="s">
        <v>39</v>
      </c>
      <c r="D36" s="45">
        <v>0</v>
      </c>
      <c r="E36" s="45">
        <v>54321061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f t="shared" si="6"/>
        <v>54321061</v>
      </c>
      <c r="O36" s="46">
        <f t="shared" si="1"/>
        <v>38.556639249778542</v>
      </c>
      <c r="P36" s="9"/>
    </row>
    <row r="37" spans="1:16">
      <c r="A37" s="11"/>
      <c r="B37" s="24">
        <v>333</v>
      </c>
      <c r="C37" s="19" t="s">
        <v>4</v>
      </c>
      <c r="D37" s="45">
        <v>1037</v>
      </c>
      <c r="E37" s="45">
        <v>0</v>
      </c>
      <c r="F37" s="45">
        <v>0</v>
      </c>
      <c r="G37" s="45">
        <v>0</v>
      </c>
      <c r="H37" s="45">
        <v>0</v>
      </c>
      <c r="I37" s="45">
        <v>0</v>
      </c>
      <c r="J37" s="45">
        <v>0</v>
      </c>
      <c r="K37" s="45">
        <v>0</v>
      </c>
      <c r="L37" s="45">
        <v>0</v>
      </c>
      <c r="M37" s="45">
        <v>0</v>
      </c>
      <c r="N37" s="45">
        <f t="shared" si="6"/>
        <v>1037</v>
      </c>
      <c r="O37" s="46">
        <f t="shared" ref="O37:O68" si="7">(N37/O$158)</f>
        <v>7.3605401231062754E-4</v>
      </c>
      <c r="P37" s="9"/>
    </row>
    <row r="38" spans="1:16">
      <c r="A38" s="11"/>
      <c r="B38" s="24">
        <v>334.2</v>
      </c>
      <c r="C38" s="19" t="s">
        <v>33</v>
      </c>
      <c r="D38" s="45">
        <v>0</v>
      </c>
      <c r="E38" s="45">
        <v>3097206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5">
        <v>0</v>
      </c>
      <c r="L38" s="45">
        <v>0</v>
      </c>
      <c r="M38" s="45">
        <v>0</v>
      </c>
      <c r="N38" s="45">
        <f t="shared" si="6"/>
        <v>3097206</v>
      </c>
      <c r="O38" s="46">
        <f t="shared" si="7"/>
        <v>2.1983711699638859</v>
      </c>
      <c r="P38" s="9"/>
    </row>
    <row r="39" spans="1:16">
      <c r="A39" s="11"/>
      <c r="B39" s="24">
        <v>334.39</v>
      </c>
      <c r="C39" s="19" t="s">
        <v>40</v>
      </c>
      <c r="D39" s="45">
        <v>0</v>
      </c>
      <c r="E39" s="45">
        <v>2285696</v>
      </c>
      <c r="F39" s="45">
        <v>0</v>
      </c>
      <c r="G39" s="45">
        <v>3471623</v>
      </c>
      <c r="H39" s="45">
        <v>0</v>
      </c>
      <c r="I39" s="45">
        <v>1521375</v>
      </c>
      <c r="J39" s="45">
        <v>0</v>
      </c>
      <c r="K39" s="45">
        <v>0</v>
      </c>
      <c r="L39" s="45">
        <v>0</v>
      </c>
      <c r="M39" s="45">
        <v>0</v>
      </c>
      <c r="N39" s="45">
        <f t="shared" ref="N39:N63" si="8">SUM(D39:M39)</f>
        <v>7278694</v>
      </c>
      <c r="O39" s="46">
        <f t="shared" si="7"/>
        <v>5.1663567242828261</v>
      </c>
      <c r="P39" s="9"/>
    </row>
    <row r="40" spans="1:16">
      <c r="A40" s="11"/>
      <c r="B40" s="24">
        <v>334.49</v>
      </c>
      <c r="C40" s="19" t="s">
        <v>41</v>
      </c>
      <c r="D40" s="45">
        <v>0</v>
      </c>
      <c r="E40" s="45">
        <v>3842156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5">
        <v>0</v>
      </c>
      <c r="L40" s="45">
        <v>0</v>
      </c>
      <c r="M40" s="45">
        <v>0</v>
      </c>
      <c r="N40" s="45">
        <f t="shared" si="8"/>
        <v>3842156</v>
      </c>
      <c r="O40" s="46">
        <f t="shared" si="7"/>
        <v>2.7271305108229043</v>
      </c>
      <c r="P40" s="9"/>
    </row>
    <row r="41" spans="1:16">
      <c r="A41" s="11"/>
      <c r="B41" s="24">
        <v>334.5</v>
      </c>
      <c r="C41" s="19" t="s">
        <v>42</v>
      </c>
      <c r="D41" s="45">
        <v>4466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f t="shared" si="8"/>
        <v>4466</v>
      </c>
      <c r="O41" s="46">
        <f t="shared" si="7"/>
        <v>3.1699298157948533E-3</v>
      </c>
      <c r="P41" s="9"/>
    </row>
    <row r="42" spans="1:16">
      <c r="A42" s="11"/>
      <c r="B42" s="24">
        <v>334.61</v>
      </c>
      <c r="C42" s="19" t="s">
        <v>43</v>
      </c>
      <c r="D42" s="45">
        <v>0</v>
      </c>
      <c r="E42" s="45">
        <v>168100</v>
      </c>
      <c r="F42" s="45">
        <v>0</v>
      </c>
      <c r="G42" s="45">
        <v>0</v>
      </c>
      <c r="H42" s="45">
        <v>0</v>
      </c>
      <c r="I42" s="45">
        <v>0</v>
      </c>
      <c r="J42" s="45">
        <v>0</v>
      </c>
      <c r="K42" s="45">
        <v>0</v>
      </c>
      <c r="L42" s="45">
        <v>0</v>
      </c>
      <c r="M42" s="45">
        <v>0</v>
      </c>
      <c r="N42" s="45">
        <f t="shared" si="8"/>
        <v>168100</v>
      </c>
      <c r="O42" s="46">
        <f t="shared" si="7"/>
        <v>0.11931598791650579</v>
      </c>
      <c r="P42" s="9"/>
    </row>
    <row r="43" spans="1:16">
      <c r="A43" s="11"/>
      <c r="B43" s="24">
        <v>334.69</v>
      </c>
      <c r="C43" s="19" t="s">
        <v>44</v>
      </c>
      <c r="D43" s="45">
        <v>0</v>
      </c>
      <c r="E43" s="45">
        <v>-518159</v>
      </c>
      <c r="F43" s="45">
        <v>0</v>
      </c>
      <c r="G43" s="45">
        <v>0</v>
      </c>
      <c r="H43" s="45">
        <v>0</v>
      </c>
      <c r="I43" s="45">
        <v>0</v>
      </c>
      <c r="J43" s="45">
        <v>0</v>
      </c>
      <c r="K43" s="45">
        <v>0</v>
      </c>
      <c r="L43" s="45">
        <v>0</v>
      </c>
      <c r="M43" s="45">
        <v>0</v>
      </c>
      <c r="N43" s="45">
        <f t="shared" si="8"/>
        <v>-518159</v>
      </c>
      <c r="O43" s="46">
        <f t="shared" si="7"/>
        <v>-0.36778496717923093</v>
      </c>
      <c r="P43" s="9"/>
    </row>
    <row r="44" spans="1:16">
      <c r="A44" s="11"/>
      <c r="B44" s="24">
        <v>334.7</v>
      </c>
      <c r="C44" s="19" t="s">
        <v>45</v>
      </c>
      <c r="D44" s="45">
        <v>0</v>
      </c>
      <c r="E44" s="45">
        <v>1872584</v>
      </c>
      <c r="F44" s="45">
        <v>0</v>
      </c>
      <c r="G44" s="45">
        <v>0</v>
      </c>
      <c r="H44" s="45">
        <v>0</v>
      </c>
      <c r="I44" s="45">
        <v>0</v>
      </c>
      <c r="J44" s="45">
        <v>0</v>
      </c>
      <c r="K44" s="45">
        <v>0</v>
      </c>
      <c r="L44" s="45">
        <v>0</v>
      </c>
      <c r="M44" s="45">
        <v>0</v>
      </c>
      <c r="N44" s="45">
        <f t="shared" si="8"/>
        <v>1872584</v>
      </c>
      <c r="O44" s="46">
        <f t="shared" si="7"/>
        <v>1.3291446158039384</v>
      </c>
      <c r="P44" s="9"/>
    </row>
    <row r="45" spans="1:16">
      <c r="A45" s="11"/>
      <c r="B45" s="24">
        <v>334.82</v>
      </c>
      <c r="C45" s="19" t="s">
        <v>264</v>
      </c>
      <c r="D45" s="45">
        <v>0</v>
      </c>
      <c r="E45" s="45">
        <v>482720</v>
      </c>
      <c r="F45" s="45">
        <v>0</v>
      </c>
      <c r="G45" s="45">
        <v>0</v>
      </c>
      <c r="H45" s="45">
        <v>0</v>
      </c>
      <c r="I45" s="45">
        <v>0</v>
      </c>
      <c r="J45" s="45">
        <v>0</v>
      </c>
      <c r="K45" s="45">
        <v>0</v>
      </c>
      <c r="L45" s="45">
        <v>0</v>
      </c>
      <c r="M45" s="45">
        <v>0</v>
      </c>
      <c r="N45" s="45">
        <f>SUM(D45:M45)</f>
        <v>482720</v>
      </c>
      <c r="O45" s="46">
        <f t="shared" si="7"/>
        <v>0.34263065845958163</v>
      </c>
      <c r="P45" s="9"/>
    </row>
    <row r="46" spans="1:16">
      <c r="A46" s="11"/>
      <c r="B46" s="24">
        <v>334.89</v>
      </c>
      <c r="C46" s="19" t="s">
        <v>46</v>
      </c>
      <c r="D46" s="45">
        <v>0</v>
      </c>
      <c r="E46" s="45">
        <v>70289</v>
      </c>
      <c r="F46" s="45">
        <v>0</v>
      </c>
      <c r="G46" s="45">
        <v>0</v>
      </c>
      <c r="H46" s="45">
        <v>0</v>
      </c>
      <c r="I46" s="45">
        <v>0</v>
      </c>
      <c r="J46" s="45">
        <v>0</v>
      </c>
      <c r="K46" s="45">
        <v>0</v>
      </c>
      <c r="L46" s="45">
        <v>0</v>
      </c>
      <c r="M46" s="45">
        <v>0</v>
      </c>
      <c r="N46" s="45">
        <f t="shared" si="8"/>
        <v>70289</v>
      </c>
      <c r="O46" s="46">
        <f t="shared" si="7"/>
        <v>4.9890550116973673E-2</v>
      </c>
      <c r="P46" s="9"/>
    </row>
    <row r="47" spans="1:16">
      <c r="A47" s="11"/>
      <c r="B47" s="24">
        <v>334.9</v>
      </c>
      <c r="C47" s="19" t="s">
        <v>47</v>
      </c>
      <c r="D47" s="45">
        <v>0</v>
      </c>
      <c r="E47" s="45">
        <v>59165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f t="shared" si="8"/>
        <v>59165</v>
      </c>
      <c r="O47" s="46">
        <f t="shared" si="7"/>
        <v>4.1994827037953986E-2</v>
      </c>
      <c r="P47" s="9"/>
    </row>
    <row r="48" spans="1:16">
      <c r="A48" s="11"/>
      <c r="B48" s="24">
        <v>335.12</v>
      </c>
      <c r="C48" s="19" t="s">
        <v>204</v>
      </c>
      <c r="D48" s="45">
        <v>30534572</v>
      </c>
      <c r="E48" s="45">
        <v>6752474</v>
      </c>
      <c r="F48" s="45">
        <v>0</v>
      </c>
      <c r="G48" s="45">
        <v>0</v>
      </c>
      <c r="H48" s="45">
        <v>0</v>
      </c>
      <c r="I48" s="45">
        <v>0</v>
      </c>
      <c r="J48" s="45">
        <v>0</v>
      </c>
      <c r="K48" s="45">
        <v>0</v>
      </c>
      <c r="L48" s="45">
        <v>0</v>
      </c>
      <c r="M48" s="45">
        <v>0</v>
      </c>
      <c r="N48" s="45">
        <f t="shared" si="8"/>
        <v>37287046</v>
      </c>
      <c r="O48" s="46">
        <f t="shared" si="7"/>
        <v>26.466036466259339</v>
      </c>
      <c r="P48" s="9"/>
    </row>
    <row r="49" spans="1:16">
      <c r="A49" s="11"/>
      <c r="B49" s="24">
        <v>335.13</v>
      </c>
      <c r="C49" s="19" t="s">
        <v>205</v>
      </c>
      <c r="D49" s="45">
        <v>291991</v>
      </c>
      <c r="E49" s="45">
        <v>0</v>
      </c>
      <c r="F49" s="45">
        <v>0</v>
      </c>
      <c r="G49" s="45">
        <v>0</v>
      </c>
      <c r="H49" s="45">
        <v>0</v>
      </c>
      <c r="I49" s="45">
        <v>0</v>
      </c>
      <c r="J49" s="45">
        <v>0</v>
      </c>
      <c r="K49" s="45">
        <v>0</v>
      </c>
      <c r="L49" s="45">
        <v>0</v>
      </c>
      <c r="M49" s="45">
        <v>0</v>
      </c>
      <c r="N49" s="45">
        <f t="shared" si="8"/>
        <v>291991</v>
      </c>
      <c r="O49" s="46">
        <f t="shared" si="7"/>
        <v>0.20725279374020489</v>
      </c>
      <c r="P49" s="9"/>
    </row>
    <row r="50" spans="1:16">
      <c r="A50" s="11"/>
      <c r="B50" s="24">
        <v>335.14</v>
      </c>
      <c r="C50" s="19" t="s">
        <v>206</v>
      </c>
      <c r="D50" s="45">
        <v>398655</v>
      </c>
      <c r="E50" s="45">
        <v>0</v>
      </c>
      <c r="F50" s="45">
        <v>0</v>
      </c>
      <c r="G50" s="45">
        <v>0</v>
      </c>
      <c r="H50" s="45">
        <v>0</v>
      </c>
      <c r="I50" s="45">
        <v>0</v>
      </c>
      <c r="J50" s="45">
        <v>0</v>
      </c>
      <c r="K50" s="45">
        <v>0</v>
      </c>
      <c r="L50" s="45">
        <v>0</v>
      </c>
      <c r="M50" s="45">
        <v>0</v>
      </c>
      <c r="N50" s="45">
        <f t="shared" si="8"/>
        <v>398655</v>
      </c>
      <c r="O50" s="46">
        <f t="shared" si="7"/>
        <v>0.28296201762554796</v>
      </c>
      <c r="P50" s="9"/>
    </row>
    <row r="51" spans="1:16">
      <c r="A51" s="11"/>
      <c r="B51" s="24">
        <v>335.15</v>
      </c>
      <c r="C51" s="19" t="s">
        <v>207</v>
      </c>
      <c r="D51" s="45">
        <v>485622</v>
      </c>
      <c r="E51" s="45">
        <v>0</v>
      </c>
      <c r="F51" s="45">
        <v>0</v>
      </c>
      <c r="G51" s="45">
        <v>0</v>
      </c>
      <c r="H51" s="45">
        <v>0</v>
      </c>
      <c r="I51" s="45">
        <v>0</v>
      </c>
      <c r="J51" s="45">
        <v>0</v>
      </c>
      <c r="K51" s="45">
        <v>0</v>
      </c>
      <c r="L51" s="45">
        <v>0</v>
      </c>
      <c r="M51" s="45">
        <v>0</v>
      </c>
      <c r="N51" s="45">
        <f t="shared" si="8"/>
        <v>485622</v>
      </c>
      <c r="O51" s="46">
        <f t="shared" si="7"/>
        <v>0.34469047402730141</v>
      </c>
      <c r="P51" s="9"/>
    </row>
    <row r="52" spans="1:16">
      <c r="A52" s="11"/>
      <c r="B52" s="24">
        <v>335.16</v>
      </c>
      <c r="C52" s="19" t="s">
        <v>208</v>
      </c>
      <c r="D52" s="45">
        <v>3955106</v>
      </c>
      <c r="E52" s="45">
        <v>0</v>
      </c>
      <c r="F52" s="45">
        <v>0</v>
      </c>
      <c r="G52" s="45">
        <v>0</v>
      </c>
      <c r="H52" s="45">
        <v>0</v>
      </c>
      <c r="I52" s="45">
        <v>0</v>
      </c>
      <c r="J52" s="45">
        <v>0</v>
      </c>
      <c r="K52" s="45">
        <v>0</v>
      </c>
      <c r="L52" s="45">
        <v>0</v>
      </c>
      <c r="M52" s="45">
        <v>0</v>
      </c>
      <c r="N52" s="45">
        <f t="shared" si="8"/>
        <v>3955106</v>
      </c>
      <c r="O52" s="46">
        <f t="shared" si="7"/>
        <v>2.807301485452109</v>
      </c>
      <c r="P52" s="9"/>
    </row>
    <row r="53" spans="1:16">
      <c r="A53" s="11"/>
      <c r="B53" s="24">
        <v>335.17</v>
      </c>
      <c r="C53" s="19" t="s">
        <v>209</v>
      </c>
      <c r="D53" s="45">
        <v>82061</v>
      </c>
      <c r="E53" s="45">
        <v>0</v>
      </c>
      <c r="F53" s="45">
        <v>0</v>
      </c>
      <c r="G53" s="45">
        <v>0</v>
      </c>
      <c r="H53" s="45">
        <v>0</v>
      </c>
      <c r="I53" s="45">
        <v>0</v>
      </c>
      <c r="J53" s="45">
        <v>0</v>
      </c>
      <c r="K53" s="45">
        <v>0</v>
      </c>
      <c r="L53" s="45">
        <v>0</v>
      </c>
      <c r="M53" s="45">
        <v>0</v>
      </c>
      <c r="N53" s="45">
        <f t="shared" si="8"/>
        <v>82061</v>
      </c>
      <c r="O53" s="46">
        <f t="shared" si="7"/>
        <v>5.8246218229722667E-2</v>
      </c>
      <c r="P53" s="9"/>
    </row>
    <row r="54" spans="1:16">
      <c r="A54" s="11"/>
      <c r="B54" s="24">
        <v>335.18</v>
      </c>
      <c r="C54" s="19" t="s">
        <v>210</v>
      </c>
      <c r="D54" s="45">
        <v>0</v>
      </c>
      <c r="E54" s="45">
        <v>110711423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f t="shared" si="8"/>
        <v>110711423</v>
      </c>
      <c r="O54" s="46">
        <f t="shared" si="7"/>
        <v>78.582051212892083</v>
      </c>
      <c r="P54" s="9"/>
    </row>
    <row r="55" spans="1:16">
      <c r="A55" s="11"/>
      <c r="B55" s="24">
        <v>335.21</v>
      </c>
      <c r="C55" s="19" t="s">
        <v>55</v>
      </c>
      <c r="D55" s="45">
        <v>298340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f t="shared" si="8"/>
        <v>298340</v>
      </c>
      <c r="O55" s="46">
        <f t="shared" si="7"/>
        <v>0.21175926136234582</v>
      </c>
      <c r="P55" s="9"/>
    </row>
    <row r="56" spans="1:16">
      <c r="A56" s="11"/>
      <c r="B56" s="24">
        <v>335.22</v>
      </c>
      <c r="C56" s="19" t="s">
        <v>56</v>
      </c>
      <c r="D56" s="45">
        <v>0</v>
      </c>
      <c r="E56" s="45">
        <v>6413807</v>
      </c>
      <c r="F56" s="45">
        <v>0</v>
      </c>
      <c r="G56" s="45">
        <v>0</v>
      </c>
      <c r="H56" s="45">
        <v>0</v>
      </c>
      <c r="I56" s="45">
        <v>0</v>
      </c>
      <c r="J56" s="45">
        <v>0</v>
      </c>
      <c r="K56" s="45">
        <v>0</v>
      </c>
      <c r="L56" s="45">
        <v>0</v>
      </c>
      <c r="M56" s="45">
        <v>0</v>
      </c>
      <c r="N56" s="45">
        <f t="shared" si="8"/>
        <v>6413807</v>
      </c>
      <c r="O56" s="46">
        <f t="shared" si="7"/>
        <v>4.5524670940559204</v>
      </c>
      <c r="P56" s="9"/>
    </row>
    <row r="57" spans="1:16">
      <c r="A57" s="11"/>
      <c r="B57" s="24">
        <v>335.23</v>
      </c>
      <c r="C57" s="19" t="s">
        <v>171</v>
      </c>
      <c r="D57" s="45">
        <v>0</v>
      </c>
      <c r="E57" s="45">
        <v>90711</v>
      </c>
      <c r="F57" s="45">
        <v>0</v>
      </c>
      <c r="G57" s="45">
        <v>0</v>
      </c>
      <c r="H57" s="45">
        <v>0</v>
      </c>
      <c r="I57" s="45">
        <v>0</v>
      </c>
      <c r="J57" s="45">
        <v>0</v>
      </c>
      <c r="K57" s="45">
        <v>0</v>
      </c>
      <c r="L57" s="45">
        <v>0</v>
      </c>
      <c r="M57" s="45">
        <v>0</v>
      </c>
      <c r="N57" s="45">
        <f t="shared" si="8"/>
        <v>90711</v>
      </c>
      <c r="O57" s="46">
        <f t="shared" si="7"/>
        <v>6.4385916596633883E-2</v>
      </c>
      <c r="P57" s="9"/>
    </row>
    <row r="58" spans="1:16">
      <c r="A58" s="11"/>
      <c r="B58" s="24">
        <v>335.29</v>
      </c>
      <c r="C58" s="19" t="s">
        <v>57</v>
      </c>
      <c r="D58" s="45">
        <v>6267</v>
      </c>
      <c r="E58" s="45">
        <v>0</v>
      </c>
      <c r="F58" s="45">
        <v>0</v>
      </c>
      <c r="G58" s="45">
        <v>0</v>
      </c>
      <c r="H58" s="45">
        <v>0</v>
      </c>
      <c r="I58" s="45">
        <v>0</v>
      </c>
      <c r="J58" s="45">
        <v>0</v>
      </c>
      <c r="K58" s="45">
        <v>0</v>
      </c>
      <c r="L58" s="45">
        <v>0</v>
      </c>
      <c r="M58" s="45">
        <v>0</v>
      </c>
      <c r="N58" s="45">
        <f t="shared" si="8"/>
        <v>6267</v>
      </c>
      <c r="O58" s="46">
        <f t="shared" si="7"/>
        <v>4.448264701206078E-3</v>
      </c>
      <c r="P58" s="9"/>
    </row>
    <row r="59" spans="1:16">
      <c r="A59" s="11"/>
      <c r="B59" s="24">
        <v>335.39</v>
      </c>
      <c r="C59" s="19" t="s">
        <v>58</v>
      </c>
      <c r="D59" s="45">
        <v>0</v>
      </c>
      <c r="E59" s="45">
        <v>1229648</v>
      </c>
      <c r="F59" s="45">
        <v>0</v>
      </c>
      <c r="G59" s="45">
        <v>0</v>
      </c>
      <c r="H59" s="45">
        <v>0</v>
      </c>
      <c r="I59" s="45">
        <v>0</v>
      </c>
      <c r="J59" s="45">
        <v>0</v>
      </c>
      <c r="K59" s="45">
        <v>0</v>
      </c>
      <c r="L59" s="45">
        <v>0</v>
      </c>
      <c r="M59" s="45">
        <v>0</v>
      </c>
      <c r="N59" s="45">
        <f t="shared" si="8"/>
        <v>1229648</v>
      </c>
      <c r="O59" s="46">
        <f t="shared" si="7"/>
        <v>0.87279396733822423</v>
      </c>
      <c r="P59" s="9"/>
    </row>
    <row r="60" spans="1:16">
      <c r="A60" s="11"/>
      <c r="B60" s="24">
        <v>335.49</v>
      </c>
      <c r="C60" s="19" t="s">
        <v>59</v>
      </c>
      <c r="D60" s="45">
        <v>0</v>
      </c>
      <c r="E60" s="45">
        <v>18449042</v>
      </c>
      <c r="F60" s="45">
        <v>0</v>
      </c>
      <c r="G60" s="45">
        <v>0</v>
      </c>
      <c r="H60" s="45">
        <v>0</v>
      </c>
      <c r="I60" s="45">
        <v>0</v>
      </c>
      <c r="J60" s="45">
        <v>0</v>
      </c>
      <c r="K60" s="45">
        <v>0</v>
      </c>
      <c r="L60" s="45">
        <v>0</v>
      </c>
      <c r="M60" s="45">
        <v>0</v>
      </c>
      <c r="N60" s="45">
        <f t="shared" si="8"/>
        <v>18449042</v>
      </c>
      <c r="O60" s="46">
        <f t="shared" si="7"/>
        <v>13.094977229881664</v>
      </c>
      <c r="P60" s="9"/>
    </row>
    <row r="61" spans="1:16">
      <c r="A61" s="11"/>
      <c r="B61" s="24">
        <v>335.5</v>
      </c>
      <c r="C61" s="19" t="s">
        <v>60</v>
      </c>
      <c r="D61" s="45">
        <v>0</v>
      </c>
      <c r="E61" s="45">
        <v>5594951</v>
      </c>
      <c r="F61" s="45">
        <v>0</v>
      </c>
      <c r="G61" s="45">
        <v>0</v>
      </c>
      <c r="H61" s="45">
        <v>0</v>
      </c>
      <c r="I61" s="45">
        <v>0</v>
      </c>
      <c r="J61" s="45">
        <v>0</v>
      </c>
      <c r="K61" s="45">
        <v>0</v>
      </c>
      <c r="L61" s="45">
        <v>0</v>
      </c>
      <c r="M61" s="45">
        <v>0</v>
      </c>
      <c r="N61" s="45">
        <f t="shared" si="8"/>
        <v>5594951</v>
      </c>
      <c r="O61" s="46">
        <f t="shared" si="7"/>
        <v>3.9712498864333252</v>
      </c>
      <c r="P61" s="9"/>
    </row>
    <row r="62" spans="1:16">
      <c r="A62" s="11"/>
      <c r="B62" s="24">
        <v>335.69</v>
      </c>
      <c r="C62" s="19" t="s">
        <v>61</v>
      </c>
      <c r="D62" s="45">
        <v>0</v>
      </c>
      <c r="E62" s="45">
        <v>0</v>
      </c>
      <c r="F62" s="45">
        <v>0</v>
      </c>
      <c r="G62" s="45">
        <v>0</v>
      </c>
      <c r="H62" s="45">
        <v>0</v>
      </c>
      <c r="I62" s="45">
        <v>0</v>
      </c>
      <c r="J62" s="45">
        <v>5260</v>
      </c>
      <c r="K62" s="45">
        <v>0</v>
      </c>
      <c r="L62" s="45">
        <v>0</v>
      </c>
      <c r="M62" s="45">
        <v>0</v>
      </c>
      <c r="N62" s="45">
        <f t="shared" si="8"/>
        <v>5260</v>
      </c>
      <c r="O62" s="46">
        <f t="shared" si="7"/>
        <v>3.7335044404569924E-3</v>
      </c>
      <c r="P62" s="9"/>
    </row>
    <row r="63" spans="1:16">
      <c r="A63" s="11"/>
      <c r="B63" s="24">
        <v>335.7</v>
      </c>
      <c r="C63" s="19" t="s">
        <v>62</v>
      </c>
      <c r="D63" s="45">
        <v>0</v>
      </c>
      <c r="E63" s="45">
        <v>2858548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0</v>
      </c>
      <c r="N63" s="45">
        <f t="shared" si="8"/>
        <v>2858548</v>
      </c>
      <c r="O63" s="46">
        <f t="shared" si="7"/>
        <v>2.028973697958071</v>
      </c>
      <c r="P63" s="9"/>
    </row>
    <row r="64" spans="1:16">
      <c r="A64" s="11"/>
      <c r="B64" s="24">
        <v>337.1</v>
      </c>
      <c r="C64" s="19" t="s">
        <v>64</v>
      </c>
      <c r="D64" s="45">
        <v>0</v>
      </c>
      <c r="E64" s="45">
        <v>0</v>
      </c>
      <c r="F64" s="45">
        <v>0</v>
      </c>
      <c r="G64" s="45">
        <v>0</v>
      </c>
      <c r="H64" s="45">
        <v>0</v>
      </c>
      <c r="I64" s="45">
        <v>0</v>
      </c>
      <c r="J64" s="45">
        <v>0</v>
      </c>
      <c r="K64" s="45">
        <v>0</v>
      </c>
      <c r="L64" s="45">
        <v>0</v>
      </c>
      <c r="M64" s="45">
        <v>3764788</v>
      </c>
      <c r="N64" s="45">
        <f t="shared" ref="N64:N71" si="9">SUM(D64:M64)</f>
        <v>3764788</v>
      </c>
      <c r="O64" s="46">
        <f t="shared" si="7"/>
        <v>2.6722153451291253</v>
      </c>
      <c r="P64" s="9"/>
    </row>
    <row r="65" spans="1:16">
      <c r="A65" s="11"/>
      <c r="B65" s="24">
        <v>337.2</v>
      </c>
      <c r="C65" s="19" t="s">
        <v>65</v>
      </c>
      <c r="D65" s="45">
        <v>0</v>
      </c>
      <c r="E65" s="45">
        <v>31927</v>
      </c>
      <c r="F65" s="45">
        <v>0</v>
      </c>
      <c r="G65" s="45">
        <v>0</v>
      </c>
      <c r="H65" s="45">
        <v>0</v>
      </c>
      <c r="I65" s="45">
        <v>0</v>
      </c>
      <c r="J65" s="45">
        <v>0</v>
      </c>
      <c r="K65" s="45">
        <v>0</v>
      </c>
      <c r="L65" s="45">
        <v>0</v>
      </c>
      <c r="M65" s="45">
        <v>0</v>
      </c>
      <c r="N65" s="45">
        <f t="shared" si="9"/>
        <v>31927</v>
      </c>
      <c r="O65" s="46">
        <f t="shared" si="7"/>
        <v>2.2661520203511483E-2</v>
      </c>
      <c r="P65" s="9"/>
    </row>
    <row r="66" spans="1:16">
      <c r="A66" s="11"/>
      <c r="B66" s="24">
        <v>337.3</v>
      </c>
      <c r="C66" s="19" t="s">
        <v>66</v>
      </c>
      <c r="D66" s="45">
        <v>0</v>
      </c>
      <c r="E66" s="45">
        <v>3031278</v>
      </c>
      <c r="F66" s="45">
        <v>0</v>
      </c>
      <c r="G66" s="45">
        <v>0</v>
      </c>
      <c r="H66" s="45">
        <v>0</v>
      </c>
      <c r="I66" s="45">
        <v>0</v>
      </c>
      <c r="J66" s="45">
        <v>0</v>
      </c>
      <c r="K66" s="45">
        <v>0</v>
      </c>
      <c r="L66" s="45">
        <v>0</v>
      </c>
      <c r="M66" s="45">
        <v>0</v>
      </c>
      <c r="N66" s="45">
        <f t="shared" si="9"/>
        <v>3031278</v>
      </c>
      <c r="O66" s="46">
        <f t="shared" si="7"/>
        <v>2.1515760215322417</v>
      </c>
      <c r="P66" s="9"/>
    </row>
    <row r="67" spans="1:16">
      <c r="A67" s="11"/>
      <c r="B67" s="24">
        <v>337.4</v>
      </c>
      <c r="C67" s="19" t="s">
        <v>172</v>
      </c>
      <c r="D67" s="45">
        <v>0</v>
      </c>
      <c r="E67" s="45">
        <v>-346202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>
        <v>0</v>
      </c>
      <c r="N67" s="45">
        <f t="shared" si="9"/>
        <v>-346202</v>
      </c>
      <c r="O67" s="46">
        <f t="shared" si="7"/>
        <v>-0.2457313126036296</v>
      </c>
      <c r="P67" s="9"/>
    </row>
    <row r="68" spans="1:16">
      <c r="A68" s="11"/>
      <c r="B68" s="24">
        <v>337.5</v>
      </c>
      <c r="C68" s="19" t="s">
        <v>67</v>
      </c>
      <c r="D68" s="45">
        <v>0</v>
      </c>
      <c r="E68" s="45">
        <v>0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</v>
      </c>
      <c r="L68" s="45">
        <v>0</v>
      </c>
      <c r="M68" s="45">
        <v>337499</v>
      </c>
      <c r="N68" s="45">
        <f t="shared" si="9"/>
        <v>337499</v>
      </c>
      <c r="O68" s="46">
        <f t="shared" si="7"/>
        <v>0.23955399527562632</v>
      </c>
      <c r="P68" s="9"/>
    </row>
    <row r="69" spans="1:16">
      <c r="A69" s="11"/>
      <c r="B69" s="24">
        <v>337.9</v>
      </c>
      <c r="C69" s="19" t="s">
        <v>69</v>
      </c>
      <c r="D69" s="45">
        <v>0</v>
      </c>
      <c r="E69" s="45">
        <v>19282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5">
        <v>0</v>
      </c>
      <c r="L69" s="45">
        <v>0</v>
      </c>
      <c r="M69" s="45">
        <v>0</v>
      </c>
      <c r="N69" s="45">
        <f t="shared" si="9"/>
        <v>19282</v>
      </c>
      <c r="O69" s="46">
        <f t="shared" ref="O69:O100" si="10">(N69/O$158)</f>
        <v>1.368620392032162E-2</v>
      </c>
      <c r="P69" s="9"/>
    </row>
    <row r="70" spans="1:16" ht="15.75">
      <c r="A70" s="28" t="s">
        <v>75</v>
      </c>
      <c r="B70" s="29"/>
      <c r="C70" s="30"/>
      <c r="D70" s="31">
        <f t="shared" ref="D70:M70" si="11">SUM(D71:D125)</f>
        <v>129219621</v>
      </c>
      <c r="E70" s="31">
        <f t="shared" si="11"/>
        <v>58498265</v>
      </c>
      <c r="F70" s="31">
        <f t="shared" si="11"/>
        <v>409053</v>
      </c>
      <c r="G70" s="31">
        <f t="shared" si="11"/>
        <v>0</v>
      </c>
      <c r="H70" s="31">
        <f t="shared" si="11"/>
        <v>0</v>
      </c>
      <c r="I70" s="31">
        <f t="shared" si="11"/>
        <v>358791498</v>
      </c>
      <c r="J70" s="31">
        <f t="shared" si="11"/>
        <v>195889011</v>
      </c>
      <c r="K70" s="31">
        <f t="shared" si="11"/>
        <v>0</v>
      </c>
      <c r="L70" s="31">
        <f t="shared" si="11"/>
        <v>0</v>
      </c>
      <c r="M70" s="31">
        <f t="shared" si="11"/>
        <v>1362950</v>
      </c>
      <c r="N70" s="31">
        <f t="shared" si="9"/>
        <v>744170398</v>
      </c>
      <c r="O70" s="44">
        <f t="shared" si="10"/>
        <v>528.20598581552224</v>
      </c>
      <c r="P70" s="10"/>
    </row>
    <row r="71" spans="1:16">
      <c r="A71" s="11"/>
      <c r="B71" s="24">
        <v>341.1</v>
      </c>
      <c r="C71" s="19" t="s">
        <v>212</v>
      </c>
      <c r="D71" s="45">
        <v>6923415</v>
      </c>
      <c r="E71" s="45">
        <v>12005</v>
      </c>
      <c r="F71" s="45">
        <v>0</v>
      </c>
      <c r="G71" s="45">
        <v>0</v>
      </c>
      <c r="H71" s="45">
        <v>0</v>
      </c>
      <c r="I71" s="45">
        <v>0</v>
      </c>
      <c r="J71" s="45">
        <v>0</v>
      </c>
      <c r="K71" s="45">
        <v>0</v>
      </c>
      <c r="L71" s="45">
        <v>0</v>
      </c>
      <c r="M71" s="45">
        <v>0</v>
      </c>
      <c r="N71" s="45">
        <f t="shared" si="9"/>
        <v>6935420</v>
      </c>
      <c r="O71" s="46">
        <f t="shared" si="10"/>
        <v>4.922703681831603</v>
      </c>
      <c r="P71" s="9"/>
    </row>
    <row r="72" spans="1:16">
      <c r="A72" s="11"/>
      <c r="B72" s="24">
        <v>341.15</v>
      </c>
      <c r="C72" s="19" t="s">
        <v>213</v>
      </c>
      <c r="D72" s="45">
        <v>0</v>
      </c>
      <c r="E72" s="45">
        <v>2844433</v>
      </c>
      <c r="F72" s="45">
        <v>0</v>
      </c>
      <c r="G72" s="45">
        <v>0</v>
      </c>
      <c r="H72" s="45">
        <v>0</v>
      </c>
      <c r="I72" s="45">
        <v>0</v>
      </c>
      <c r="J72" s="45">
        <v>0</v>
      </c>
      <c r="K72" s="45">
        <v>0</v>
      </c>
      <c r="L72" s="45">
        <v>0</v>
      </c>
      <c r="M72" s="45">
        <v>0</v>
      </c>
      <c r="N72" s="45">
        <f t="shared" ref="N72:N125" si="12">SUM(D72:M72)</f>
        <v>2844433</v>
      </c>
      <c r="O72" s="46">
        <f t="shared" si="10"/>
        <v>2.0189549878483657</v>
      </c>
      <c r="P72" s="9"/>
    </row>
    <row r="73" spans="1:16">
      <c r="A73" s="11"/>
      <c r="B73" s="24">
        <v>341.16</v>
      </c>
      <c r="C73" s="19" t="s">
        <v>214</v>
      </c>
      <c r="D73" s="45">
        <v>0</v>
      </c>
      <c r="E73" s="45">
        <v>2246954</v>
      </c>
      <c r="F73" s="45">
        <v>0</v>
      </c>
      <c r="G73" s="45">
        <v>0</v>
      </c>
      <c r="H73" s="45">
        <v>0</v>
      </c>
      <c r="I73" s="45">
        <v>0</v>
      </c>
      <c r="J73" s="45">
        <v>0</v>
      </c>
      <c r="K73" s="45">
        <v>0</v>
      </c>
      <c r="L73" s="45">
        <v>0</v>
      </c>
      <c r="M73" s="45">
        <v>0</v>
      </c>
      <c r="N73" s="45">
        <f t="shared" si="12"/>
        <v>2246954</v>
      </c>
      <c r="O73" s="46">
        <f t="shared" si="10"/>
        <v>1.5948693415404185</v>
      </c>
      <c r="P73" s="9"/>
    </row>
    <row r="74" spans="1:16">
      <c r="A74" s="11"/>
      <c r="B74" s="24">
        <v>341.2</v>
      </c>
      <c r="C74" s="19" t="s">
        <v>215</v>
      </c>
      <c r="D74" s="45">
        <v>-2424</v>
      </c>
      <c r="E74" s="45">
        <v>0</v>
      </c>
      <c r="F74" s="45">
        <v>0</v>
      </c>
      <c r="G74" s="45">
        <v>0</v>
      </c>
      <c r="H74" s="45">
        <v>0</v>
      </c>
      <c r="I74" s="45">
        <v>0</v>
      </c>
      <c r="J74" s="45">
        <v>164809408</v>
      </c>
      <c r="K74" s="45">
        <v>0</v>
      </c>
      <c r="L74" s="45">
        <v>0</v>
      </c>
      <c r="M74" s="45">
        <v>0</v>
      </c>
      <c r="N74" s="45">
        <f t="shared" si="12"/>
        <v>164806984</v>
      </c>
      <c r="O74" s="46">
        <f t="shared" si="10"/>
        <v>116.97863243009971</v>
      </c>
      <c r="P74" s="9"/>
    </row>
    <row r="75" spans="1:16">
      <c r="A75" s="11"/>
      <c r="B75" s="24">
        <v>341.3</v>
      </c>
      <c r="C75" s="19" t="s">
        <v>216</v>
      </c>
      <c r="D75" s="45">
        <v>69023</v>
      </c>
      <c r="E75" s="45">
        <v>2878954</v>
      </c>
      <c r="F75" s="45">
        <v>0</v>
      </c>
      <c r="G75" s="45">
        <v>0</v>
      </c>
      <c r="H75" s="45">
        <v>0</v>
      </c>
      <c r="I75" s="45">
        <v>0</v>
      </c>
      <c r="J75" s="45">
        <v>0</v>
      </c>
      <c r="K75" s="45">
        <v>0</v>
      </c>
      <c r="L75" s="45">
        <v>0</v>
      </c>
      <c r="M75" s="45">
        <v>0</v>
      </c>
      <c r="N75" s="45">
        <f t="shared" si="12"/>
        <v>2947977</v>
      </c>
      <c r="O75" s="46">
        <f t="shared" si="10"/>
        <v>2.0924496615713086</v>
      </c>
      <c r="P75" s="9"/>
    </row>
    <row r="76" spans="1:16">
      <c r="A76" s="11"/>
      <c r="B76" s="24">
        <v>341.52</v>
      </c>
      <c r="C76" s="19" t="s">
        <v>217</v>
      </c>
      <c r="D76" s="45">
        <v>477009</v>
      </c>
      <c r="E76" s="45">
        <v>137425</v>
      </c>
      <c r="F76" s="45">
        <v>0</v>
      </c>
      <c r="G76" s="45">
        <v>0</v>
      </c>
      <c r="H76" s="45">
        <v>0</v>
      </c>
      <c r="I76" s="45">
        <v>0</v>
      </c>
      <c r="J76" s="45">
        <v>0</v>
      </c>
      <c r="K76" s="45">
        <v>0</v>
      </c>
      <c r="L76" s="45">
        <v>0</v>
      </c>
      <c r="M76" s="45">
        <v>0</v>
      </c>
      <c r="N76" s="45">
        <f t="shared" si="12"/>
        <v>614434</v>
      </c>
      <c r="O76" s="46">
        <f t="shared" si="10"/>
        <v>0.43612016489881211</v>
      </c>
      <c r="P76" s="9"/>
    </row>
    <row r="77" spans="1:16">
      <c r="A77" s="11"/>
      <c r="B77" s="24">
        <v>341.55</v>
      </c>
      <c r="C77" s="19" t="s">
        <v>218</v>
      </c>
      <c r="D77" s="45">
        <v>21635</v>
      </c>
      <c r="E77" s="45">
        <v>0</v>
      </c>
      <c r="F77" s="45">
        <v>0</v>
      </c>
      <c r="G77" s="45">
        <v>0</v>
      </c>
      <c r="H77" s="45">
        <v>0</v>
      </c>
      <c r="I77" s="45">
        <v>0</v>
      </c>
      <c r="J77" s="45">
        <v>0</v>
      </c>
      <c r="K77" s="45">
        <v>0</v>
      </c>
      <c r="L77" s="45">
        <v>0</v>
      </c>
      <c r="M77" s="45">
        <v>0</v>
      </c>
      <c r="N77" s="45">
        <f t="shared" si="12"/>
        <v>21635</v>
      </c>
      <c r="O77" s="46">
        <f t="shared" si="10"/>
        <v>1.5356343834465214E-2</v>
      </c>
      <c r="P77" s="9"/>
    </row>
    <row r="78" spans="1:16">
      <c r="A78" s="11"/>
      <c r="B78" s="24">
        <v>341.9</v>
      </c>
      <c r="C78" s="19" t="s">
        <v>220</v>
      </c>
      <c r="D78" s="45">
        <v>61517497</v>
      </c>
      <c r="E78" s="45">
        <v>2792376</v>
      </c>
      <c r="F78" s="45">
        <v>0</v>
      </c>
      <c r="G78" s="45">
        <v>0</v>
      </c>
      <c r="H78" s="45">
        <v>0</v>
      </c>
      <c r="I78" s="45">
        <v>0</v>
      </c>
      <c r="J78" s="45">
        <v>5498853</v>
      </c>
      <c r="K78" s="45">
        <v>0</v>
      </c>
      <c r="L78" s="45">
        <v>0</v>
      </c>
      <c r="M78" s="45">
        <v>831076</v>
      </c>
      <c r="N78" s="45">
        <f t="shared" si="12"/>
        <v>70639802</v>
      </c>
      <c r="O78" s="46">
        <f t="shared" si="10"/>
        <v>50.139546471483406</v>
      </c>
      <c r="P78" s="9"/>
    </row>
    <row r="79" spans="1:16">
      <c r="A79" s="11"/>
      <c r="B79" s="24">
        <v>342.1</v>
      </c>
      <c r="C79" s="19" t="s">
        <v>87</v>
      </c>
      <c r="D79" s="45">
        <v>6408963</v>
      </c>
      <c r="E79" s="45">
        <v>9679013</v>
      </c>
      <c r="F79" s="45">
        <v>0</v>
      </c>
      <c r="G79" s="45">
        <v>0</v>
      </c>
      <c r="H79" s="45">
        <v>0</v>
      </c>
      <c r="I79" s="45">
        <v>0</v>
      </c>
      <c r="J79" s="45">
        <v>0</v>
      </c>
      <c r="K79" s="45">
        <v>0</v>
      </c>
      <c r="L79" s="45">
        <v>0</v>
      </c>
      <c r="M79" s="45">
        <v>0</v>
      </c>
      <c r="N79" s="45">
        <f t="shared" si="12"/>
        <v>16087976</v>
      </c>
      <c r="O79" s="46">
        <f t="shared" si="10"/>
        <v>11.41911213573489</v>
      </c>
      <c r="P79" s="9"/>
    </row>
    <row r="80" spans="1:16">
      <c r="A80" s="11"/>
      <c r="B80" s="24">
        <v>342.2</v>
      </c>
      <c r="C80" s="19" t="s">
        <v>88</v>
      </c>
      <c r="D80" s="45">
        <v>1052703</v>
      </c>
      <c r="E80" s="45">
        <v>0</v>
      </c>
      <c r="F80" s="45">
        <v>0</v>
      </c>
      <c r="G80" s="45">
        <v>0</v>
      </c>
      <c r="H80" s="45">
        <v>0</v>
      </c>
      <c r="I80" s="45">
        <v>0</v>
      </c>
      <c r="J80" s="45">
        <v>0</v>
      </c>
      <c r="K80" s="45">
        <v>0</v>
      </c>
      <c r="L80" s="45">
        <v>0</v>
      </c>
      <c r="M80" s="45">
        <v>0</v>
      </c>
      <c r="N80" s="45">
        <f t="shared" si="12"/>
        <v>1052703</v>
      </c>
      <c r="O80" s="46">
        <f t="shared" si="10"/>
        <v>0.74719987166965729</v>
      </c>
      <c r="P80" s="9"/>
    </row>
    <row r="81" spans="1:16">
      <c r="A81" s="11"/>
      <c r="B81" s="24">
        <v>342.3</v>
      </c>
      <c r="C81" s="19" t="s">
        <v>89</v>
      </c>
      <c r="D81" s="45">
        <v>102692</v>
      </c>
      <c r="E81" s="45">
        <v>0</v>
      </c>
      <c r="F81" s="45">
        <v>0</v>
      </c>
      <c r="G81" s="45">
        <v>0</v>
      </c>
      <c r="H81" s="45">
        <v>0</v>
      </c>
      <c r="I81" s="45">
        <v>0</v>
      </c>
      <c r="J81" s="45">
        <v>0</v>
      </c>
      <c r="K81" s="45">
        <v>0</v>
      </c>
      <c r="L81" s="45">
        <v>0</v>
      </c>
      <c r="M81" s="45">
        <v>0</v>
      </c>
      <c r="N81" s="45">
        <f t="shared" si="12"/>
        <v>102692</v>
      </c>
      <c r="O81" s="46">
        <f t="shared" si="10"/>
        <v>7.2889931178594949E-2</v>
      </c>
      <c r="P81" s="9"/>
    </row>
    <row r="82" spans="1:16">
      <c r="A82" s="11"/>
      <c r="B82" s="24">
        <v>342.5</v>
      </c>
      <c r="C82" s="19" t="s">
        <v>90</v>
      </c>
      <c r="D82" s="45">
        <v>1187092</v>
      </c>
      <c r="E82" s="45">
        <v>0</v>
      </c>
      <c r="F82" s="45">
        <v>0</v>
      </c>
      <c r="G82" s="45">
        <v>0</v>
      </c>
      <c r="H82" s="45">
        <v>0</v>
      </c>
      <c r="I82" s="45">
        <v>0</v>
      </c>
      <c r="J82" s="45">
        <v>0</v>
      </c>
      <c r="K82" s="45">
        <v>0</v>
      </c>
      <c r="L82" s="45">
        <v>0</v>
      </c>
      <c r="M82" s="45">
        <v>0</v>
      </c>
      <c r="N82" s="45">
        <f t="shared" si="12"/>
        <v>1187092</v>
      </c>
      <c r="O82" s="46">
        <f t="shared" si="10"/>
        <v>0.84258807095645849</v>
      </c>
      <c r="P82" s="9"/>
    </row>
    <row r="83" spans="1:16">
      <c r="A83" s="11"/>
      <c r="B83" s="24">
        <v>342.6</v>
      </c>
      <c r="C83" s="19" t="s">
        <v>91</v>
      </c>
      <c r="D83" s="45">
        <v>18184412</v>
      </c>
      <c r="E83" s="45">
        <v>0</v>
      </c>
      <c r="F83" s="45">
        <v>0</v>
      </c>
      <c r="G83" s="45">
        <v>0</v>
      </c>
      <c r="H83" s="45">
        <v>0</v>
      </c>
      <c r="I83" s="45">
        <v>0</v>
      </c>
      <c r="J83" s="45">
        <v>0</v>
      </c>
      <c r="K83" s="45">
        <v>0</v>
      </c>
      <c r="L83" s="45">
        <v>0</v>
      </c>
      <c r="M83" s="45">
        <v>0</v>
      </c>
      <c r="N83" s="45">
        <f t="shared" si="12"/>
        <v>18184412</v>
      </c>
      <c r="O83" s="46">
        <f t="shared" si="10"/>
        <v>12.907145047357304</v>
      </c>
      <c r="P83" s="9"/>
    </row>
    <row r="84" spans="1:16">
      <c r="A84" s="11"/>
      <c r="B84" s="24">
        <v>342.9</v>
      </c>
      <c r="C84" s="19" t="s">
        <v>92</v>
      </c>
      <c r="D84" s="45">
        <v>1097389</v>
      </c>
      <c r="E84" s="45">
        <v>1935832</v>
      </c>
      <c r="F84" s="45">
        <v>0</v>
      </c>
      <c r="G84" s="45">
        <v>0</v>
      </c>
      <c r="H84" s="45">
        <v>0</v>
      </c>
      <c r="I84" s="45">
        <v>0</v>
      </c>
      <c r="J84" s="45">
        <v>0</v>
      </c>
      <c r="K84" s="45">
        <v>0</v>
      </c>
      <c r="L84" s="45">
        <v>0</v>
      </c>
      <c r="M84" s="45">
        <v>0</v>
      </c>
      <c r="N84" s="45">
        <f t="shared" si="12"/>
        <v>3033221</v>
      </c>
      <c r="O84" s="46">
        <f t="shared" si="10"/>
        <v>2.1529551468417107</v>
      </c>
      <c r="P84" s="9"/>
    </row>
    <row r="85" spans="1:16">
      <c r="A85" s="11"/>
      <c r="B85" s="24">
        <v>343.4</v>
      </c>
      <c r="C85" s="19" t="s">
        <v>93</v>
      </c>
      <c r="D85" s="45">
        <v>0</v>
      </c>
      <c r="E85" s="45">
        <v>0</v>
      </c>
      <c r="F85" s="45">
        <v>0</v>
      </c>
      <c r="G85" s="45">
        <v>0</v>
      </c>
      <c r="H85" s="45">
        <v>0</v>
      </c>
      <c r="I85" s="45">
        <v>107572334</v>
      </c>
      <c r="J85" s="45">
        <v>0</v>
      </c>
      <c r="K85" s="45">
        <v>0</v>
      </c>
      <c r="L85" s="45">
        <v>0</v>
      </c>
      <c r="M85" s="45">
        <v>0</v>
      </c>
      <c r="N85" s="45">
        <f t="shared" si="12"/>
        <v>107572334</v>
      </c>
      <c r="O85" s="46">
        <f t="shared" si="10"/>
        <v>76.353951836373142</v>
      </c>
      <c r="P85" s="9"/>
    </row>
    <row r="86" spans="1:16">
      <c r="A86" s="11"/>
      <c r="B86" s="24">
        <v>343.6</v>
      </c>
      <c r="C86" s="19" t="s">
        <v>94</v>
      </c>
      <c r="D86" s="45">
        <v>0</v>
      </c>
      <c r="E86" s="45">
        <v>0</v>
      </c>
      <c r="F86" s="45">
        <v>0</v>
      </c>
      <c r="G86" s="45">
        <v>0</v>
      </c>
      <c r="H86" s="45">
        <v>0</v>
      </c>
      <c r="I86" s="45">
        <v>251219164</v>
      </c>
      <c r="J86" s="45">
        <v>0</v>
      </c>
      <c r="K86" s="45">
        <v>0</v>
      </c>
      <c r="L86" s="45">
        <v>0</v>
      </c>
      <c r="M86" s="45">
        <v>0</v>
      </c>
      <c r="N86" s="45">
        <f t="shared" si="12"/>
        <v>251219164</v>
      </c>
      <c r="O86" s="46">
        <f t="shared" si="10"/>
        <v>178.31328219047404</v>
      </c>
      <c r="P86" s="9"/>
    </row>
    <row r="87" spans="1:16">
      <c r="A87" s="11"/>
      <c r="B87" s="24">
        <v>343.7</v>
      </c>
      <c r="C87" s="19" t="s">
        <v>95</v>
      </c>
      <c r="D87" s="45">
        <v>2881663</v>
      </c>
      <c r="E87" s="45">
        <v>1578388</v>
      </c>
      <c r="F87" s="45">
        <v>0</v>
      </c>
      <c r="G87" s="45">
        <v>0</v>
      </c>
      <c r="H87" s="45">
        <v>0</v>
      </c>
      <c r="I87" s="45">
        <v>0</v>
      </c>
      <c r="J87" s="45">
        <v>0</v>
      </c>
      <c r="K87" s="45">
        <v>0</v>
      </c>
      <c r="L87" s="45">
        <v>0</v>
      </c>
      <c r="M87" s="45">
        <v>108078</v>
      </c>
      <c r="N87" s="45">
        <f t="shared" si="12"/>
        <v>4568129</v>
      </c>
      <c r="O87" s="46">
        <f t="shared" si="10"/>
        <v>3.2424201342358097</v>
      </c>
      <c r="P87" s="9"/>
    </row>
    <row r="88" spans="1:16">
      <c r="A88" s="11"/>
      <c r="B88" s="24">
        <v>343.9</v>
      </c>
      <c r="C88" s="19" t="s">
        <v>96</v>
      </c>
      <c r="D88" s="45">
        <v>1254401</v>
      </c>
      <c r="E88" s="45">
        <v>32002</v>
      </c>
      <c r="F88" s="45">
        <v>0</v>
      </c>
      <c r="G88" s="45">
        <v>0</v>
      </c>
      <c r="H88" s="45">
        <v>0</v>
      </c>
      <c r="I88" s="45">
        <v>0</v>
      </c>
      <c r="J88" s="45">
        <v>0</v>
      </c>
      <c r="K88" s="45">
        <v>0</v>
      </c>
      <c r="L88" s="45">
        <v>0</v>
      </c>
      <c r="M88" s="45">
        <v>0</v>
      </c>
      <c r="N88" s="45">
        <f t="shared" si="12"/>
        <v>1286403</v>
      </c>
      <c r="O88" s="46">
        <f t="shared" si="10"/>
        <v>0.91307819633406773</v>
      </c>
      <c r="P88" s="9"/>
    </row>
    <row r="89" spans="1:16">
      <c r="A89" s="11"/>
      <c r="B89" s="24">
        <v>344.5</v>
      </c>
      <c r="C89" s="19" t="s">
        <v>221</v>
      </c>
      <c r="D89" s="45">
        <v>880895</v>
      </c>
      <c r="E89" s="45">
        <v>0</v>
      </c>
      <c r="F89" s="45">
        <v>0</v>
      </c>
      <c r="G89" s="45">
        <v>0</v>
      </c>
      <c r="H89" s="45">
        <v>0</v>
      </c>
      <c r="I89" s="45">
        <v>0</v>
      </c>
      <c r="J89" s="45">
        <v>84063</v>
      </c>
      <c r="K89" s="45">
        <v>0</v>
      </c>
      <c r="L89" s="45">
        <v>0</v>
      </c>
      <c r="M89" s="45">
        <v>0</v>
      </c>
      <c r="N89" s="45">
        <f t="shared" si="12"/>
        <v>964958</v>
      </c>
      <c r="O89" s="46">
        <f t="shared" si="10"/>
        <v>0.68491919731074113</v>
      </c>
      <c r="P89" s="9"/>
    </row>
    <row r="90" spans="1:16">
      <c r="A90" s="11"/>
      <c r="B90" s="24">
        <v>344.9</v>
      </c>
      <c r="C90" s="19" t="s">
        <v>222</v>
      </c>
      <c r="D90" s="45">
        <v>1280346</v>
      </c>
      <c r="E90" s="45">
        <v>2697487</v>
      </c>
      <c r="F90" s="45">
        <v>0</v>
      </c>
      <c r="G90" s="45">
        <v>0</v>
      </c>
      <c r="H90" s="45">
        <v>0</v>
      </c>
      <c r="I90" s="45">
        <v>0</v>
      </c>
      <c r="J90" s="45">
        <v>0</v>
      </c>
      <c r="K90" s="45">
        <v>0</v>
      </c>
      <c r="L90" s="45">
        <v>0</v>
      </c>
      <c r="M90" s="45">
        <v>0</v>
      </c>
      <c r="N90" s="45">
        <f t="shared" si="12"/>
        <v>3977833</v>
      </c>
      <c r="O90" s="46">
        <f t="shared" si="10"/>
        <v>2.8234329218434144</v>
      </c>
      <c r="P90" s="9"/>
    </row>
    <row r="91" spans="1:16">
      <c r="A91" s="11"/>
      <c r="B91" s="24">
        <v>345.1</v>
      </c>
      <c r="C91" s="19" t="s">
        <v>99</v>
      </c>
      <c r="D91" s="45">
        <v>0</v>
      </c>
      <c r="E91" s="45">
        <v>0</v>
      </c>
      <c r="F91" s="45">
        <v>0</v>
      </c>
      <c r="G91" s="45">
        <v>0</v>
      </c>
      <c r="H91" s="45">
        <v>0</v>
      </c>
      <c r="I91" s="45">
        <v>0</v>
      </c>
      <c r="J91" s="45">
        <v>0</v>
      </c>
      <c r="K91" s="45">
        <v>0</v>
      </c>
      <c r="L91" s="45">
        <v>0</v>
      </c>
      <c r="M91" s="45">
        <v>423796</v>
      </c>
      <c r="N91" s="45">
        <f t="shared" si="12"/>
        <v>423796</v>
      </c>
      <c r="O91" s="46">
        <f t="shared" si="10"/>
        <v>0.3008068912258387</v>
      </c>
      <c r="P91" s="9"/>
    </row>
    <row r="92" spans="1:16">
      <c r="A92" s="11"/>
      <c r="B92" s="24">
        <v>345.9</v>
      </c>
      <c r="C92" s="19" t="s">
        <v>100</v>
      </c>
      <c r="D92" s="45">
        <v>126070</v>
      </c>
      <c r="E92" s="45">
        <v>0</v>
      </c>
      <c r="F92" s="45">
        <v>0</v>
      </c>
      <c r="G92" s="45">
        <v>0</v>
      </c>
      <c r="H92" s="45">
        <v>0</v>
      </c>
      <c r="I92" s="45">
        <v>0</v>
      </c>
      <c r="J92" s="45">
        <v>0</v>
      </c>
      <c r="K92" s="45">
        <v>0</v>
      </c>
      <c r="L92" s="45">
        <v>0</v>
      </c>
      <c r="M92" s="45">
        <v>0</v>
      </c>
      <c r="N92" s="45">
        <f t="shared" si="12"/>
        <v>126070</v>
      </c>
      <c r="O92" s="46">
        <f t="shared" si="10"/>
        <v>8.9483441978785744E-2</v>
      </c>
      <c r="P92" s="9"/>
    </row>
    <row r="93" spans="1:16">
      <c r="A93" s="11"/>
      <c r="B93" s="24">
        <v>346.4</v>
      </c>
      <c r="C93" s="19" t="s">
        <v>101</v>
      </c>
      <c r="D93" s="45">
        <v>313656</v>
      </c>
      <c r="E93" s="45">
        <v>0</v>
      </c>
      <c r="F93" s="45">
        <v>0</v>
      </c>
      <c r="G93" s="45">
        <v>0</v>
      </c>
      <c r="H93" s="45">
        <v>0</v>
      </c>
      <c r="I93" s="45">
        <v>0</v>
      </c>
      <c r="J93" s="45">
        <v>0</v>
      </c>
      <c r="K93" s="45">
        <v>0</v>
      </c>
      <c r="L93" s="45">
        <v>0</v>
      </c>
      <c r="M93" s="45">
        <v>0</v>
      </c>
      <c r="N93" s="45">
        <f t="shared" si="12"/>
        <v>313656</v>
      </c>
      <c r="O93" s="46">
        <f t="shared" si="10"/>
        <v>0.22263043132623164</v>
      </c>
      <c r="P93" s="9"/>
    </row>
    <row r="94" spans="1:16">
      <c r="A94" s="11"/>
      <c r="B94" s="24">
        <v>346.9</v>
      </c>
      <c r="C94" s="19" t="s">
        <v>102</v>
      </c>
      <c r="D94" s="45">
        <v>245018</v>
      </c>
      <c r="E94" s="45">
        <v>1386</v>
      </c>
      <c r="F94" s="45">
        <v>0</v>
      </c>
      <c r="G94" s="45">
        <v>0</v>
      </c>
      <c r="H94" s="45">
        <v>0</v>
      </c>
      <c r="I94" s="45">
        <v>0</v>
      </c>
      <c r="J94" s="45">
        <v>25496687</v>
      </c>
      <c r="K94" s="45">
        <v>0</v>
      </c>
      <c r="L94" s="45">
        <v>0</v>
      </c>
      <c r="M94" s="45">
        <v>0</v>
      </c>
      <c r="N94" s="45">
        <f t="shared" si="12"/>
        <v>25743091</v>
      </c>
      <c r="O94" s="46">
        <f t="shared" si="10"/>
        <v>18.272232806005405</v>
      </c>
      <c r="P94" s="9"/>
    </row>
    <row r="95" spans="1:16">
      <c r="A95" s="11"/>
      <c r="B95" s="24">
        <v>347.1</v>
      </c>
      <c r="C95" s="19" t="s">
        <v>103</v>
      </c>
      <c r="D95" s="45">
        <v>0</v>
      </c>
      <c r="E95" s="45">
        <v>17119</v>
      </c>
      <c r="F95" s="45">
        <v>0</v>
      </c>
      <c r="G95" s="45">
        <v>0</v>
      </c>
      <c r="H95" s="45">
        <v>0</v>
      </c>
      <c r="I95" s="45">
        <v>0</v>
      </c>
      <c r="J95" s="45">
        <v>0</v>
      </c>
      <c r="K95" s="45">
        <v>0</v>
      </c>
      <c r="L95" s="45">
        <v>0</v>
      </c>
      <c r="M95" s="45">
        <v>0</v>
      </c>
      <c r="N95" s="45">
        <f t="shared" si="12"/>
        <v>17119</v>
      </c>
      <c r="O95" s="46">
        <f t="shared" si="10"/>
        <v>1.2150924432734458E-2</v>
      </c>
      <c r="P95" s="9"/>
    </row>
    <row r="96" spans="1:16">
      <c r="A96" s="11"/>
      <c r="B96" s="24">
        <v>347.2</v>
      </c>
      <c r="C96" s="19" t="s">
        <v>104</v>
      </c>
      <c r="D96" s="45">
        <v>3567719</v>
      </c>
      <c r="E96" s="45">
        <v>0</v>
      </c>
      <c r="F96" s="45">
        <v>0</v>
      </c>
      <c r="G96" s="45">
        <v>0</v>
      </c>
      <c r="H96" s="45">
        <v>0</v>
      </c>
      <c r="I96" s="45">
        <v>0</v>
      </c>
      <c r="J96" s="45">
        <v>0</v>
      </c>
      <c r="K96" s="45">
        <v>0</v>
      </c>
      <c r="L96" s="45">
        <v>0</v>
      </c>
      <c r="M96" s="45">
        <v>0</v>
      </c>
      <c r="N96" s="45">
        <f t="shared" si="12"/>
        <v>3567719</v>
      </c>
      <c r="O96" s="46">
        <f t="shared" si="10"/>
        <v>2.5323374009130761</v>
      </c>
      <c r="P96" s="9"/>
    </row>
    <row r="97" spans="1:16">
      <c r="A97" s="11"/>
      <c r="B97" s="24">
        <v>347.4</v>
      </c>
      <c r="C97" s="19" t="s">
        <v>105</v>
      </c>
      <c r="D97" s="45">
        <v>10410</v>
      </c>
      <c r="E97" s="45">
        <v>5850</v>
      </c>
      <c r="F97" s="45">
        <v>409053</v>
      </c>
      <c r="G97" s="45">
        <v>0</v>
      </c>
      <c r="H97" s="45">
        <v>0</v>
      </c>
      <c r="I97" s="45">
        <v>0</v>
      </c>
      <c r="J97" s="45">
        <v>0</v>
      </c>
      <c r="K97" s="45">
        <v>0</v>
      </c>
      <c r="L97" s="45">
        <v>0</v>
      </c>
      <c r="M97" s="45">
        <v>0</v>
      </c>
      <c r="N97" s="45">
        <f t="shared" si="12"/>
        <v>425313</v>
      </c>
      <c r="O97" s="46">
        <f t="shared" si="10"/>
        <v>0.30188364526313399</v>
      </c>
      <c r="P97" s="9"/>
    </row>
    <row r="98" spans="1:16">
      <c r="A98" s="11"/>
      <c r="B98" s="24">
        <v>347.5</v>
      </c>
      <c r="C98" s="19" t="s">
        <v>106</v>
      </c>
      <c r="D98" s="45">
        <v>320024</v>
      </c>
      <c r="E98" s="45">
        <v>0</v>
      </c>
      <c r="F98" s="45">
        <v>0</v>
      </c>
      <c r="G98" s="45">
        <v>0</v>
      </c>
      <c r="H98" s="45">
        <v>0</v>
      </c>
      <c r="I98" s="45">
        <v>0</v>
      </c>
      <c r="J98" s="45">
        <v>0</v>
      </c>
      <c r="K98" s="45">
        <v>0</v>
      </c>
      <c r="L98" s="45">
        <v>0</v>
      </c>
      <c r="M98" s="45">
        <v>0</v>
      </c>
      <c r="N98" s="45">
        <f t="shared" si="12"/>
        <v>320024</v>
      </c>
      <c r="O98" s="46">
        <f t="shared" si="10"/>
        <v>0.22715038499102824</v>
      </c>
      <c r="P98" s="9"/>
    </row>
    <row r="99" spans="1:16">
      <c r="A99" s="11"/>
      <c r="B99" s="24">
        <v>347.9</v>
      </c>
      <c r="C99" s="19" t="s">
        <v>107</v>
      </c>
      <c r="D99" s="45">
        <v>59730</v>
      </c>
      <c r="E99" s="45">
        <v>0</v>
      </c>
      <c r="F99" s="45">
        <v>0</v>
      </c>
      <c r="G99" s="45">
        <v>0</v>
      </c>
      <c r="H99" s="45">
        <v>0</v>
      </c>
      <c r="I99" s="45">
        <v>0</v>
      </c>
      <c r="J99" s="45">
        <v>0</v>
      </c>
      <c r="K99" s="45">
        <v>0</v>
      </c>
      <c r="L99" s="45">
        <v>0</v>
      </c>
      <c r="M99" s="45">
        <v>0</v>
      </c>
      <c r="N99" s="45">
        <f t="shared" si="12"/>
        <v>59730</v>
      </c>
      <c r="O99" s="46">
        <f t="shared" si="10"/>
        <v>4.2395859359029689E-2</v>
      </c>
      <c r="P99" s="9"/>
    </row>
    <row r="100" spans="1:16">
      <c r="A100" s="11"/>
      <c r="B100" s="24">
        <v>348.11</v>
      </c>
      <c r="C100" s="19" t="s">
        <v>244</v>
      </c>
      <c r="D100" s="45">
        <v>0</v>
      </c>
      <c r="E100" s="45">
        <v>53173</v>
      </c>
      <c r="F100" s="45">
        <v>0</v>
      </c>
      <c r="G100" s="45">
        <v>0</v>
      </c>
      <c r="H100" s="45">
        <v>0</v>
      </c>
      <c r="I100" s="45">
        <v>0</v>
      </c>
      <c r="J100" s="45">
        <v>0</v>
      </c>
      <c r="K100" s="45">
        <v>0</v>
      </c>
      <c r="L100" s="45">
        <v>0</v>
      </c>
      <c r="M100" s="45">
        <v>0</v>
      </c>
      <c r="N100" s="45">
        <f>SUM(D100:M100)</f>
        <v>53173</v>
      </c>
      <c r="O100" s="46">
        <f t="shared" si="10"/>
        <v>3.7741755059395372E-2</v>
      </c>
      <c r="P100" s="9"/>
    </row>
    <row r="101" spans="1:16">
      <c r="A101" s="11"/>
      <c r="B101" s="24">
        <v>348.12</v>
      </c>
      <c r="C101" s="19" t="s">
        <v>245</v>
      </c>
      <c r="D101" s="45">
        <v>0</v>
      </c>
      <c r="E101" s="45">
        <v>78941</v>
      </c>
      <c r="F101" s="45">
        <v>0</v>
      </c>
      <c r="G101" s="45">
        <v>0</v>
      </c>
      <c r="H101" s="45">
        <v>0</v>
      </c>
      <c r="I101" s="45">
        <v>0</v>
      </c>
      <c r="J101" s="45">
        <v>0</v>
      </c>
      <c r="K101" s="45">
        <v>0</v>
      </c>
      <c r="L101" s="45">
        <v>0</v>
      </c>
      <c r="M101" s="45">
        <v>0</v>
      </c>
      <c r="N101" s="45">
        <f t="shared" ref="N101:N116" si="13">SUM(D101:M101)</f>
        <v>78941</v>
      </c>
      <c r="O101" s="46">
        <f t="shared" ref="O101:O132" si="14">(N101/O$158)</f>
        <v>5.6031668067322328E-2</v>
      </c>
      <c r="P101" s="9"/>
    </row>
    <row r="102" spans="1:16">
      <c r="A102" s="11"/>
      <c r="B102" s="24">
        <v>348.13</v>
      </c>
      <c r="C102" s="19" t="s">
        <v>246</v>
      </c>
      <c r="D102" s="45">
        <v>0</v>
      </c>
      <c r="E102" s="45">
        <v>245289</v>
      </c>
      <c r="F102" s="45">
        <v>0</v>
      </c>
      <c r="G102" s="45">
        <v>0</v>
      </c>
      <c r="H102" s="45">
        <v>0</v>
      </c>
      <c r="I102" s="45">
        <v>0</v>
      </c>
      <c r="J102" s="45">
        <v>0</v>
      </c>
      <c r="K102" s="45">
        <v>0</v>
      </c>
      <c r="L102" s="45">
        <v>0</v>
      </c>
      <c r="M102" s="45">
        <v>0</v>
      </c>
      <c r="N102" s="45">
        <f t="shared" si="13"/>
        <v>245289</v>
      </c>
      <c r="O102" s="46">
        <f t="shared" si="14"/>
        <v>0.17410410089263406</v>
      </c>
      <c r="P102" s="9"/>
    </row>
    <row r="103" spans="1:16">
      <c r="A103" s="11"/>
      <c r="B103" s="24">
        <v>348.21</v>
      </c>
      <c r="C103" s="19" t="s">
        <v>284</v>
      </c>
      <c r="D103" s="45">
        <v>0</v>
      </c>
      <c r="E103" s="45">
        <v>2641</v>
      </c>
      <c r="F103" s="45">
        <v>0</v>
      </c>
      <c r="G103" s="45">
        <v>0</v>
      </c>
      <c r="H103" s="45">
        <v>0</v>
      </c>
      <c r="I103" s="45">
        <v>0</v>
      </c>
      <c r="J103" s="45">
        <v>0</v>
      </c>
      <c r="K103" s="45">
        <v>0</v>
      </c>
      <c r="L103" s="45">
        <v>0</v>
      </c>
      <c r="M103" s="45">
        <v>0</v>
      </c>
      <c r="N103" s="45">
        <f t="shared" si="13"/>
        <v>2641</v>
      </c>
      <c r="O103" s="46">
        <f t="shared" si="14"/>
        <v>1.8745599291343949E-3</v>
      </c>
      <c r="P103" s="9"/>
    </row>
    <row r="104" spans="1:16">
      <c r="A104" s="11"/>
      <c r="B104" s="24">
        <v>348.22</v>
      </c>
      <c r="C104" s="19" t="s">
        <v>247</v>
      </c>
      <c r="D104" s="45">
        <v>0</v>
      </c>
      <c r="E104" s="45">
        <v>91073</v>
      </c>
      <c r="F104" s="45">
        <v>0</v>
      </c>
      <c r="G104" s="45">
        <v>0</v>
      </c>
      <c r="H104" s="45">
        <v>0</v>
      </c>
      <c r="I104" s="45">
        <v>0</v>
      </c>
      <c r="J104" s="45">
        <v>0</v>
      </c>
      <c r="K104" s="45">
        <v>0</v>
      </c>
      <c r="L104" s="45">
        <v>0</v>
      </c>
      <c r="M104" s="45">
        <v>0</v>
      </c>
      <c r="N104" s="45">
        <f t="shared" si="13"/>
        <v>91073</v>
      </c>
      <c r="O104" s="46">
        <f t="shared" si="14"/>
        <v>6.4642861198809826E-2</v>
      </c>
      <c r="P104" s="9"/>
    </row>
    <row r="105" spans="1:16">
      <c r="A105" s="11"/>
      <c r="B105" s="24">
        <v>348.23</v>
      </c>
      <c r="C105" s="19" t="s">
        <v>248</v>
      </c>
      <c r="D105" s="45">
        <v>0</v>
      </c>
      <c r="E105" s="45">
        <v>398303</v>
      </c>
      <c r="F105" s="45">
        <v>0</v>
      </c>
      <c r="G105" s="45">
        <v>0</v>
      </c>
      <c r="H105" s="45">
        <v>0</v>
      </c>
      <c r="I105" s="45">
        <v>0</v>
      </c>
      <c r="J105" s="45">
        <v>0</v>
      </c>
      <c r="K105" s="45">
        <v>0</v>
      </c>
      <c r="L105" s="45">
        <v>0</v>
      </c>
      <c r="M105" s="45">
        <v>0</v>
      </c>
      <c r="N105" s="45">
        <f t="shared" si="13"/>
        <v>398303</v>
      </c>
      <c r="O105" s="46">
        <f t="shared" si="14"/>
        <v>0.28271217094055923</v>
      </c>
      <c r="P105" s="9"/>
    </row>
    <row r="106" spans="1:16">
      <c r="A106" s="11"/>
      <c r="B106" s="24">
        <v>348.31</v>
      </c>
      <c r="C106" s="19" t="s">
        <v>249</v>
      </c>
      <c r="D106" s="45">
        <v>0</v>
      </c>
      <c r="E106" s="45">
        <v>10243816</v>
      </c>
      <c r="F106" s="45">
        <v>0</v>
      </c>
      <c r="G106" s="45">
        <v>0</v>
      </c>
      <c r="H106" s="45">
        <v>0</v>
      </c>
      <c r="I106" s="45">
        <v>0</v>
      </c>
      <c r="J106" s="45">
        <v>0</v>
      </c>
      <c r="K106" s="45">
        <v>0</v>
      </c>
      <c r="L106" s="45">
        <v>0</v>
      </c>
      <c r="M106" s="45">
        <v>0</v>
      </c>
      <c r="N106" s="45">
        <f t="shared" si="13"/>
        <v>10243816</v>
      </c>
      <c r="O106" s="46">
        <f t="shared" si="14"/>
        <v>7.2709757648715563</v>
      </c>
      <c r="P106" s="9"/>
    </row>
    <row r="107" spans="1:16">
      <c r="A107" s="11"/>
      <c r="B107" s="24">
        <v>348.32</v>
      </c>
      <c r="C107" s="19" t="s">
        <v>250</v>
      </c>
      <c r="D107" s="45">
        <v>0</v>
      </c>
      <c r="E107" s="45">
        <v>848878</v>
      </c>
      <c r="F107" s="45">
        <v>0</v>
      </c>
      <c r="G107" s="45">
        <v>0</v>
      </c>
      <c r="H107" s="45">
        <v>0</v>
      </c>
      <c r="I107" s="45">
        <v>0</v>
      </c>
      <c r="J107" s="45">
        <v>0</v>
      </c>
      <c r="K107" s="45">
        <v>0</v>
      </c>
      <c r="L107" s="45">
        <v>0</v>
      </c>
      <c r="M107" s="45">
        <v>0</v>
      </c>
      <c r="N107" s="45">
        <f t="shared" si="13"/>
        <v>848878</v>
      </c>
      <c r="O107" s="46">
        <f t="shared" si="14"/>
        <v>0.60252657460194881</v>
      </c>
      <c r="P107" s="9"/>
    </row>
    <row r="108" spans="1:16">
      <c r="A108" s="11"/>
      <c r="B108" s="24">
        <v>348.41</v>
      </c>
      <c r="C108" s="19" t="s">
        <v>251</v>
      </c>
      <c r="D108" s="45">
        <v>0</v>
      </c>
      <c r="E108" s="45">
        <v>3920508</v>
      </c>
      <c r="F108" s="45">
        <v>0</v>
      </c>
      <c r="G108" s="45">
        <v>0</v>
      </c>
      <c r="H108" s="45">
        <v>0</v>
      </c>
      <c r="I108" s="45">
        <v>0</v>
      </c>
      <c r="J108" s="45">
        <v>0</v>
      </c>
      <c r="K108" s="45">
        <v>0</v>
      </c>
      <c r="L108" s="45">
        <v>0</v>
      </c>
      <c r="M108" s="45">
        <v>0</v>
      </c>
      <c r="N108" s="45">
        <f t="shared" si="13"/>
        <v>3920508</v>
      </c>
      <c r="O108" s="46">
        <f t="shared" si="14"/>
        <v>2.7827441115679017</v>
      </c>
      <c r="P108" s="9"/>
    </row>
    <row r="109" spans="1:16">
      <c r="A109" s="11"/>
      <c r="B109" s="24">
        <v>348.42</v>
      </c>
      <c r="C109" s="19" t="s">
        <v>252</v>
      </c>
      <c r="D109" s="45">
        <v>0</v>
      </c>
      <c r="E109" s="45">
        <v>2176199</v>
      </c>
      <c r="F109" s="45">
        <v>0</v>
      </c>
      <c r="G109" s="45">
        <v>0</v>
      </c>
      <c r="H109" s="45">
        <v>0</v>
      </c>
      <c r="I109" s="45">
        <v>0</v>
      </c>
      <c r="J109" s="45">
        <v>0</v>
      </c>
      <c r="K109" s="45">
        <v>0</v>
      </c>
      <c r="L109" s="45">
        <v>0</v>
      </c>
      <c r="M109" s="45">
        <v>0</v>
      </c>
      <c r="N109" s="45">
        <f t="shared" si="13"/>
        <v>2176199</v>
      </c>
      <c r="O109" s="46">
        <f t="shared" si="14"/>
        <v>1.5446480284825221</v>
      </c>
      <c r="P109" s="9"/>
    </row>
    <row r="110" spans="1:16">
      <c r="A110" s="11"/>
      <c r="B110" s="24">
        <v>348.51</v>
      </c>
      <c r="C110" s="19" t="s">
        <v>254</v>
      </c>
      <c r="D110" s="45">
        <v>0</v>
      </c>
      <c r="E110" s="45">
        <v>5607</v>
      </c>
      <c r="F110" s="45">
        <v>0</v>
      </c>
      <c r="G110" s="45">
        <v>0</v>
      </c>
      <c r="H110" s="45">
        <v>0</v>
      </c>
      <c r="I110" s="45">
        <v>0</v>
      </c>
      <c r="J110" s="45">
        <v>0</v>
      </c>
      <c r="K110" s="45">
        <v>0</v>
      </c>
      <c r="L110" s="45">
        <v>0</v>
      </c>
      <c r="M110" s="45">
        <v>0</v>
      </c>
      <c r="N110" s="45">
        <f t="shared" si="13"/>
        <v>5607</v>
      </c>
      <c r="O110" s="46">
        <f t="shared" si="14"/>
        <v>3.979802166852159E-3</v>
      </c>
      <c r="P110" s="9"/>
    </row>
    <row r="111" spans="1:16">
      <c r="A111" s="11"/>
      <c r="B111" s="24">
        <v>348.52</v>
      </c>
      <c r="C111" s="19" t="s">
        <v>255</v>
      </c>
      <c r="D111" s="45">
        <v>0</v>
      </c>
      <c r="E111" s="45">
        <v>2693657</v>
      </c>
      <c r="F111" s="45">
        <v>0</v>
      </c>
      <c r="G111" s="45">
        <v>0</v>
      </c>
      <c r="H111" s="45">
        <v>0</v>
      </c>
      <c r="I111" s="45">
        <v>0</v>
      </c>
      <c r="J111" s="45">
        <v>0</v>
      </c>
      <c r="K111" s="45">
        <v>0</v>
      </c>
      <c r="L111" s="45">
        <v>0</v>
      </c>
      <c r="M111" s="45">
        <v>0</v>
      </c>
      <c r="N111" s="45">
        <f t="shared" si="13"/>
        <v>2693657</v>
      </c>
      <c r="O111" s="46">
        <f t="shared" si="14"/>
        <v>1.9119354316669317</v>
      </c>
      <c r="P111" s="9"/>
    </row>
    <row r="112" spans="1:16">
      <c r="A112" s="11"/>
      <c r="B112" s="24">
        <v>348.53</v>
      </c>
      <c r="C112" s="19" t="s">
        <v>256</v>
      </c>
      <c r="D112" s="45">
        <v>0</v>
      </c>
      <c r="E112" s="45">
        <v>3913746</v>
      </c>
      <c r="F112" s="45">
        <v>0</v>
      </c>
      <c r="G112" s="45">
        <v>0</v>
      </c>
      <c r="H112" s="45">
        <v>0</v>
      </c>
      <c r="I112" s="45">
        <v>0</v>
      </c>
      <c r="J112" s="45">
        <v>0</v>
      </c>
      <c r="K112" s="45">
        <v>0</v>
      </c>
      <c r="L112" s="45">
        <v>0</v>
      </c>
      <c r="M112" s="45">
        <v>0</v>
      </c>
      <c r="N112" s="45">
        <f t="shared" si="13"/>
        <v>3913746</v>
      </c>
      <c r="O112" s="46">
        <f t="shared" si="14"/>
        <v>2.7779444999659302</v>
      </c>
      <c r="P112" s="9"/>
    </row>
    <row r="113" spans="1:16">
      <c r="A113" s="11"/>
      <c r="B113" s="24">
        <v>348.61</v>
      </c>
      <c r="C113" s="19" t="s">
        <v>257</v>
      </c>
      <c r="D113" s="45">
        <v>0</v>
      </c>
      <c r="E113" s="45">
        <v>38864</v>
      </c>
      <c r="F113" s="45">
        <v>0</v>
      </c>
      <c r="G113" s="45">
        <v>0</v>
      </c>
      <c r="H113" s="45">
        <v>0</v>
      </c>
      <c r="I113" s="45">
        <v>0</v>
      </c>
      <c r="J113" s="45">
        <v>0</v>
      </c>
      <c r="K113" s="45">
        <v>0</v>
      </c>
      <c r="L113" s="45">
        <v>0</v>
      </c>
      <c r="M113" s="45">
        <v>0</v>
      </c>
      <c r="N113" s="45">
        <f t="shared" si="13"/>
        <v>38864</v>
      </c>
      <c r="O113" s="46">
        <f t="shared" si="14"/>
        <v>2.7585345356258659E-2</v>
      </c>
      <c r="P113" s="9"/>
    </row>
    <row r="114" spans="1:16">
      <c r="A114" s="11"/>
      <c r="B114" s="24">
        <v>348.62</v>
      </c>
      <c r="C114" s="19" t="s">
        <v>258</v>
      </c>
      <c r="D114" s="45">
        <v>0</v>
      </c>
      <c r="E114" s="45">
        <v>15297</v>
      </c>
      <c r="F114" s="45">
        <v>0</v>
      </c>
      <c r="G114" s="45">
        <v>0</v>
      </c>
      <c r="H114" s="45">
        <v>0</v>
      </c>
      <c r="I114" s="45">
        <v>0</v>
      </c>
      <c r="J114" s="45">
        <v>0</v>
      </c>
      <c r="K114" s="45">
        <v>0</v>
      </c>
      <c r="L114" s="45">
        <v>0</v>
      </c>
      <c r="M114" s="45">
        <v>0</v>
      </c>
      <c r="N114" s="45">
        <f t="shared" si="13"/>
        <v>15297</v>
      </c>
      <c r="O114" s="46">
        <f t="shared" si="14"/>
        <v>1.0857683921230155E-2</v>
      </c>
      <c r="P114" s="9"/>
    </row>
    <row r="115" spans="1:16">
      <c r="A115" s="11"/>
      <c r="B115" s="24">
        <v>348.71</v>
      </c>
      <c r="C115" s="19" t="s">
        <v>259</v>
      </c>
      <c r="D115" s="45">
        <v>0</v>
      </c>
      <c r="E115" s="45">
        <v>727670</v>
      </c>
      <c r="F115" s="45">
        <v>0</v>
      </c>
      <c r="G115" s="45">
        <v>0</v>
      </c>
      <c r="H115" s="45">
        <v>0</v>
      </c>
      <c r="I115" s="45">
        <v>0</v>
      </c>
      <c r="J115" s="45">
        <v>0</v>
      </c>
      <c r="K115" s="45">
        <v>0</v>
      </c>
      <c r="L115" s="45">
        <v>0</v>
      </c>
      <c r="M115" s="45">
        <v>0</v>
      </c>
      <c r="N115" s="45">
        <f t="shared" si="13"/>
        <v>727670</v>
      </c>
      <c r="O115" s="46">
        <f t="shared" si="14"/>
        <v>0.51649413995957028</v>
      </c>
      <c r="P115" s="9"/>
    </row>
    <row r="116" spans="1:16">
      <c r="A116" s="11"/>
      <c r="B116" s="24">
        <v>348.72</v>
      </c>
      <c r="C116" s="19" t="s">
        <v>260</v>
      </c>
      <c r="D116" s="45">
        <v>0</v>
      </c>
      <c r="E116" s="45">
        <v>118689</v>
      </c>
      <c r="F116" s="45">
        <v>0</v>
      </c>
      <c r="G116" s="45">
        <v>0</v>
      </c>
      <c r="H116" s="45">
        <v>0</v>
      </c>
      <c r="I116" s="45">
        <v>0</v>
      </c>
      <c r="J116" s="45">
        <v>0</v>
      </c>
      <c r="K116" s="45">
        <v>0</v>
      </c>
      <c r="L116" s="45">
        <v>0</v>
      </c>
      <c r="M116" s="45">
        <v>0</v>
      </c>
      <c r="N116" s="45">
        <f t="shared" si="13"/>
        <v>118689</v>
      </c>
      <c r="O116" s="46">
        <f t="shared" si="14"/>
        <v>8.4244469302927755E-2</v>
      </c>
      <c r="P116" s="9"/>
    </row>
    <row r="117" spans="1:16">
      <c r="A117" s="11"/>
      <c r="B117" s="24">
        <v>348.88</v>
      </c>
      <c r="C117" s="19" t="s">
        <v>223</v>
      </c>
      <c r="D117" s="45">
        <v>81127</v>
      </c>
      <c r="E117" s="45">
        <v>0</v>
      </c>
      <c r="F117" s="45">
        <v>0</v>
      </c>
      <c r="G117" s="45">
        <v>0</v>
      </c>
      <c r="H117" s="45">
        <v>0</v>
      </c>
      <c r="I117" s="45">
        <v>0</v>
      </c>
      <c r="J117" s="45">
        <v>0</v>
      </c>
      <c r="K117" s="45">
        <v>0</v>
      </c>
      <c r="L117" s="45">
        <v>0</v>
      </c>
      <c r="M117" s="45">
        <v>0</v>
      </c>
      <c r="N117" s="45">
        <f t="shared" si="12"/>
        <v>81127</v>
      </c>
      <c r="O117" s="46">
        <f t="shared" si="14"/>
        <v>5.7583272764440002E-2</v>
      </c>
      <c r="P117" s="9"/>
    </row>
    <row r="118" spans="1:16">
      <c r="A118" s="11"/>
      <c r="B118" s="24">
        <v>348.92099999999999</v>
      </c>
      <c r="C118" s="19" t="s">
        <v>224</v>
      </c>
      <c r="D118" s="45">
        <v>0</v>
      </c>
      <c r="E118" s="45">
        <v>267693</v>
      </c>
      <c r="F118" s="45">
        <v>0</v>
      </c>
      <c r="G118" s="45">
        <v>0</v>
      </c>
      <c r="H118" s="45">
        <v>0</v>
      </c>
      <c r="I118" s="45">
        <v>0</v>
      </c>
      <c r="J118" s="45">
        <v>0</v>
      </c>
      <c r="K118" s="45">
        <v>0</v>
      </c>
      <c r="L118" s="45">
        <v>0</v>
      </c>
      <c r="M118" s="45">
        <v>0</v>
      </c>
      <c r="N118" s="45">
        <f t="shared" si="12"/>
        <v>267693</v>
      </c>
      <c r="O118" s="46">
        <f t="shared" si="14"/>
        <v>0.19000627455879346</v>
      </c>
      <c r="P118" s="9"/>
    </row>
    <row r="119" spans="1:16">
      <c r="A119" s="11"/>
      <c r="B119" s="24">
        <v>348.92200000000003</v>
      </c>
      <c r="C119" s="19" t="s">
        <v>225</v>
      </c>
      <c r="D119" s="45">
        <v>0</v>
      </c>
      <c r="E119" s="45">
        <v>267693</v>
      </c>
      <c r="F119" s="45">
        <v>0</v>
      </c>
      <c r="G119" s="45">
        <v>0</v>
      </c>
      <c r="H119" s="45">
        <v>0</v>
      </c>
      <c r="I119" s="45">
        <v>0</v>
      </c>
      <c r="J119" s="45">
        <v>0</v>
      </c>
      <c r="K119" s="45">
        <v>0</v>
      </c>
      <c r="L119" s="45">
        <v>0</v>
      </c>
      <c r="M119" s="45">
        <v>0</v>
      </c>
      <c r="N119" s="45">
        <f t="shared" si="12"/>
        <v>267693</v>
      </c>
      <c r="O119" s="46">
        <f t="shared" si="14"/>
        <v>0.19000627455879346</v>
      </c>
      <c r="P119" s="9"/>
    </row>
    <row r="120" spans="1:16">
      <c r="A120" s="11"/>
      <c r="B120" s="24">
        <v>348.923</v>
      </c>
      <c r="C120" s="19" t="s">
        <v>226</v>
      </c>
      <c r="D120" s="45">
        <v>0</v>
      </c>
      <c r="E120" s="45">
        <v>267693</v>
      </c>
      <c r="F120" s="45">
        <v>0</v>
      </c>
      <c r="G120" s="45">
        <v>0</v>
      </c>
      <c r="H120" s="45">
        <v>0</v>
      </c>
      <c r="I120" s="45">
        <v>0</v>
      </c>
      <c r="J120" s="45">
        <v>0</v>
      </c>
      <c r="K120" s="45">
        <v>0</v>
      </c>
      <c r="L120" s="45">
        <v>0</v>
      </c>
      <c r="M120" s="45">
        <v>0</v>
      </c>
      <c r="N120" s="45">
        <f t="shared" si="12"/>
        <v>267693</v>
      </c>
      <c r="O120" s="46">
        <f t="shared" si="14"/>
        <v>0.19000627455879346</v>
      </c>
      <c r="P120" s="9"/>
    </row>
    <row r="121" spans="1:16">
      <c r="A121" s="11"/>
      <c r="B121" s="24">
        <v>348.92399999999998</v>
      </c>
      <c r="C121" s="19" t="s">
        <v>227</v>
      </c>
      <c r="D121" s="45">
        <v>0</v>
      </c>
      <c r="E121" s="45">
        <v>267693</v>
      </c>
      <c r="F121" s="45">
        <v>0</v>
      </c>
      <c r="G121" s="45">
        <v>0</v>
      </c>
      <c r="H121" s="45">
        <v>0</v>
      </c>
      <c r="I121" s="45">
        <v>0</v>
      </c>
      <c r="J121" s="45">
        <v>0</v>
      </c>
      <c r="K121" s="45">
        <v>0</v>
      </c>
      <c r="L121" s="45">
        <v>0</v>
      </c>
      <c r="M121" s="45">
        <v>0</v>
      </c>
      <c r="N121" s="45">
        <f t="shared" si="12"/>
        <v>267693</v>
      </c>
      <c r="O121" s="46">
        <f t="shared" si="14"/>
        <v>0.19000627455879346</v>
      </c>
      <c r="P121" s="9"/>
    </row>
    <row r="122" spans="1:16">
      <c r="A122" s="11"/>
      <c r="B122" s="24">
        <v>348.93</v>
      </c>
      <c r="C122" s="19" t="s">
        <v>228</v>
      </c>
      <c r="D122" s="45">
        <v>4839</v>
      </c>
      <c r="E122" s="45">
        <v>2110727</v>
      </c>
      <c r="F122" s="45">
        <v>0</v>
      </c>
      <c r="G122" s="45">
        <v>0</v>
      </c>
      <c r="H122" s="45">
        <v>0</v>
      </c>
      <c r="I122" s="45">
        <v>0</v>
      </c>
      <c r="J122" s="45">
        <v>0</v>
      </c>
      <c r="K122" s="45">
        <v>0</v>
      </c>
      <c r="L122" s="45">
        <v>0</v>
      </c>
      <c r="M122" s="45">
        <v>0</v>
      </c>
      <c r="N122" s="45">
        <f t="shared" si="12"/>
        <v>2115566</v>
      </c>
      <c r="O122" s="46">
        <f t="shared" si="14"/>
        <v>1.5016112272014901</v>
      </c>
      <c r="P122" s="9"/>
    </row>
    <row r="123" spans="1:16">
      <c r="A123" s="11"/>
      <c r="B123" s="24">
        <v>348.93200000000002</v>
      </c>
      <c r="C123" s="19" t="s">
        <v>229</v>
      </c>
      <c r="D123" s="45">
        <v>48654</v>
      </c>
      <c r="E123" s="45">
        <v>0</v>
      </c>
      <c r="F123" s="45">
        <v>0</v>
      </c>
      <c r="G123" s="45">
        <v>0</v>
      </c>
      <c r="H123" s="45">
        <v>0</v>
      </c>
      <c r="I123" s="45">
        <v>0</v>
      </c>
      <c r="J123" s="45">
        <v>0</v>
      </c>
      <c r="K123" s="45">
        <v>0</v>
      </c>
      <c r="L123" s="45">
        <v>0</v>
      </c>
      <c r="M123" s="45">
        <v>0</v>
      </c>
      <c r="N123" s="45">
        <f t="shared" si="12"/>
        <v>48654</v>
      </c>
      <c r="O123" s="46">
        <f t="shared" si="14"/>
        <v>3.4534206282508459E-2</v>
      </c>
      <c r="P123" s="9"/>
    </row>
    <row r="124" spans="1:16">
      <c r="A124" s="11"/>
      <c r="B124" s="24">
        <v>348.99</v>
      </c>
      <c r="C124" s="19" t="s">
        <v>231</v>
      </c>
      <c r="D124" s="45">
        <v>0</v>
      </c>
      <c r="E124" s="45">
        <v>2734122</v>
      </c>
      <c r="F124" s="45">
        <v>0</v>
      </c>
      <c r="G124" s="45">
        <v>0</v>
      </c>
      <c r="H124" s="45">
        <v>0</v>
      </c>
      <c r="I124" s="45">
        <v>0</v>
      </c>
      <c r="J124" s="45">
        <v>0</v>
      </c>
      <c r="K124" s="45">
        <v>0</v>
      </c>
      <c r="L124" s="45">
        <v>0</v>
      </c>
      <c r="M124" s="45">
        <v>0</v>
      </c>
      <c r="N124" s="45">
        <f t="shared" si="12"/>
        <v>2734122</v>
      </c>
      <c r="O124" s="46">
        <f t="shared" si="14"/>
        <v>1.940657153564858</v>
      </c>
      <c r="P124" s="9"/>
    </row>
    <row r="125" spans="1:16">
      <c r="A125" s="11"/>
      <c r="B125" s="24">
        <v>349</v>
      </c>
      <c r="C125" s="19" t="s">
        <v>1</v>
      </c>
      <c r="D125" s="45">
        <v>21105663</v>
      </c>
      <c r="E125" s="45">
        <v>151069</v>
      </c>
      <c r="F125" s="45">
        <v>0</v>
      </c>
      <c r="G125" s="45">
        <v>0</v>
      </c>
      <c r="H125" s="45">
        <v>0</v>
      </c>
      <c r="I125" s="45">
        <v>0</v>
      </c>
      <c r="J125" s="45">
        <v>0</v>
      </c>
      <c r="K125" s="45">
        <v>0</v>
      </c>
      <c r="L125" s="45">
        <v>0</v>
      </c>
      <c r="M125" s="45">
        <v>0</v>
      </c>
      <c r="N125" s="45">
        <f t="shared" si="12"/>
        <v>21256732</v>
      </c>
      <c r="O125" s="46">
        <f t="shared" si="14"/>
        <v>15.087852340609171</v>
      </c>
      <c r="P125" s="9"/>
    </row>
    <row r="126" spans="1:16" ht="15.75">
      <c r="A126" s="28" t="s">
        <v>76</v>
      </c>
      <c r="B126" s="29"/>
      <c r="C126" s="30"/>
      <c r="D126" s="31">
        <f t="shared" ref="D126:M126" si="15">SUM(D127:D138)</f>
        <v>7580731</v>
      </c>
      <c r="E126" s="31">
        <f t="shared" si="15"/>
        <v>7719816</v>
      </c>
      <c r="F126" s="31">
        <f t="shared" si="15"/>
        <v>0</v>
      </c>
      <c r="G126" s="31">
        <f t="shared" si="15"/>
        <v>0</v>
      </c>
      <c r="H126" s="31">
        <f t="shared" si="15"/>
        <v>0</v>
      </c>
      <c r="I126" s="31">
        <f t="shared" si="15"/>
        <v>1663</v>
      </c>
      <c r="J126" s="31">
        <f t="shared" si="15"/>
        <v>40</v>
      </c>
      <c r="K126" s="31">
        <f t="shared" si="15"/>
        <v>0</v>
      </c>
      <c r="L126" s="31">
        <f t="shared" si="15"/>
        <v>0</v>
      </c>
      <c r="M126" s="31">
        <f t="shared" si="15"/>
        <v>40</v>
      </c>
      <c r="N126" s="31">
        <f>SUM(D126:M126)</f>
        <v>15302290</v>
      </c>
      <c r="O126" s="44">
        <f t="shared" si="14"/>
        <v>10.861438719422173</v>
      </c>
      <c r="P126" s="10"/>
    </row>
    <row r="127" spans="1:16">
      <c r="A127" s="12"/>
      <c r="B127" s="38">
        <v>351.1</v>
      </c>
      <c r="C127" s="20" t="s">
        <v>134</v>
      </c>
      <c r="D127" s="45">
        <v>0</v>
      </c>
      <c r="E127" s="45">
        <v>514787</v>
      </c>
      <c r="F127" s="45">
        <v>0</v>
      </c>
      <c r="G127" s="45">
        <v>0</v>
      </c>
      <c r="H127" s="45">
        <v>0</v>
      </c>
      <c r="I127" s="45">
        <v>0</v>
      </c>
      <c r="J127" s="45">
        <v>0</v>
      </c>
      <c r="K127" s="45">
        <v>0</v>
      </c>
      <c r="L127" s="45">
        <v>0</v>
      </c>
      <c r="M127" s="45">
        <v>0</v>
      </c>
      <c r="N127" s="45">
        <f>SUM(D127:M127)</f>
        <v>514787</v>
      </c>
      <c r="O127" s="46">
        <f t="shared" si="14"/>
        <v>0.36539154950371361</v>
      </c>
      <c r="P127" s="9"/>
    </row>
    <row r="128" spans="1:16">
      <c r="A128" s="12"/>
      <c r="B128" s="38">
        <v>351.2</v>
      </c>
      <c r="C128" s="20" t="s">
        <v>136</v>
      </c>
      <c r="D128" s="45">
        <v>0</v>
      </c>
      <c r="E128" s="45">
        <v>214601</v>
      </c>
      <c r="F128" s="45">
        <v>0</v>
      </c>
      <c r="G128" s="45">
        <v>0</v>
      </c>
      <c r="H128" s="45">
        <v>0</v>
      </c>
      <c r="I128" s="45">
        <v>0</v>
      </c>
      <c r="J128" s="45">
        <v>0</v>
      </c>
      <c r="K128" s="45">
        <v>0</v>
      </c>
      <c r="L128" s="45">
        <v>0</v>
      </c>
      <c r="M128" s="45">
        <v>0</v>
      </c>
      <c r="N128" s="45">
        <f t="shared" ref="N128:N138" si="16">SUM(D128:M128)</f>
        <v>214601</v>
      </c>
      <c r="O128" s="46">
        <f t="shared" si="14"/>
        <v>0.15232201262861425</v>
      </c>
      <c r="P128" s="9"/>
    </row>
    <row r="129" spans="1:16">
      <c r="A129" s="12"/>
      <c r="B129" s="38">
        <v>351.3</v>
      </c>
      <c r="C129" s="20" t="s">
        <v>175</v>
      </c>
      <c r="D129" s="45">
        <v>0</v>
      </c>
      <c r="E129" s="45">
        <v>-7</v>
      </c>
      <c r="F129" s="45">
        <v>0</v>
      </c>
      <c r="G129" s="45">
        <v>0</v>
      </c>
      <c r="H129" s="45">
        <v>0</v>
      </c>
      <c r="I129" s="45">
        <v>0</v>
      </c>
      <c r="J129" s="45">
        <v>0</v>
      </c>
      <c r="K129" s="45">
        <v>0</v>
      </c>
      <c r="L129" s="45">
        <v>0</v>
      </c>
      <c r="M129" s="45">
        <v>0</v>
      </c>
      <c r="N129" s="45">
        <f t="shared" si="16"/>
        <v>-7</v>
      </c>
      <c r="O129" s="46">
        <f t="shared" si="14"/>
        <v>-4.9685420310264152E-6</v>
      </c>
      <c r="P129" s="9"/>
    </row>
    <row r="130" spans="1:16">
      <c r="A130" s="12"/>
      <c r="B130" s="38">
        <v>351.4</v>
      </c>
      <c r="C130" s="20" t="s">
        <v>184</v>
      </c>
      <c r="D130" s="45">
        <v>0</v>
      </c>
      <c r="E130" s="45">
        <v>450</v>
      </c>
      <c r="F130" s="45">
        <v>0</v>
      </c>
      <c r="G130" s="45">
        <v>0</v>
      </c>
      <c r="H130" s="45">
        <v>0</v>
      </c>
      <c r="I130" s="45">
        <v>0</v>
      </c>
      <c r="J130" s="45">
        <v>0</v>
      </c>
      <c r="K130" s="45">
        <v>0</v>
      </c>
      <c r="L130" s="45">
        <v>0</v>
      </c>
      <c r="M130" s="45">
        <v>0</v>
      </c>
      <c r="N130" s="45">
        <f t="shared" si="16"/>
        <v>450</v>
      </c>
      <c r="O130" s="46">
        <f t="shared" si="14"/>
        <v>3.1940627342312669E-4</v>
      </c>
      <c r="P130" s="9"/>
    </row>
    <row r="131" spans="1:16">
      <c r="A131" s="12"/>
      <c r="B131" s="38">
        <v>351.5</v>
      </c>
      <c r="C131" s="20" t="s">
        <v>137</v>
      </c>
      <c r="D131" s="45">
        <v>637972</v>
      </c>
      <c r="E131" s="45">
        <v>4242548</v>
      </c>
      <c r="F131" s="45">
        <v>0</v>
      </c>
      <c r="G131" s="45">
        <v>0</v>
      </c>
      <c r="H131" s="45">
        <v>0</v>
      </c>
      <c r="I131" s="45">
        <v>0</v>
      </c>
      <c r="J131" s="45">
        <v>0</v>
      </c>
      <c r="K131" s="45">
        <v>0</v>
      </c>
      <c r="L131" s="45">
        <v>0</v>
      </c>
      <c r="M131" s="45">
        <v>0</v>
      </c>
      <c r="N131" s="45">
        <f t="shared" si="16"/>
        <v>4880520</v>
      </c>
      <c r="O131" s="46">
        <f t="shared" si="14"/>
        <v>3.4641526790378632</v>
      </c>
      <c r="P131" s="9"/>
    </row>
    <row r="132" spans="1:16">
      <c r="A132" s="12"/>
      <c r="B132" s="38">
        <v>351.6</v>
      </c>
      <c r="C132" s="20" t="s">
        <v>277</v>
      </c>
      <c r="D132" s="45">
        <v>0</v>
      </c>
      <c r="E132" s="45">
        <v>192</v>
      </c>
      <c r="F132" s="45">
        <v>0</v>
      </c>
      <c r="G132" s="45">
        <v>0</v>
      </c>
      <c r="H132" s="45">
        <v>0</v>
      </c>
      <c r="I132" s="45">
        <v>0</v>
      </c>
      <c r="J132" s="45">
        <v>0</v>
      </c>
      <c r="K132" s="45">
        <v>0</v>
      </c>
      <c r="L132" s="45">
        <v>0</v>
      </c>
      <c r="M132" s="45">
        <v>0</v>
      </c>
      <c r="N132" s="45">
        <f t="shared" si="16"/>
        <v>192</v>
      </c>
      <c r="O132" s="46">
        <f t="shared" si="14"/>
        <v>1.362800099938674E-4</v>
      </c>
      <c r="P132" s="9"/>
    </row>
    <row r="133" spans="1:16">
      <c r="A133" s="12"/>
      <c r="B133" s="38">
        <v>351.7</v>
      </c>
      <c r="C133" s="20" t="s">
        <v>232</v>
      </c>
      <c r="D133" s="45">
        <v>0</v>
      </c>
      <c r="E133" s="45">
        <v>603276</v>
      </c>
      <c r="F133" s="45">
        <v>0</v>
      </c>
      <c r="G133" s="45">
        <v>0</v>
      </c>
      <c r="H133" s="45">
        <v>0</v>
      </c>
      <c r="I133" s="45">
        <v>0</v>
      </c>
      <c r="J133" s="45">
        <v>0</v>
      </c>
      <c r="K133" s="45">
        <v>0</v>
      </c>
      <c r="L133" s="45">
        <v>0</v>
      </c>
      <c r="M133" s="45">
        <v>0</v>
      </c>
      <c r="N133" s="45">
        <f t="shared" si="16"/>
        <v>603276</v>
      </c>
      <c r="O133" s="46">
        <f t="shared" ref="O133:O156" si="17">(N133/O$158)</f>
        <v>0.42820030890135596</v>
      </c>
      <c r="P133" s="9"/>
    </row>
    <row r="134" spans="1:16">
      <c r="A134" s="12"/>
      <c r="B134" s="38">
        <v>351.9</v>
      </c>
      <c r="C134" s="20" t="s">
        <v>234</v>
      </c>
      <c r="D134" s="45">
        <v>0</v>
      </c>
      <c r="E134" s="45">
        <v>1094746</v>
      </c>
      <c r="F134" s="45">
        <v>0</v>
      </c>
      <c r="G134" s="45">
        <v>0</v>
      </c>
      <c r="H134" s="45">
        <v>0</v>
      </c>
      <c r="I134" s="45">
        <v>0</v>
      </c>
      <c r="J134" s="45">
        <v>0</v>
      </c>
      <c r="K134" s="45">
        <v>0</v>
      </c>
      <c r="L134" s="45">
        <v>0</v>
      </c>
      <c r="M134" s="45">
        <v>0</v>
      </c>
      <c r="N134" s="45">
        <f t="shared" si="16"/>
        <v>1094746</v>
      </c>
      <c r="O134" s="46">
        <f t="shared" si="17"/>
        <v>0.77704164489972061</v>
      </c>
      <c r="P134" s="9"/>
    </row>
    <row r="135" spans="1:16">
      <c r="A135" s="12"/>
      <c r="B135" s="38">
        <v>352</v>
      </c>
      <c r="C135" s="20" t="s">
        <v>138</v>
      </c>
      <c r="D135" s="45">
        <v>0</v>
      </c>
      <c r="E135" s="45">
        <v>126038</v>
      </c>
      <c r="F135" s="45">
        <v>0</v>
      </c>
      <c r="G135" s="45">
        <v>0</v>
      </c>
      <c r="H135" s="45">
        <v>0</v>
      </c>
      <c r="I135" s="45">
        <v>0</v>
      </c>
      <c r="J135" s="45">
        <v>0</v>
      </c>
      <c r="K135" s="45">
        <v>0</v>
      </c>
      <c r="L135" s="45">
        <v>0</v>
      </c>
      <c r="M135" s="45">
        <v>0</v>
      </c>
      <c r="N135" s="45">
        <f t="shared" si="16"/>
        <v>126038</v>
      </c>
      <c r="O135" s="46">
        <f t="shared" si="17"/>
        <v>8.9460728643786763E-2</v>
      </c>
      <c r="P135" s="9"/>
    </row>
    <row r="136" spans="1:16">
      <c r="A136" s="12"/>
      <c r="B136" s="38">
        <v>353</v>
      </c>
      <c r="C136" s="20" t="s">
        <v>139</v>
      </c>
      <c r="D136" s="45">
        <v>0</v>
      </c>
      <c r="E136" s="45">
        <v>211372</v>
      </c>
      <c r="F136" s="45">
        <v>0</v>
      </c>
      <c r="G136" s="45">
        <v>0</v>
      </c>
      <c r="H136" s="45">
        <v>0</v>
      </c>
      <c r="I136" s="45">
        <v>0</v>
      </c>
      <c r="J136" s="45">
        <v>0</v>
      </c>
      <c r="K136" s="45">
        <v>0</v>
      </c>
      <c r="L136" s="45">
        <v>0</v>
      </c>
      <c r="M136" s="45">
        <v>0</v>
      </c>
      <c r="N136" s="45">
        <f t="shared" si="16"/>
        <v>211372</v>
      </c>
      <c r="O136" s="46">
        <f t="shared" si="17"/>
        <v>0.15003009516887364</v>
      </c>
      <c r="P136" s="9"/>
    </row>
    <row r="137" spans="1:16">
      <c r="A137" s="12"/>
      <c r="B137" s="38">
        <v>354</v>
      </c>
      <c r="C137" s="20" t="s">
        <v>140</v>
      </c>
      <c r="D137" s="45">
        <v>6879930</v>
      </c>
      <c r="E137" s="45">
        <v>95028</v>
      </c>
      <c r="F137" s="45">
        <v>0</v>
      </c>
      <c r="G137" s="45">
        <v>0</v>
      </c>
      <c r="H137" s="45">
        <v>0</v>
      </c>
      <c r="I137" s="45">
        <v>1663</v>
      </c>
      <c r="J137" s="45">
        <v>40</v>
      </c>
      <c r="K137" s="45">
        <v>0</v>
      </c>
      <c r="L137" s="45">
        <v>0</v>
      </c>
      <c r="M137" s="45">
        <v>40</v>
      </c>
      <c r="N137" s="45">
        <f t="shared" si="16"/>
        <v>6976701</v>
      </c>
      <c r="O137" s="46">
        <f t="shared" si="17"/>
        <v>4.9520045937720036</v>
      </c>
      <c r="P137" s="9"/>
    </row>
    <row r="138" spans="1:16">
      <c r="A138" s="12"/>
      <c r="B138" s="38">
        <v>359</v>
      </c>
      <c r="C138" s="20" t="s">
        <v>141</v>
      </c>
      <c r="D138" s="45">
        <v>62829</v>
      </c>
      <c r="E138" s="45">
        <v>616785</v>
      </c>
      <c r="F138" s="45">
        <v>0</v>
      </c>
      <c r="G138" s="45">
        <v>0</v>
      </c>
      <c r="H138" s="45">
        <v>0</v>
      </c>
      <c r="I138" s="45">
        <v>0</v>
      </c>
      <c r="J138" s="45">
        <v>0</v>
      </c>
      <c r="K138" s="45">
        <v>0</v>
      </c>
      <c r="L138" s="45">
        <v>0</v>
      </c>
      <c r="M138" s="45">
        <v>0</v>
      </c>
      <c r="N138" s="45">
        <f t="shared" si="16"/>
        <v>679614</v>
      </c>
      <c r="O138" s="46">
        <f t="shared" si="17"/>
        <v>0.48238438912485521</v>
      </c>
      <c r="P138" s="9"/>
    </row>
    <row r="139" spans="1:16" ht="15.75">
      <c r="A139" s="28" t="s">
        <v>5</v>
      </c>
      <c r="B139" s="29"/>
      <c r="C139" s="30"/>
      <c r="D139" s="31">
        <f t="shared" ref="D139:M139" si="18">SUM(D140:D147)</f>
        <v>14086317</v>
      </c>
      <c r="E139" s="31">
        <f t="shared" si="18"/>
        <v>32349874</v>
      </c>
      <c r="F139" s="31">
        <f t="shared" si="18"/>
        <v>875804</v>
      </c>
      <c r="G139" s="31">
        <f t="shared" si="18"/>
        <v>806753</v>
      </c>
      <c r="H139" s="31">
        <f t="shared" si="18"/>
        <v>0</v>
      </c>
      <c r="I139" s="31">
        <f t="shared" si="18"/>
        <v>-8977133</v>
      </c>
      <c r="J139" s="31">
        <f t="shared" si="18"/>
        <v>863733</v>
      </c>
      <c r="K139" s="31">
        <f t="shared" si="18"/>
        <v>0</v>
      </c>
      <c r="L139" s="31">
        <f t="shared" si="18"/>
        <v>0</v>
      </c>
      <c r="M139" s="31">
        <f t="shared" si="18"/>
        <v>850251</v>
      </c>
      <c r="N139" s="31">
        <f>SUM(D139:M139)</f>
        <v>40855599</v>
      </c>
      <c r="O139" s="44">
        <f t="shared" si="17"/>
        <v>28.998965833465828</v>
      </c>
      <c r="P139" s="10"/>
    </row>
    <row r="140" spans="1:16">
      <c r="A140" s="11"/>
      <c r="B140" s="24">
        <v>361.1</v>
      </c>
      <c r="C140" s="19" t="s">
        <v>142</v>
      </c>
      <c r="D140" s="45">
        <v>7349117</v>
      </c>
      <c r="E140" s="45">
        <v>6645332</v>
      </c>
      <c r="F140" s="45">
        <v>524606</v>
      </c>
      <c r="G140" s="45">
        <v>217076</v>
      </c>
      <c r="H140" s="45">
        <v>0</v>
      </c>
      <c r="I140" s="45">
        <v>0</v>
      </c>
      <c r="J140" s="45">
        <v>0</v>
      </c>
      <c r="K140" s="45">
        <v>0</v>
      </c>
      <c r="L140" s="45">
        <v>0</v>
      </c>
      <c r="M140" s="45">
        <v>98629</v>
      </c>
      <c r="N140" s="45">
        <f>SUM(D140:M140)</f>
        <v>14834760</v>
      </c>
      <c r="O140" s="46">
        <f t="shared" si="17"/>
        <v>10.529589797169919</v>
      </c>
      <c r="P140" s="9"/>
    </row>
    <row r="141" spans="1:16">
      <c r="A141" s="11"/>
      <c r="B141" s="24">
        <v>361.4</v>
      </c>
      <c r="C141" s="19" t="s">
        <v>261</v>
      </c>
      <c r="D141" s="45">
        <v>0</v>
      </c>
      <c r="E141" s="45">
        <v>0</v>
      </c>
      <c r="F141" s="45">
        <v>0</v>
      </c>
      <c r="G141" s="45">
        <v>0</v>
      </c>
      <c r="H141" s="45">
        <v>0</v>
      </c>
      <c r="I141" s="45">
        <v>0</v>
      </c>
      <c r="J141" s="45">
        <v>0</v>
      </c>
      <c r="K141" s="45">
        <v>0</v>
      </c>
      <c r="L141" s="45">
        <v>0</v>
      </c>
      <c r="M141" s="45">
        <v>751622</v>
      </c>
      <c r="N141" s="45">
        <f t="shared" ref="N141:N147" si="19">SUM(D141:M141)</f>
        <v>751622</v>
      </c>
      <c r="O141" s="46">
        <f t="shared" si="17"/>
        <v>0.53349507120630524</v>
      </c>
      <c r="P141" s="9"/>
    </row>
    <row r="142" spans="1:16">
      <c r="A142" s="11"/>
      <c r="B142" s="24">
        <v>362</v>
      </c>
      <c r="C142" s="19" t="s">
        <v>145</v>
      </c>
      <c r="D142" s="45">
        <v>1484010</v>
      </c>
      <c r="E142" s="45">
        <v>67943</v>
      </c>
      <c r="F142" s="45">
        <v>351198</v>
      </c>
      <c r="G142" s="45">
        <v>320083</v>
      </c>
      <c r="H142" s="45">
        <v>0</v>
      </c>
      <c r="I142" s="45">
        <v>268971</v>
      </c>
      <c r="J142" s="45">
        <v>0</v>
      </c>
      <c r="K142" s="45">
        <v>0</v>
      </c>
      <c r="L142" s="45">
        <v>0</v>
      </c>
      <c r="M142" s="45">
        <v>0</v>
      </c>
      <c r="N142" s="45">
        <f t="shared" si="19"/>
        <v>2492205</v>
      </c>
      <c r="O142" s="46">
        <f t="shared" si="17"/>
        <v>1.7689464703477411</v>
      </c>
      <c r="P142" s="9"/>
    </row>
    <row r="143" spans="1:16">
      <c r="A143" s="11"/>
      <c r="B143" s="24">
        <v>364</v>
      </c>
      <c r="C143" s="19" t="s">
        <v>237</v>
      </c>
      <c r="D143" s="45">
        <v>1867898</v>
      </c>
      <c r="E143" s="45">
        <v>141333</v>
      </c>
      <c r="F143" s="45">
        <v>0</v>
      </c>
      <c r="G143" s="45">
        <v>183000</v>
      </c>
      <c r="H143" s="45">
        <v>0</v>
      </c>
      <c r="I143" s="45">
        <v>-10312293</v>
      </c>
      <c r="J143" s="45">
        <v>828052</v>
      </c>
      <c r="K143" s="45">
        <v>0</v>
      </c>
      <c r="L143" s="45">
        <v>0</v>
      </c>
      <c r="M143" s="45">
        <v>0</v>
      </c>
      <c r="N143" s="45">
        <f t="shared" si="19"/>
        <v>-7292010</v>
      </c>
      <c r="O143" s="46">
        <f t="shared" si="17"/>
        <v>-5.1758083108092761</v>
      </c>
      <c r="P143" s="9"/>
    </row>
    <row r="144" spans="1:16">
      <c r="A144" s="11"/>
      <c r="B144" s="24">
        <v>365</v>
      </c>
      <c r="C144" s="19" t="s">
        <v>238</v>
      </c>
      <c r="D144" s="45">
        <v>224550</v>
      </c>
      <c r="E144" s="45">
        <v>43037</v>
      </c>
      <c r="F144" s="45">
        <v>0</v>
      </c>
      <c r="G144" s="45">
        <v>0</v>
      </c>
      <c r="H144" s="45">
        <v>0</v>
      </c>
      <c r="I144" s="45">
        <v>105092</v>
      </c>
      <c r="J144" s="45">
        <v>13914</v>
      </c>
      <c r="K144" s="45">
        <v>0</v>
      </c>
      <c r="L144" s="45">
        <v>0</v>
      </c>
      <c r="M144" s="45">
        <v>0</v>
      </c>
      <c r="N144" s="45">
        <f t="shared" si="19"/>
        <v>386593</v>
      </c>
      <c r="O144" s="46">
        <f t="shared" si="17"/>
        <v>0.2744005099143707</v>
      </c>
      <c r="P144" s="9"/>
    </row>
    <row r="145" spans="1:119">
      <c r="A145" s="11"/>
      <c r="B145" s="24">
        <v>366</v>
      </c>
      <c r="C145" s="19" t="s">
        <v>148</v>
      </c>
      <c r="D145" s="45">
        <v>135556</v>
      </c>
      <c r="E145" s="45">
        <v>18833458</v>
      </c>
      <c r="F145" s="45">
        <v>0</v>
      </c>
      <c r="G145" s="45">
        <v>10000</v>
      </c>
      <c r="H145" s="45">
        <v>0</v>
      </c>
      <c r="I145" s="45">
        <v>0</v>
      </c>
      <c r="J145" s="45">
        <v>0</v>
      </c>
      <c r="K145" s="45">
        <v>0</v>
      </c>
      <c r="L145" s="45">
        <v>0</v>
      </c>
      <c r="M145" s="45">
        <v>0</v>
      </c>
      <c r="N145" s="45">
        <f t="shared" si="19"/>
        <v>18979014</v>
      </c>
      <c r="O145" s="46">
        <f t="shared" si="17"/>
        <v>13.471146966634111</v>
      </c>
      <c r="P145" s="9"/>
    </row>
    <row r="146" spans="1:119">
      <c r="A146" s="11"/>
      <c r="B146" s="24">
        <v>369.3</v>
      </c>
      <c r="C146" s="19" t="s">
        <v>150</v>
      </c>
      <c r="D146" s="45">
        <v>142346</v>
      </c>
      <c r="E146" s="45">
        <v>816001</v>
      </c>
      <c r="F146" s="45">
        <v>0</v>
      </c>
      <c r="G146" s="45">
        <v>0</v>
      </c>
      <c r="H146" s="45">
        <v>0</v>
      </c>
      <c r="I146" s="45">
        <v>0</v>
      </c>
      <c r="J146" s="45">
        <v>0</v>
      </c>
      <c r="K146" s="45">
        <v>0</v>
      </c>
      <c r="L146" s="45">
        <v>0</v>
      </c>
      <c r="M146" s="45">
        <v>0</v>
      </c>
      <c r="N146" s="45">
        <f t="shared" si="19"/>
        <v>958347</v>
      </c>
      <c r="O146" s="46">
        <f t="shared" si="17"/>
        <v>0.68022676425829609</v>
      </c>
      <c r="P146" s="9"/>
    </row>
    <row r="147" spans="1:119">
      <c r="A147" s="11"/>
      <c r="B147" s="24">
        <v>369.9</v>
      </c>
      <c r="C147" s="19" t="s">
        <v>151</v>
      </c>
      <c r="D147" s="45">
        <v>2882840</v>
      </c>
      <c r="E147" s="45">
        <v>5802770</v>
      </c>
      <c r="F147" s="45">
        <v>0</v>
      </c>
      <c r="G147" s="45">
        <v>76594</v>
      </c>
      <c r="H147" s="45">
        <v>0</v>
      </c>
      <c r="I147" s="45">
        <v>961097</v>
      </c>
      <c r="J147" s="45">
        <v>21767</v>
      </c>
      <c r="K147" s="45">
        <v>0</v>
      </c>
      <c r="L147" s="45">
        <v>0</v>
      </c>
      <c r="M147" s="45">
        <v>0</v>
      </c>
      <c r="N147" s="45">
        <f t="shared" si="19"/>
        <v>9745068</v>
      </c>
      <c r="O147" s="46">
        <f t="shared" si="17"/>
        <v>6.9169685647443613</v>
      </c>
      <c r="P147" s="9"/>
    </row>
    <row r="148" spans="1:119" ht="15.75">
      <c r="A148" s="28" t="s">
        <v>77</v>
      </c>
      <c r="B148" s="29"/>
      <c r="C148" s="30"/>
      <c r="D148" s="31">
        <f t="shared" ref="D148:M148" si="20">SUM(D149:D155)</f>
        <v>669347959</v>
      </c>
      <c r="E148" s="31">
        <f t="shared" si="20"/>
        <v>191709641</v>
      </c>
      <c r="F148" s="31">
        <f t="shared" si="20"/>
        <v>151616646</v>
      </c>
      <c r="G148" s="31">
        <f t="shared" si="20"/>
        <v>25175019</v>
      </c>
      <c r="H148" s="31">
        <f t="shared" si="20"/>
        <v>0</v>
      </c>
      <c r="I148" s="31">
        <f t="shared" si="20"/>
        <v>65609333</v>
      </c>
      <c r="J148" s="31">
        <f t="shared" si="20"/>
        <v>6430600</v>
      </c>
      <c r="K148" s="31">
        <f t="shared" si="20"/>
        <v>0</v>
      </c>
      <c r="L148" s="31">
        <f t="shared" si="20"/>
        <v>0</v>
      </c>
      <c r="M148" s="31">
        <f t="shared" si="20"/>
        <v>0</v>
      </c>
      <c r="N148" s="31">
        <f>SUM(D148:M148)</f>
        <v>1109889198</v>
      </c>
      <c r="O148" s="44">
        <f t="shared" si="17"/>
        <v>787.79016143502849</v>
      </c>
      <c r="P148" s="9"/>
    </row>
    <row r="149" spans="1:119">
      <c r="A149" s="11"/>
      <c r="B149" s="24">
        <v>381</v>
      </c>
      <c r="C149" s="19" t="s">
        <v>152</v>
      </c>
      <c r="D149" s="45">
        <v>669275337</v>
      </c>
      <c r="E149" s="45">
        <v>191709641</v>
      </c>
      <c r="F149" s="45">
        <v>54465925</v>
      </c>
      <c r="G149" s="45">
        <v>24236117</v>
      </c>
      <c r="H149" s="45">
        <v>0</v>
      </c>
      <c r="I149" s="45">
        <v>0</v>
      </c>
      <c r="J149" s="45">
        <v>3649496</v>
      </c>
      <c r="K149" s="45">
        <v>0</v>
      </c>
      <c r="L149" s="45">
        <v>0</v>
      </c>
      <c r="M149" s="45">
        <v>0</v>
      </c>
      <c r="N149" s="45">
        <f>SUM(D149:M149)</f>
        <v>943336516</v>
      </c>
      <c r="O149" s="46">
        <f t="shared" si="17"/>
        <v>669.5724470211461</v>
      </c>
      <c r="P149" s="9"/>
    </row>
    <row r="150" spans="1:119">
      <c r="A150" s="11"/>
      <c r="B150" s="24">
        <v>383</v>
      </c>
      <c r="C150" s="19" t="s">
        <v>199</v>
      </c>
      <c r="D150" s="45">
        <v>72622</v>
      </c>
      <c r="E150" s="45">
        <v>0</v>
      </c>
      <c r="F150" s="45">
        <v>0</v>
      </c>
      <c r="G150" s="45">
        <v>0</v>
      </c>
      <c r="H150" s="45">
        <v>0</v>
      </c>
      <c r="I150" s="45">
        <v>0</v>
      </c>
      <c r="J150" s="45">
        <v>0</v>
      </c>
      <c r="K150" s="45">
        <v>0</v>
      </c>
      <c r="L150" s="45">
        <v>0</v>
      </c>
      <c r="M150" s="45">
        <v>0</v>
      </c>
      <c r="N150" s="45">
        <f t="shared" ref="N150:N155" si="21">SUM(D150:M150)</f>
        <v>72622</v>
      </c>
      <c r="O150" s="46">
        <f t="shared" si="17"/>
        <v>5.1546494196742905E-2</v>
      </c>
      <c r="P150" s="9"/>
    </row>
    <row r="151" spans="1:119">
      <c r="A151" s="11"/>
      <c r="B151" s="24">
        <v>384</v>
      </c>
      <c r="C151" s="19" t="s">
        <v>153</v>
      </c>
      <c r="D151" s="45">
        <v>0</v>
      </c>
      <c r="E151" s="45">
        <v>0</v>
      </c>
      <c r="F151" s="45">
        <v>97150721</v>
      </c>
      <c r="G151" s="45">
        <v>1543</v>
      </c>
      <c r="H151" s="45">
        <v>0</v>
      </c>
      <c r="I151" s="45">
        <v>0</v>
      </c>
      <c r="J151" s="45">
        <v>0</v>
      </c>
      <c r="K151" s="45">
        <v>0</v>
      </c>
      <c r="L151" s="45">
        <v>0</v>
      </c>
      <c r="M151" s="45">
        <v>0</v>
      </c>
      <c r="N151" s="45">
        <f t="shared" si="21"/>
        <v>97152264</v>
      </c>
      <c r="O151" s="46">
        <f t="shared" si="17"/>
        <v>68.957872441910652</v>
      </c>
      <c r="P151" s="9"/>
    </row>
    <row r="152" spans="1:119">
      <c r="A152" s="11"/>
      <c r="B152" s="24">
        <v>389.1</v>
      </c>
      <c r="C152" s="19" t="s">
        <v>239</v>
      </c>
      <c r="D152" s="45">
        <v>0</v>
      </c>
      <c r="E152" s="45">
        <v>0</v>
      </c>
      <c r="F152" s="45">
        <v>0</v>
      </c>
      <c r="G152" s="45">
        <v>0</v>
      </c>
      <c r="H152" s="45">
        <v>0</v>
      </c>
      <c r="I152" s="45">
        <v>12827604</v>
      </c>
      <c r="J152" s="45">
        <v>2771104</v>
      </c>
      <c r="K152" s="45">
        <v>0</v>
      </c>
      <c r="L152" s="45">
        <v>0</v>
      </c>
      <c r="M152" s="45">
        <v>0</v>
      </c>
      <c r="N152" s="45">
        <f t="shared" si="21"/>
        <v>15598708</v>
      </c>
      <c r="O152" s="46">
        <f t="shared" si="17"/>
        <v>11.071833761101143</v>
      </c>
      <c r="P152" s="9"/>
    </row>
    <row r="153" spans="1:119">
      <c r="A153" s="11"/>
      <c r="B153" s="24">
        <v>389.2</v>
      </c>
      <c r="C153" s="19" t="s">
        <v>271</v>
      </c>
      <c r="D153" s="45">
        <v>0</v>
      </c>
      <c r="E153" s="45">
        <v>0</v>
      </c>
      <c r="F153" s="45">
        <v>0</v>
      </c>
      <c r="G153" s="45">
        <v>937359</v>
      </c>
      <c r="H153" s="45">
        <v>0</v>
      </c>
      <c r="I153" s="45">
        <v>0</v>
      </c>
      <c r="J153" s="45">
        <v>0</v>
      </c>
      <c r="K153" s="45">
        <v>0</v>
      </c>
      <c r="L153" s="45">
        <v>0</v>
      </c>
      <c r="M153" s="45">
        <v>0</v>
      </c>
      <c r="N153" s="45">
        <f t="shared" si="21"/>
        <v>937359</v>
      </c>
      <c r="O153" s="46">
        <f t="shared" si="17"/>
        <v>0.66532965566584146</v>
      </c>
      <c r="P153" s="9"/>
    </row>
    <row r="154" spans="1:119">
      <c r="A154" s="11"/>
      <c r="B154" s="24">
        <v>389.4</v>
      </c>
      <c r="C154" s="19" t="s">
        <v>240</v>
      </c>
      <c r="D154" s="45">
        <v>0</v>
      </c>
      <c r="E154" s="45">
        <v>0</v>
      </c>
      <c r="F154" s="45">
        <v>0</v>
      </c>
      <c r="G154" s="45">
        <v>0</v>
      </c>
      <c r="H154" s="45">
        <v>0</v>
      </c>
      <c r="I154" s="45">
        <v>49875349</v>
      </c>
      <c r="J154" s="45">
        <v>0</v>
      </c>
      <c r="K154" s="45">
        <v>0</v>
      </c>
      <c r="L154" s="45">
        <v>0</v>
      </c>
      <c r="M154" s="45">
        <v>0</v>
      </c>
      <c r="N154" s="45">
        <f t="shared" si="21"/>
        <v>49875349</v>
      </c>
      <c r="O154" s="46">
        <f t="shared" si="17"/>
        <v>35.40110968837304</v>
      </c>
      <c r="P154" s="9"/>
    </row>
    <row r="155" spans="1:119" ht="15.75" thickBot="1">
      <c r="A155" s="11"/>
      <c r="B155" s="24">
        <v>389.9</v>
      </c>
      <c r="C155" s="19" t="s">
        <v>241</v>
      </c>
      <c r="D155" s="45">
        <v>0</v>
      </c>
      <c r="E155" s="45">
        <v>0</v>
      </c>
      <c r="F155" s="45">
        <v>0</v>
      </c>
      <c r="G155" s="45">
        <v>0</v>
      </c>
      <c r="H155" s="45">
        <v>0</v>
      </c>
      <c r="I155" s="45">
        <v>2906380</v>
      </c>
      <c r="J155" s="45">
        <v>10000</v>
      </c>
      <c r="K155" s="45">
        <v>0</v>
      </c>
      <c r="L155" s="45">
        <v>0</v>
      </c>
      <c r="M155" s="45">
        <v>0</v>
      </c>
      <c r="N155" s="45">
        <f t="shared" si="21"/>
        <v>2916380</v>
      </c>
      <c r="O155" s="46">
        <f t="shared" si="17"/>
        <v>2.0700223726349738</v>
      </c>
      <c r="P155" s="9"/>
    </row>
    <row r="156" spans="1:119" ht="16.5" thickBot="1">
      <c r="A156" s="13" t="s">
        <v>114</v>
      </c>
      <c r="B156" s="22"/>
      <c r="C156" s="21"/>
      <c r="D156" s="14">
        <f t="shared" ref="D156:M156" si="22">SUM(D5,D13,D27,D70,D126,D139,D148)</f>
        <v>1559407499</v>
      </c>
      <c r="E156" s="14">
        <f t="shared" si="22"/>
        <v>1028539893</v>
      </c>
      <c r="F156" s="14">
        <f t="shared" si="22"/>
        <v>159255502</v>
      </c>
      <c r="G156" s="14">
        <f t="shared" si="22"/>
        <v>29453395</v>
      </c>
      <c r="H156" s="14">
        <f t="shared" si="22"/>
        <v>0</v>
      </c>
      <c r="I156" s="14">
        <f t="shared" si="22"/>
        <v>417002575</v>
      </c>
      <c r="J156" s="14">
        <f t="shared" si="22"/>
        <v>203188644</v>
      </c>
      <c r="K156" s="14">
        <f t="shared" si="22"/>
        <v>0</v>
      </c>
      <c r="L156" s="14">
        <f t="shared" si="22"/>
        <v>0</v>
      </c>
      <c r="M156" s="14">
        <f t="shared" si="22"/>
        <v>6315528</v>
      </c>
      <c r="N156" s="14">
        <f>SUM(D156:M156)</f>
        <v>3403163036</v>
      </c>
      <c r="O156" s="37">
        <f t="shared" si="17"/>
        <v>2415.536940400209</v>
      </c>
      <c r="P156" s="6"/>
      <c r="Q156" s="2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</row>
    <row r="157" spans="1:119">
      <c r="A157" s="15"/>
      <c r="B157" s="17"/>
      <c r="C157" s="17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8"/>
    </row>
    <row r="158" spans="1:119">
      <c r="A158" s="39"/>
      <c r="B158" s="40"/>
      <c r="C158" s="40"/>
      <c r="D158" s="41"/>
      <c r="E158" s="41"/>
      <c r="F158" s="41"/>
      <c r="G158" s="41"/>
      <c r="H158" s="41"/>
      <c r="I158" s="41"/>
      <c r="J158" s="41"/>
      <c r="K158" s="41"/>
      <c r="L158" s="48" t="s">
        <v>288</v>
      </c>
      <c r="M158" s="48"/>
      <c r="N158" s="48"/>
      <c r="O158" s="42">
        <v>1408864</v>
      </c>
    </row>
    <row r="159" spans="1:119">
      <c r="A159" s="49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1"/>
    </row>
    <row r="160" spans="1:119" ht="15.75" customHeight="1" thickBot="1">
      <c r="A160" s="52" t="s">
        <v>178</v>
      </c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4"/>
    </row>
  </sheetData>
  <mergeCells count="10">
    <mergeCell ref="L158:N158"/>
    <mergeCell ref="A159:O159"/>
    <mergeCell ref="A160:O160"/>
    <mergeCell ref="A1:O1"/>
    <mergeCell ref="A2:O2"/>
    <mergeCell ref="A3:C4"/>
    <mergeCell ref="D3:H3"/>
    <mergeCell ref="I3:J3"/>
    <mergeCell ref="K3:L3"/>
    <mergeCell ref="O3:O4"/>
  </mergeCells>
  <printOptions horizontalCentered="1"/>
  <pageMargins left="0.5" right="0.5" top="0.5" bottom="0.5" header="0.3" footer="0.3"/>
  <pageSetup paperSize="5" scale="55" fitToHeight="0" orientation="landscape" r:id="rId1"/>
  <headerFooter>
    <oddFooter>&amp;L&amp;14Office of Economic and Demographic Research&amp;R&amp;14Page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EC161"/>
  <sheetViews>
    <sheetView workbookViewId="0">
      <selection activeCell="D5" sqref="D5"/>
    </sheetView>
  </sheetViews>
  <sheetFormatPr defaultColWidth="9.77734375" defaultRowHeight="15"/>
  <cols>
    <col min="1" max="1" width="1.77734375" style="3" customWidth="1"/>
    <col min="2" max="2" width="6.77734375" style="3" customWidth="1"/>
    <col min="3" max="3" width="60.77734375" style="3" customWidth="1"/>
    <col min="4" max="5" width="16.77734375" style="4" customWidth="1"/>
    <col min="6" max="7" width="15.77734375" style="4" customWidth="1"/>
    <col min="8" max="8" width="13.77734375" style="4" customWidth="1"/>
    <col min="9" max="10" width="15.77734375" style="4" customWidth="1"/>
    <col min="11" max="13" width="13.77734375" style="4" customWidth="1"/>
    <col min="14" max="14" width="16.77734375" style="4" customWidth="1"/>
    <col min="15" max="15" width="13.77734375" style="3" customWidth="1"/>
    <col min="16" max="16" width="9.77734375" style="3" customWidth="1"/>
    <col min="17" max="17" width="9.77734375" style="3"/>
  </cols>
  <sheetData>
    <row r="1" spans="1:133" ht="27.75">
      <c r="A1" s="55" t="s">
        <v>165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7"/>
      <c r="P1" s="7"/>
      <c r="Q1"/>
    </row>
    <row r="2" spans="1:133" ht="24" thickBot="1">
      <c r="A2" s="58" t="s">
        <v>282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60"/>
      <c r="P2" s="7"/>
      <c r="Q2"/>
    </row>
    <row r="3" spans="1:133" ht="18" customHeight="1">
      <c r="A3" s="61" t="s">
        <v>158</v>
      </c>
      <c r="B3" s="62"/>
      <c r="C3" s="63"/>
      <c r="D3" s="67" t="s">
        <v>71</v>
      </c>
      <c r="E3" s="68"/>
      <c r="F3" s="68"/>
      <c r="G3" s="68"/>
      <c r="H3" s="69"/>
      <c r="I3" s="67" t="s">
        <v>72</v>
      </c>
      <c r="J3" s="69"/>
      <c r="K3" s="67" t="s">
        <v>74</v>
      </c>
      <c r="L3" s="69"/>
      <c r="M3" s="35"/>
      <c r="N3" s="36"/>
      <c r="O3" s="70" t="s">
        <v>163</v>
      </c>
      <c r="P3" s="5"/>
      <c r="Q3"/>
    </row>
    <row r="4" spans="1:133" ht="32.25" customHeight="1" thickBot="1">
      <c r="A4" s="64"/>
      <c r="B4" s="65"/>
      <c r="C4" s="66"/>
      <c r="D4" s="33" t="s">
        <v>6</v>
      </c>
      <c r="E4" s="33" t="s">
        <v>159</v>
      </c>
      <c r="F4" s="33" t="s">
        <v>160</v>
      </c>
      <c r="G4" s="33" t="s">
        <v>161</v>
      </c>
      <c r="H4" s="33" t="s">
        <v>7</v>
      </c>
      <c r="I4" s="33" t="s">
        <v>8</v>
      </c>
      <c r="J4" s="34" t="s">
        <v>162</v>
      </c>
      <c r="K4" s="34" t="s">
        <v>9</v>
      </c>
      <c r="L4" s="34" t="s">
        <v>10</v>
      </c>
      <c r="M4" s="34" t="s">
        <v>11</v>
      </c>
      <c r="N4" s="34" t="s">
        <v>73</v>
      </c>
      <c r="O4" s="71"/>
      <c r="P4" s="8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</row>
    <row r="5" spans="1:133" ht="15.75">
      <c r="A5" s="23" t="s">
        <v>2</v>
      </c>
      <c r="B5" s="25"/>
      <c r="C5" s="25"/>
      <c r="D5" s="26">
        <f t="shared" ref="D5:M5" si="0">SUM(D6:D12)</f>
        <v>642805219</v>
      </c>
      <c r="E5" s="26">
        <f t="shared" si="0"/>
        <v>377606045</v>
      </c>
      <c r="F5" s="26">
        <f t="shared" si="0"/>
        <v>5848176</v>
      </c>
      <c r="G5" s="26">
        <f t="shared" si="0"/>
        <v>0</v>
      </c>
      <c r="H5" s="26">
        <f t="shared" si="0"/>
        <v>0</v>
      </c>
      <c r="I5" s="26">
        <f t="shared" si="0"/>
        <v>0</v>
      </c>
      <c r="J5" s="26">
        <f t="shared" si="0"/>
        <v>0</v>
      </c>
      <c r="K5" s="26">
        <f t="shared" si="0"/>
        <v>0</v>
      </c>
      <c r="L5" s="26">
        <f t="shared" si="0"/>
        <v>0</v>
      </c>
      <c r="M5" s="26">
        <f t="shared" si="0"/>
        <v>0</v>
      </c>
      <c r="N5" s="27">
        <f>SUM(D5:M5)</f>
        <v>1026259440</v>
      </c>
      <c r="O5" s="32">
        <f t="shared" ref="O5:O36" si="1">(N5/O$159)</f>
        <v>744.04259545770253</v>
      </c>
      <c r="P5" s="6"/>
    </row>
    <row r="6" spans="1:133">
      <c r="A6" s="11"/>
      <c r="B6" s="24">
        <v>311</v>
      </c>
      <c r="C6" s="19" t="s">
        <v>3</v>
      </c>
      <c r="D6" s="45">
        <v>641381714</v>
      </c>
      <c r="E6" s="45">
        <v>41167967</v>
      </c>
      <c r="F6" s="45">
        <v>5848176</v>
      </c>
      <c r="G6" s="45">
        <v>0</v>
      </c>
      <c r="H6" s="45">
        <v>0</v>
      </c>
      <c r="I6" s="45">
        <v>0</v>
      </c>
      <c r="J6" s="45">
        <v>0</v>
      </c>
      <c r="K6" s="45">
        <v>0</v>
      </c>
      <c r="L6" s="45">
        <v>0</v>
      </c>
      <c r="M6" s="45">
        <v>0</v>
      </c>
      <c r="N6" s="45">
        <f>SUM(D6:M6)</f>
        <v>688397857</v>
      </c>
      <c r="O6" s="46">
        <f t="shared" si="1"/>
        <v>499.09146582836826</v>
      </c>
      <c r="P6" s="9"/>
    </row>
    <row r="7" spans="1:133">
      <c r="A7" s="11"/>
      <c r="B7" s="24">
        <v>312.10000000000002</v>
      </c>
      <c r="C7" s="19" t="s">
        <v>12</v>
      </c>
      <c r="D7" s="45">
        <v>0</v>
      </c>
      <c r="E7" s="45">
        <v>31088214</v>
      </c>
      <c r="F7" s="45">
        <v>0</v>
      </c>
      <c r="G7" s="45">
        <v>0</v>
      </c>
      <c r="H7" s="45">
        <v>0</v>
      </c>
      <c r="I7" s="45">
        <v>0</v>
      </c>
      <c r="J7" s="45">
        <v>0</v>
      </c>
      <c r="K7" s="45">
        <v>0</v>
      </c>
      <c r="L7" s="45">
        <v>0</v>
      </c>
      <c r="M7" s="45">
        <v>0</v>
      </c>
      <c r="N7" s="45">
        <f t="shared" ref="N7:N12" si="2">SUM(D7:M7)</f>
        <v>31088214</v>
      </c>
      <c r="O7" s="46">
        <f t="shared" si="1"/>
        <v>22.539091511503646</v>
      </c>
      <c r="P7" s="9"/>
    </row>
    <row r="8" spans="1:133">
      <c r="A8" s="11"/>
      <c r="B8" s="24">
        <v>312.3</v>
      </c>
      <c r="C8" s="19" t="s">
        <v>13</v>
      </c>
      <c r="D8" s="45">
        <v>0</v>
      </c>
      <c r="E8" s="45">
        <v>7316009</v>
      </c>
      <c r="F8" s="45">
        <v>0</v>
      </c>
      <c r="G8" s="45">
        <v>0</v>
      </c>
      <c r="H8" s="45">
        <v>0</v>
      </c>
      <c r="I8" s="45">
        <v>0</v>
      </c>
      <c r="J8" s="45">
        <v>0</v>
      </c>
      <c r="K8" s="45">
        <v>0</v>
      </c>
      <c r="L8" s="45">
        <v>0</v>
      </c>
      <c r="M8" s="45">
        <v>0</v>
      </c>
      <c r="N8" s="45">
        <f t="shared" si="2"/>
        <v>7316009</v>
      </c>
      <c r="O8" s="46">
        <f t="shared" si="1"/>
        <v>5.3041386150386209</v>
      </c>
      <c r="P8" s="9"/>
    </row>
    <row r="9" spans="1:133">
      <c r="A9" s="11"/>
      <c r="B9" s="24">
        <v>312.41000000000003</v>
      </c>
      <c r="C9" s="19" t="s">
        <v>14</v>
      </c>
      <c r="D9" s="45">
        <v>0</v>
      </c>
      <c r="E9" s="45">
        <v>27739741</v>
      </c>
      <c r="F9" s="45">
        <v>0</v>
      </c>
      <c r="G9" s="45">
        <v>0</v>
      </c>
      <c r="H9" s="45">
        <v>0</v>
      </c>
      <c r="I9" s="45">
        <v>0</v>
      </c>
      <c r="J9" s="45">
        <v>0</v>
      </c>
      <c r="K9" s="45">
        <v>0</v>
      </c>
      <c r="L9" s="45">
        <v>0</v>
      </c>
      <c r="M9" s="45">
        <v>0</v>
      </c>
      <c r="N9" s="45">
        <f t="shared" si="2"/>
        <v>27739741</v>
      </c>
      <c r="O9" s="46">
        <f t="shared" si="1"/>
        <v>20.11143389917509</v>
      </c>
      <c r="P9" s="9"/>
    </row>
    <row r="10" spans="1:133">
      <c r="A10" s="11"/>
      <c r="B10" s="24">
        <v>312.60000000000002</v>
      </c>
      <c r="C10" s="19" t="s">
        <v>15</v>
      </c>
      <c r="D10" s="45">
        <v>0</v>
      </c>
      <c r="E10" s="45">
        <v>248755212</v>
      </c>
      <c r="F10" s="45">
        <v>0</v>
      </c>
      <c r="G10" s="45">
        <v>0</v>
      </c>
      <c r="H10" s="45">
        <v>0</v>
      </c>
      <c r="I10" s="45">
        <v>0</v>
      </c>
      <c r="J10" s="45">
        <v>0</v>
      </c>
      <c r="K10" s="45">
        <v>0</v>
      </c>
      <c r="L10" s="45">
        <v>0</v>
      </c>
      <c r="M10" s="45">
        <v>0</v>
      </c>
      <c r="N10" s="45">
        <f t="shared" si="2"/>
        <v>248755212</v>
      </c>
      <c r="O10" s="46">
        <f t="shared" si="1"/>
        <v>180.34861980914985</v>
      </c>
      <c r="P10" s="9"/>
    </row>
    <row r="11" spans="1:133">
      <c r="A11" s="11"/>
      <c r="B11" s="24">
        <v>315</v>
      </c>
      <c r="C11" s="19" t="s">
        <v>202</v>
      </c>
      <c r="D11" s="45">
        <v>0</v>
      </c>
      <c r="E11" s="45">
        <v>21375004</v>
      </c>
      <c r="F11" s="45">
        <v>0</v>
      </c>
      <c r="G11" s="45">
        <v>0</v>
      </c>
      <c r="H11" s="45">
        <v>0</v>
      </c>
      <c r="I11" s="45">
        <v>0</v>
      </c>
      <c r="J11" s="45">
        <v>0</v>
      </c>
      <c r="K11" s="45">
        <v>0</v>
      </c>
      <c r="L11" s="45">
        <v>0</v>
      </c>
      <c r="M11" s="45">
        <v>0</v>
      </c>
      <c r="N11" s="45">
        <f t="shared" si="2"/>
        <v>21375004</v>
      </c>
      <c r="O11" s="46">
        <f t="shared" si="1"/>
        <v>15.496971656678523</v>
      </c>
      <c r="P11" s="9"/>
    </row>
    <row r="12" spans="1:133">
      <c r="A12" s="11"/>
      <c r="B12" s="24">
        <v>316</v>
      </c>
      <c r="C12" s="19" t="s">
        <v>203</v>
      </c>
      <c r="D12" s="45">
        <v>1423505</v>
      </c>
      <c r="E12" s="45">
        <v>163898</v>
      </c>
      <c r="F12" s="45">
        <v>0</v>
      </c>
      <c r="G12" s="45">
        <v>0</v>
      </c>
      <c r="H12" s="45">
        <v>0</v>
      </c>
      <c r="I12" s="45">
        <v>0</v>
      </c>
      <c r="J12" s="45">
        <v>0</v>
      </c>
      <c r="K12" s="45">
        <v>0</v>
      </c>
      <c r="L12" s="45">
        <v>0</v>
      </c>
      <c r="M12" s="45">
        <v>0</v>
      </c>
      <c r="N12" s="45">
        <f t="shared" si="2"/>
        <v>1587403</v>
      </c>
      <c r="O12" s="46">
        <f t="shared" si="1"/>
        <v>1.1508741377885336</v>
      </c>
      <c r="P12" s="9"/>
    </row>
    <row r="13" spans="1:133" ht="15.75">
      <c r="A13" s="28" t="s">
        <v>18</v>
      </c>
      <c r="B13" s="29"/>
      <c r="C13" s="30"/>
      <c r="D13" s="31">
        <f t="shared" ref="D13:M13" si="3">SUM(D14:D26)</f>
        <v>2344290</v>
      </c>
      <c r="E13" s="31">
        <f t="shared" si="3"/>
        <v>76067415</v>
      </c>
      <c r="F13" s="31">
        <f t="shared" si="3"/>
        <v>0</v>
      </c>
      <c r="G13" s="31">
        <f t="shared" si="3"/>
        <v>0</v>
      </c>
      <c r="H13" s="31">
        <f t="shared" si="3"/>
        <v>0</v>
      </c>
      <c r="I13" s="31">
        <f t="shared" si="3"/>
        <v>180489</v>
      </c>
      <c r="J13" s="31">
        <f t="shared" si="3"/>
        <v>0</v>
      </c>
      <c r="K13" s="31">
        <f t="shared" si="3"/>
        <v>0</v>
      </c>
      <c r="L13" s="31">
        <f t="shared" si="3"/>
        <v>0</v>
      </c>
      <c r="M13" s="31">
        <f t="shared" si="3"/>
        <v>0</v>
      </c>
      <c r="N13" s="43">
        <f>SUM(D13:M13)</f>
        <v>78592194</v>
      </c>
      <c r="O13" s="44">
        <f t="shared" si="1"/>
        <v>56.97968537709653</v>
      </c>
      <c r="P13" s="10"/>
    </row>
    <row r="14" spans="1:133">
      <c r="A14" s="11"/>
      <c r="B14" s="24">
        <v>322</v>
      </c>
      <c r="C14" s="19" t="s">
        <v>0</v>
      </c>
      <c r="D14" s="45">
        <v>0</v>
      </c>
      <c r="E14" s="45">
        <v>14205905</v>
      </c>
      <c r="F14" s="45">
        <v>0</v>
      </c>
      <c r="G14" s="45">
        <v>0</v>
      </c>
      <c r="H14" s="45">
        <v>0</v>
      </c>
      <c r="I14" s="45">
        <v>0</v>
      </c>
      <c r="J14" s="45">
        <v>0</v>
      </c>
      <c r="K14" s="45">
        <v>0</v>
      </c>
      <c r="L14" s="45">
        <v>0</v>
      </c>
      <c r="M14" s="45">
        <v>0</v>
      </c>
      <c r="N14" s="45">
        <f>SUM(D14:M14)</f>
        <v>14205905</v>
      </c>
      <c r="O14" s="46">
        <f t="shared" si="1"/>
        <v>10.299343436027788</v>
      </c>
      <c r="P14" s="9"/>
    </row>
    <row r="15" spans="1:133">
      <c r="A15" s="11"/>
      <c r="B15" s="24">
        <v>323.3</v>
      </c>
      <c r="C15" s="19" t="s">
        <v>19</v>
      </c>
      <c r="D15" s="45">
        <v>3091</v>
      </c>
      <c r="E15" s="45">
        <v>0</v>
      </c>
      <c r="F15" s="45">
        <v>0</v>
      </c>
      <c r="G15" s="45">
        <v>0</v>
      </c>
      <c r="H15" s="45">
        <v>0</v>
      </c>
      <c r="I15" s="45">
        <v>0</v>
      </c>
      <c r="J15" s="45">
        <v>0</v>
      </c>
      <c r="K15" s="45">
        <v>0</v>
      </c>
      <c r="L15" s="45">
        <v>0</v>
      </c>
      <c r="M15" s="45">
        <v>0</v>
      </c>
      <c r="N15" s="45">
        <f t="shared" ref="N15:N24" si="4">SUM(D15:M15)</f>
        <v>3091</v>
      </c>
      <c r="O15" s="46">
        <f t="shared" si="1"/>
        <v>2.2409885579807759E-3</v>
      </c>
      <c r="P15" s="9"/>
    </row>
    <row r="16" spans="1:133">
      <c r="A16" s="11"/>
      <c r="B16" s="24">
        <v>323.60000000000002</v>
      </c>
      <c r="C16" s="19" t="s">
        <v>20</v>
      </c>
      <c r="D16" s="45">
        <v>7215</v>
      </c>
      <c r="E16" s="45">
        <v>0</v>
      </c>
      <c r="F16" s="45">
        <v>0</v>
      </c>
      <c r="G16" s="45">
        <v>0</v>
      </c>
      <c r="H16" s="45">
        <v>0</v>
      </c>
      <c r="I16" s="45">
        <v>0</v>
      </c>
      <c r="J16" s="45">
        <v>0</v>
      </c>
      <c r="K16" s="45">
        <v>0</v>
      </c>
      <c r="L16" s="45">
        <v>0</v>
      </c>
      <c r="M16" s="45">
        <v>0</v>
      </c>
      <c r="N16" s="45">
        <f t="shared" si="4"/>
        <v>7215</v>
      </c>
      <c r="O16" s="46">
        <f t="shared" si="1"/>
        <v>5.2309066469852141E-3</v>
      </c>
      <c r="P16" s="9"/>
    </row>
    <row r="17" spans="1:16">
      <c r="A17" s="11"/>
      <c r="B17" s="24">
        <v>324.11</v>
      </c>
      <c r="C17" s="19" t="s">
        <v>21</v>
      </c>
      <c r="D17" s="45">
        <v>0</v>
      </c>
      <c r="E17" s="45">
        <v>210662</v>
      </c>
      <c r="F17" s="45">
        <v>0</v>
      </c>
      <c r="G17" s="45">
        <v>0</v>
      </c>
      <c r="H17" s="45">
        <v>0</v>
      </c>
      <c r="I17" s="45">
        <v>0</v>
      </c>
      <c r="J17" s="45">
        <v>0</v>
      </c>
      <c r="K17" s="45">
        <v>0</v>
      </c>
      <c r="L17" s="45">
        <v>0</v>
      </c>
      <c r="M17" s="45">
        <v>0</v>
      </c>
      <c r="N17" s="45">
        <f t="shared" si="4"/>
        <v>210662</v>
      </c>
      <c r="O17" s="46">
        <f t="shared" si="1"/>
        <v>0.15273087402178784</v>
      </c>
      <c r="P17" s="9"/>
    </row>
    <row r="18" spans="1:16">
      <c r="A18" s="11"/>
      <c r="B18" s="24">
        <v>324.12</v>
      </c>
      <c r="C18" s="19" t="s">
        <v>180</v>
      </c>
      <c r="D18" s="45">
        <v>0</v>
      </c>
      <c r="E18" s="45">
        <v>49297</v>
      </c>
      <c r="F18" s="45">
        <v>0</v>
      </c>
      <c r="G18" s="45">
        <v>0</v>
      </c>
      <c r="H18" s="45">
        <v>0</v>
      </c>
      <c r="I18" s="45">
        <v>0</v>
      </c>
      <c r="J18" s="45">
        <v>0</v>
      </c>
      <c r="K18" s="45">
        <v>0</v>
      </c>
      <c r="L18" s="45">
        <v>0</v>
      </c>
      <c r="M18" s="45">
        <v>0</v>
      </c>
      <c r="N18" s="45">
        <f t="shared" si="4"/>
        <v>49297</v>
      </c>
      <c r="O18" s="46">
        <f t="shared" si="1"/>
        <v>3.5740541230274446E-2</v>
      </c>
      <c r="P18" s="9"/>
    </row>
    <row r="19" spans="1:16">
      <c r="A19" s="11"/>
      <c r="B19" s="24">
        <v>324.20999999999998</v>
      </c>
      <c r="C19" s="19" t="s">
        <v>22</v>
      </c>
      <c r="D19" s="45">
        <v>0</v>
      </c>
      <c r="E19" s="45">
        <v>31022006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5">
        <v>0</v>
      </c>
      <c r="L19" s="45">
        <v>0</v>
      </c>
      <c r="M19" s="45">
        <v>0</v>
      </c>
      <c r="N19" s="45">
        <f t="shared" si="4"/>
        <v>31022006</v>
      </c>
      <c r="O19" s="46">
        <f t="shared" si="1"/>
        <v>22.491090421097049</v>
      </c>
      <c r="P19" s="9"/>
    </row>
    <row r="20" spans="1:16">
      <c r="A20" s="11"/>
      <c r="B20" s="24">
        <v>324.31</v>
      </c>
      <c r="C20" s="19" t="s">
        <v>23</v>
      </c>
      <c r="D20" s="45">
        <v>0</v>
      </c>
      <c r="E20" s="45">
        <v>3011716</v>
      </c>
      <c r="F20" s="45">
        <v>0</v>
      </c>
      <c r="G20" s="45">
        <v>0</v>
      </c>
      <c r="H20" s="45">
        <v>0</v>
      </c>
      <c r="I20" s="45">
        <v>0</v>
      </c>
      <c r="J20" s="45">
        <v>0</v>
      </c>
      <c r="K20" s="45">
        <v>0</v>
      </c>
      <c r="L20" s="45">
        <v>0</v>
      </c>
      <c r="M20" s="45">
        <v>0</v>
      </c>
      <c r="N20" s="45">
        <f t="shared" si="4"/>
        <v>3011716</v>
      </c>
      <c r="O20" s="46">
        <f t="shared" si="1"/>
        <v>2.1835073102192268</v>
      </c>
      <c r="P20" s="9"/>
    </row>
    <row r="21" spans="1:16">
      <c r="A21" s="11"/>
      <c r="B21" s="24">
        <v>324.32</v>
      </c>
      <c r="C21" s="19" t="s">
        <v>167</v>
      </c>
      <c r="D21" s="45">
        <v>0</v>
      </c>
      <c r="E21" s="45">
        <v>1363415</v>
      </c>
      <c r="F21" s="45">
        <v>0</v>
      </c>
      <c r="G21" s="45">
        <v>0</v>
      </c>
      <c r="H21" s="45">
        <v>0</v>
      </c>
      <c r="I21" s="45">
        <v>0</v>
      </c>
      <c r="J21" s="45">
        <v>0</v>
      </c>
      <c r="K21" s="45">
        <v>0</v>
      </c>
      <c r="L21" s="45">
        <v>0</v>
      </c>
      <c r="M21" s="45">
        <v>0</v>
      </c>
      <c r="N21" s="45">
        <f t="shared" si="4"/>
        <v>1363415</v>
      </c>
      <c r="O21" s="46">
        <f t="shared" si="1"/>
        <v>0.9884818553152247</v>
      </c>
      <c r="P21" s="9"/>
    </row>
    <row r="22" spans="1:16">
      <c r="A22" s="11"/>
      <c r="B22" s="24">
        <v>324.61</v>
      </c>
      <c r="C22" s="19" t="s">
        <v>24</v>
      </c>
      <c r="D22" s="45">
        <v>0</v>
      </c>
      <c r="E22" s="45">
        <v>1527310</v>
      </c>
      <c r="F22" s="45">
        <v>0</v>
      </c>
      <c r="G22" s="45">
        <v>0</v>
      </c>
      <c r="H22" s="45">
        <v>0</v>
      </c>
      <c r="I22" s="45">
        <v>0</v>
      </c>
      <c r="J22" s="45">
        <v>0</v>
      </c>
      <c r="K22" s="45">
        <v>0</v>
      </c>
      <c r="L22" s="45">
        <v>0</v>
      </c>
      <c r="M22" s="45">
        <v>0</v>
      </c>
      <c r="N22" s="45">
        <f t="shared" si="4"/>
        <v>1527310</v>
      </c>
      <c r="O22" s="46">
        <f t="shared" si="1"/>
        <v>1.1073064492040177</v>
      </c>
      <c r="P22" s="9"/>
    </row>
    <row r="23" spans="1:16">
      <c r="A23" s="11"/>
      <c r="B23" s="24">
        <v>325.10000000000002</v>
      </c>
      <c r="C23" s="19" t="s">
        <v>25</v>
      </c>
      <c r="D23" s="45">
        <v>0</v>
      </c>
      <c r="E23" s="45">
        <v>15850458</v>
      </c>
      <c r="F23" s="45">
        <v>0</v>
      </c>
      <c r="G23" s="45">
        <v>0</v>
      </c>
      <c r="H23" s="45">
        <v>0</v>
      </c>
      <c r="I23" s="45">
        <v>180489</v>
      </c>
      <c r="J23" s="45">
        <v>0</v>
      </c>
      <c r="K23" s="45">
        <v>0</v>
      </c>
      <c r="L23" s="45">
        <v>0</v>
      </c>
      <c r="M23" s="45">
        <v>0</v>
      </c>
      <c r="N23" s="45">
        <f t="shared" si="4"/>
        <v>16030947</v>
      </c>
      <c r="O23" s="46">
        <f t="shared" si="1"/>
        <v>11.622506891166692</v>
      </c>
      <c r="P23" s="9"/>
    </row>
    <row r="24" spans="1:16">
      <c r="A24" s="11"/>
      <c r="B24" s="24">
        <v>325.2</v>
      </c>
      <c r="C24" s="19" t="s">
        <v>26</v>
      </c>
      <c r="D24" s="45">
        <v>0</v>
      </c>
      <c r="E24" s="45">
        <v>8180847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5">
        <v>0</v>
      </c>
      <c r="L24" s="45">
        <v>0</v>
      </c>
      <c r="M24" s="45">
        <v>0</v>
      </c>
      <c r="N24" s="45">
        <f t="shared" si="4"/>
        <v>8180847</v>
      </c>
      <c r="O24" s="46">
        <f t="shared" si="1"/>
        <v>5.9311499584572482</v>
      </c>
      <c r="P24" s="9"/>
    </row>
    <row r="25" spans="1:16">
      <c r="A25" s="11"/>
      <c r="B25" s="24">
        <v>329</v>
      </c>
      <c r="C25" s="19" t="s">
        <v>27</v>
      </c>
      <c r="D25" s="45">
        <v>537532</v>
      </c>
      <c r="E25" s="45">
        <v>532869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f>SUM(D25:M25)</f>
        <v>1070401</v>
      </c>
      <c r="O25" s="46">
        <f t="shared" si="1"/>
        <v>0.77604542007479149</v>
      </c>
      <c r="P25" s="9"/>
    </row>
    <row r="26" spans="1:16">
      <c r="A26" s="11"/>
      <c r="B26" s="24">
        <v>367</v>
      </c>
      <c r="C26" s="19" t="s">
        <v>149</v>
      </c>
      <c r="D26" s="45">
        <v>1796452</v>
      </c>
      <c r="E26" s="45">
        <v>112930</v>
      </c>
      <c r="F26" s="45">
        <v>0</v>
      </c>
      <c r="G26" s="45">
        <v>0</v>
      </c>
      <c r="H26" s="45">
        <v>0</v>
      </c>
      <c r="I26" s="45">
        <v>0</v>
      </c>
      <c r="J26" s="45">
        <v>0</v>
      </c>
      <c r="K26" s="45">
        <v>0</v>
      </c>
      <c r="L26" s="45">
        <v>0</v>
      </c>
      <c r="M26" s="45">
        <v>0</v>
      </c>
      <c r="N26" s="45">
        <f>SUM(D26:M26)</f>
        <v>1909382</v>
      </c>
      <c r="O26" s="46">
        <f t="shared" si="1"/>
        <v>1.3843103250774667</v>
      </c>
      <c r="P26" s="9"/>
    </row>
    <row r="27" spans="1:16" ht="15.75">
      <c r="A27" s="28" t="s">
        <v>30</v>
      </c>
      <c r="B27" s="29"/>
      <c r="C27" s="30"/>
      <c r="D27" s="31">
        <f t="shared" ref="D27:M27" si="5">SUM(D28:D69)</f>
        <v>36754080</v>
      </c>
      <c r="E27" s="31">
        <f t="shared" si="5"/>
        <v>247253359</v>
      </c>
      <c r="F27" s="31">
        <f t="shared" si="5"/>
        <v>0</v>
      </c>
      <c r="G27" s="31">
        <f t="shared" si="5"/>
        <v>0</v>
      </c>
      <c r="H27" s="31">
        <f t="shared" si="5"/>
        <v>0</v>
      </c>
      <c r="I27" s="31">
        <f t="shared" si="5"/>
        <v>78011</v>
      </c>
      <c r="J27" s="31">
        <f t="shared" si="5"/>
        <v>183185</v>
      </c>
      <c r="K27" s="31">
        <f t="shared" si="5"/>
        <v>0</v>
      </c>
      <c r="L27" s="31">
        <f t="shared" si="5"/>
        <v>0</v>
      </c>
      <c r="M27" s="31">
        <f t="shared" si="5"/>
        <v>4566044</v>
      </c>
      <c r="N27" s="43">
        <f>SUM(D27:M27)</f>
        <v>288834679</v>
      </c>
      <c r="O27" s="44">
        <f t="shared" si="1"/>
        <v>209.40640918377557</v>
      </c>
      <c r="P27" s="10"/>
    </row>
    <row r="28" spans="1:16">
      <c r="A28" s="11"/>
      <c r="B28" s="24">
        <v>331.1</v>
      </c>
      <c r="C28" s="19" t="s">
        <v>28</v>
      </c>
      <c r="D28" s="45">
        <v>0</v>
      </c>
      <c r="E28" s="45">
        <v>5352510</v>
      </c>
      <c r="F28" s="45">
        <v>0</v>
      </c>
      <c r="G28" s="45">
        <v>0</v>
      </c>
      <c r="H28" s="45">
        <v>0</v>
      </c>
      <c r="I28" s="45">
        <v>0</v>
      </c>
      <c r="J28" s="45">
        <v>0</v>
      </c>
      <c r="K28" s="45">
        <v>0</v>
      </c>
      <c r="L28" s="45">
        <v>0</v>
      </c>
      <c r="M28" s="45">
        <v>0</v>
      </c>
      <c r="N28" s="45">
        <f>SUM(D28:M28)</f>
        <v>5352510</v>
      </c>
      <c r="O28" s="46">
        <f t="shared" si="1"/>
        <v>3.8805932275890269</v>
      </c>
      <c r="P28" s="9"/>
    </row>
    <row r="29" spans="1:16">
      <c r="A29" s="11"/>
      <c r="B29" s="24">
        <v>331.2</v>
      </c>
      <c r="C29" s="19" t="s">
        <v>29</v>
      </c>
      <c r="D29" s="45">
        <v>1378116</v>
      </c>
      <c r="E29" s="45">
        <v>6104056</v>
      </c>
      <c r="F29" s="45">
        <v>0</v>
      </c>
      <c r="G29" s="45">
        <v>0</v>
      </c>
      <c r="H29" s="45">
        <v>0</v>
      </c>
      <c r="I29" s="45">
        <v>0</v>
      </c>
      <c r="J29" s="45">
        <v>0</v>
      </c>
      <c r="K29" s="45">
        <v>0</v>
      </c>
      <c r="L29" s="45">
        <v>0</v>
      </c>
      <c r="M29" s="45">
        <v>0</v>
      </c>
      <c r="N29" s="45">
        <f>SUM(D29:M29)</f>
        <v>7482172</v>
      </c>
      <c r="O29" s="46">
        <f t="shared" si="1"/>
        <v>5.4246075188754892</v>
      </c>
      <c r="P29" s="9"/>
    </row>
    <row r="30" spans="1:16">
      <c r="A30" s="11"/>
      <c r="B30" s="24">
        <v>331.39</v>
      </c>
      <c r="C30" s="19" t="s">
        <v>35</v>
      </c>
      <c r="D30" s="45">
        <v>0</v>
      </c>
      <c r="E30" s="45">
        <v>885900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f t="shared" ref="N30:N38" si="6">SUM(D30:M30)</f>
        <v>885900</v>
      </c>
      <c r="O30" s="46">
        <f t="shared" si="1"/>
        <v>0.64228138580238414</v>
      </c>
      <c r="P30" s="9"/>
    </row>
    <row r="31" spans="1:16">
      <c r="A31" s="11"/>
      <c r="B31" s="24">
        <v>331.49</v>
      </c>
      <c r="C31" s="19" t="s">
        <v>36</v>
      </c>
      <c r="D31" s="45">
        <v>0</v>
      </c>
      <c r="E31" s="45">
        <v>2584721</v>
      </c>
      <c r="F31" s="45">
        <v>0</v>
      </c>
      <c r="G31" s="45">
        <v>0</v>
      </c>
      <c r="H31" s="45">
        <v>0</v>
      </c>
      <c r="I31" s="45">
        <v>0</v>
      </c>
      <c r="J31" s="45">
        <v>0</v>
      </c>
      <c r="K31" s="45">
        <v>0</v>
      </c>
      <c r="L31" s="45">
        <v>0</v>
      </c>
      <c r="M31" s="45">
        <v>0</v>
      </c>
      <c r="N31" s="45">
        <f t="shared" si="6"/>
        <v>2584721</v>
      </c>
      <c r="O31" s="46">
        <f t="shared" si="1"/>
        <v>1.873934062301077</v>
      </c>
      <c r="P31" s="9"/>
    </row>
    <row r="32" spans="1:16">
      <c r="A32" s="11"/>
      <c r="B32" s="24">
        <v>331.5</v>
      </c>
      <c r="C32" s="19" t="s">
        <v>31</v>
      </c>
      <c r="D32" s="45">
        <v>0</v>
      </c>
      <c r="E32" s="45">
        <v>6764099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45">
        <f t="shared" si="6"/>
        <v>6764099</v>
      </c>
      <c r="O32" s="46">
        <f t="shared" si="1"/>
        <v>4.9040014442087374</v>
      </c>
      <c r="P32" s="9"/>
    </row>
    <row r="33" spans="1:16">
      <c r="A33" s="11"/>
      <c r="B33" s="24">
        <v>331.61</v>
      </c>
      <c r="C33" s="19" t="s">
        <v>37</v>
      </c>
      <c r="D33" s="45">
        <v>0</v>
      </c>
      <c r="E33" s="45">
        <v>3413877</v>
      </c>
      <c r="F33" s="45">
        <v>0</v>
      </c>
      <c r="G33" s="45">
        <v>0</v>
      </c>
      <c r="H33" s="45">
        <v>0</v>
      </c>
      <c r="I33" s="45">
        <v>0</v>
      </c>
      <c r="J33" s="45">
        <v>0</v>
      </c>
      <c r="K33" s="45">
        <v>0</v>
      </c>
      <c r="L33" s="45">
        <v>0</v>
      </c>
      <c r="M33" s="45">
        <v>0</v>
      </c>
      <c r="N33" s="45">
        <f t="shared" si="6"/>
        <v>3413877</v>
      </c>
      <c r="O33" s="46">
        <f t="shared" si="1"/>
        <v>2.475075799208585</v>
      </c>
      <c r="P33" s="9"/>
    </row>
    <row r="34" spans="1:16">
      <c r="A34" s="11"/>
      <c r="B34" s="24">
        <v>331.65</v>
      </c>
      <c r="C34" s="19" t="s">
        <v>38</v>
      </c>
      <c r="D34" s="45">
        <v>1201499</v>
      </c>
      <c r="E34" s="45">
        <v>0</v>
      </c>
      <c r="F34" s="45">
        <v>0</v>
      </c>
      <c r="G34" s="45">
        <v>0</v>
      </c>
      <c r="H34" s="45">
        <v>0</v>
      </c>
      <c r="I34" s="45">
        <v>0</v>
      </c>
      <c r="J34" s="45">
        <v>0</v>
      </c>
      <c r="K34" s="45">
        <v>0</v>
      </c>
      <c r="L34" s="45">
        <v>0</v>
      </c>
      <c r="M34" s="45">
        <v>0</v>
      </c>
      <c r="N34" s="45">
        <f t="shared" si="6"/>
        <v>1201499</v>
      </c>
      <c r="O34" s="46">
        <f t="shared" si="1"/>
        <v>0.87109204510687288</v>
      </c>
      <c r="P34" s="9"/>
    </row>
    <row r="35" spans="1:16">
      <c r="A35" s="11"/>
      <c r="B35" s="24">
        <v>331.69</v>
      </c>
      <c r="C35" s="19" t="s">
        <v>39</v>
      </c>
      <c r="D35" s="45">
        <v>0</v>
      </c>
      <c r="E35" s="45">
        <v>43436976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f t="shared" si="6"/>
        <v>43436976</v>
      </c>
      <c r="O35" s="46">
        <f t="shared" si="1"/>
        <v>31.491998126588665</v>
      </c>
      <c r="P35" s="9"/>
    </row>
    <row r="36" spans="1:16">
      <c r="A36" s="11"/>
      <c r="B36" s="24">
        <v>331.9</v>
      </c>
      <c r="C36" s="19" t="s">
        <v>32</v>
      </c>
      <c r="D36" s="45">
        <v>0</v>
      </c>
      <c r="E36" s="45">
        <v>88433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f t="shared" si="6"/>
        <v>88433</v>
      </c>
      <c r="O36" s="46">
        <f t="shared" si="1"/>
        <v>6.4114312891593001E-2</v>
      </c>
      <c r="P36" s="9"/>
    </row>
    <row r="37" spans="1:16">
      <c r="A37" s="11"/>
      <c r="B37" s="24">
        <v>333</v>
      </c>
      <c r="C37" s="19" t="s">
        <v>4</v>
      </c>
      <c r="D37" s="45">
        <v>1016</v>
      </c>
      <c r="E37" s="45">
        <v>0</v>
      </c>
      <c r="F37" s="45">
        <v>0</v>
      </c>
      <c r="G37" s="45">
        <v>0</v>
      </c>
      <c r="H37" s="45">
        <v>0</v>
      </c>
      <c r="I37" s="45">
        <v>0</v>
      </c>
      <c r="J37" s="45">
        <v>0</v>
      </c>
      <c r="K37" s="45">
        <v>0</v>
      </c>
      <c r="L37" s="45">
        <v>0</v>
      </c>
      <c r="M37" s="45">
        <v>0</v>
      </c>
      <c r="N37" s="45">
        <f t="shared" si="6"/>
        <v>1016</v>
      </c>
      <c r="O37" s="46">
        <f t="shared" ref="O37:O68" si="7">(N37/O$159)</f>
        <v>7.3660445645696161E-4</v>
      </c>
      <c r="P37" s="9"/>
    </row>
    <row r="38" spans="1:16">
      <c r="A38" s="11"/>
      <c r="B38" s="24">
        <v>334.2</v>
      </c>
      <c r="C38" s="19" t="s">
        <v>33</v>
      </c>
      <c r="D38" s="45">
        <v>19818</v>
      </c>
      <c r="E38" s="45">
        <v>2819757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5">
        <v>0</v>
      </c>
      <c r="L38" s="45">
        <v>0</v>
      </c>
      <c r="M38" s="45">
        <v>0</v>
      </c>
      <c r="N38" s="45">
        <f t="shared" si="6"/>
        <v>2839575</v>
      </c>
      <c r="O38" s="46">
        <f t="shared" si="7"/>
        <v>2.0587043301611976</v>
      </c>
      <c r="P38" s="9"/>
    </row>
    <row r="39" spans="1:16">
      <c r="A39" s="11"/>
      <c r="B39" s="24">
        <v>334.39</v>
      </c>
      <c r="C39" s="19" t="s">
        <v>40</v>
      </c>
      <c r="D39" s="45">
        <v>0</v>
      </c>
      <c r="E39" s="45">
        <v>1883908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f t="shared" ref="N39:N64" si="8">SUM(D39:M39)</f>
        <v>1883908</v>
      </c>
      <c r="O39" s="46">
        <f t="shared" si="7"/>
        <v>1.3658415633414582</v>
      </c>
      <c r="P39" s="9"/>
    </row>
    <row r="40" spans="1:16">
      <c r="A40" s="11"/>
      <c r="B40" s="24">
        <v>334.49</v>
      </c>
      <c r="C40" s="19" t="s">
        <v>41</v>
      </c>
      <c r="D40" s="45">
        <v>0</v>
      </c>
      <c r="E40" s="45">
        <v>1303675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5">
        <v>0</v>
      </c>
      <c r="L40" s="45">
        <v>0</v>
      </c>
      <c r="M40" s="45">
        <v>0</v>
      </c>
      <c r="N40" s="45">
        <f t="shared" si="8"/>
        <v>1303675</v>
      </c>
      <c r="O40" s="46">
        <f t="shared" si="7"/>
        <v>0.94517009327906432</v>
      </c>
      <c r="P40" s="9"/>
    </row>
    <row r="41" spans="1:16">
      <c r="A41" s="11"/>
      <c r="B41" s="24">
        <v>334.5</v>
      </c>
      <c r="C41" s="19" t="s">
        <v>42</v>
      </c>
      <c r="D41" s="45">
        <v>0</v>
      </c>
      <c r="E41" s="45">
        <v>24850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f t="shared" si="8"/>
        <v>24850</v>
      </c>
      <c r="O41" s="46">
        <f t="shared" si="7"/>
        <v>1.8016358998971943E-2</v>
      </c>
      <c r="P41" s="9"/>
    </row>
    <row r="42" spans="1:16">
      <c r="A42" s="11"/>
      <c r="B42" s="24">
        <v>334.61</v>
      </c>
      <c r="C42" s="19" t="s">
        <v>43</v>
      </c>
      <c r="D42" s="45">
        <v>0</v>
      </c>
      <c r="E42" s="45">
        <v>184869</v>
      </c>
      <c r="F42" s="45">
        <v>0</v>
      </c>
      <c r="G42" s="45">
        <v>0</v>
      </c>
      <c r="H42" s="45">
        <v>0</v>
      </c>
      <c r="I42" s="45">
        <v>0</v>
      </c>
      <c r="J42" s="45">
        <v>0</v>
      </c>
      <c r="K42" s="45">
        <v>0</v>
      </c>
      <c r="L42" s="45">
        <v>0</v>
      </c>
      <c r="M42" s="45">
        <v>0</v>
      </c>
      <c r="N42" s="45">
        <f t="shared" si="8"/>
        <v>184869</v>
      </c>
      <c r="O42" s="46">
        <f t="shared" si="7"/>
        <v>0.13403083588655712</v>
      </c>
      <c r="P42" s="9"/>
    </row>
    <row r="43" spans="1:16">
      <c r="A43" s="11"/>
      <c r="B43" s="24">
        <v>334.69</v>
      </c>
      <c r="C43" s="19" t="s">
        <v>44</v>
      </c>
      <c r="D43" s="45">
        <v>0</v>
      </c>
      <c r="E43" s="45">
        <v>14103989</v>
      </c>
      <c r="F43" s="45">
        <v>0</v>
      </c>
      <c r="G43" s="45">
        <v>0</v>
      </c>
      <c r="H43" s="45">
        <v>0</v>
      </c>
      <c r="I43" s="45">
        <v>0</v>
      </c>
      <c r="J43" s="45">
        <v>0</v>
      </c>
      <c r="K43" s="45">
        <v>0</v>
      </c>
      <c r="L43" s="45">
        <v>0</v>
      </c>
      <c r="M43" s="45">
        <v>0</v>
      </c>
      <c r="N43" s="45">
        <f t="shared" si="8"/>
        <v>14103989</v>
      </c>
      <c r="O43" s="46">
        <f t="shared" si="7"/>
        <v>10.225453888996029</v>
      </c>
      <c r="P43" s="9"/>
    </row>
    <row r="44" spans="1:16">
      <c r="A44" s="11"/>
      <c r="B44" s="24">
        <v>334.7</v>
      </c>
      <c r="C44" s="19" t="s">
        <v>45</v>
      </c>
      <c r="D44" s="45">
        <v>0</v>
      </c>
      <c r="E44" s="45">
        <v>3090076</v>
      </c>
      <c r="F44" s="45">
        <v>0</v>
      </c>
      <c r="G44" s="45">
        <v>0</v>
      </c>
      <c r="H44" s="45">
        <v>0</v>
      </c>
      <c r="I44" s="45">
        <v>0</v>
      </c>
      <c r="J44" s="45">
        <v>0</v>
      </c>
      <c r="K44" s="45">
        <v>0</v>
      </c>
      <c r="L44" s="45">
        <v>0</v>
      </c>
      <c r="M44" s="45">
        <v>0</v>
      </c>
      <c r="N44" s="45">
        <f t="shared" si="8"/>
        <v>3090076</v>
      </c>
      <c r="O44" s="46">
        <f t="shared" si="7"/>
        <v>2.2403186539278561</v>
      </c>
      <c r="P44" s="9"/>
    </row>
    <row r="45" spans="1:16">
      <c r="A45" s="11"/>
      <c r="B45" s="24">
        <v>334.82</v>
      </c>
      <c r="C45" s="19" t="s">
        <v>264</v>
      </c>
      <c r="D45" s="45">
        <v>0</v>
      </c>
      <c r="E45" s="45">
        <v>2711486</v>
      </c>
      <c r="F45" s="45">
        <v>0</v>
      </c>
      <c r="G45" s="45">
        <v>0</v>
      </c>
      <c r="H45" s="45">
        <v>0</v>
      </c>
      <c r="I45" s="45">
        <v>0</v>
      </c>
      <c r="J45" s="45">
        <v>0</v>
      </c>
      <c r="K45" s="45">
        <v>0</v>
      </c>
      <c r="L45" s="45">
        <v>0</v>
      </c>
      <c r="M45" s="45">
        <v>0</v>
      </c>
      <c r="N45" s="45">
        <f>SUM(D45:M45)</f>
        <v>2711486</v>
      </c>
      <c r="O45" s="46">
        <f t="shared" si="7"/>
        <v>1.9658392433274221</v>
      </c>
      <c r="P45" s="9"/>
    </row>
    <row r="46" spans="1:16">
      <c r="A46" s="11"/>
      <c r="B46" s="24">
        <v>334.89</v>
      </c>
      <c r="C46" s="19" t="s">
        <v>46</v>
      </c>
      <c r="D46" s="45">
        <v>0</v>
      </c>
      <c r="E46" s="45">
        <v>414465</v>
      </c>
      <c r="F46" s="45">
        <v>0</v>
      </c>
      <c r="G46" s="45">
        <v>0</v>
      </c>
      <c r="H46" s="45">
        <v>0</v>
      </c>
      <c r="I46" s="45">
        <v>0</v>
      </c>
      <c r="J46" s="45">
        <v>0</v>
      </c>
      <c r="K46" s="45">
        <v>0</v>
      </c>
      <c r="L46" s="45">
        <v>0</v>
      </c>
      <c r="M46" s="45">
        <v>0</v>
      </c>
      <c r="N46" s="45">
        <f t="shared" si="8"/>
        <v>414465</v>
      </c>
      <c r="O46" s="46">
        <f t="shared" si="7"/>
        <v>0.30048894295810491</v>
      </c>
      <c r="P46" s="9"/>
    </row>
    <row r="47" spans="1:16">
      <c r="A47" s="11"/>
      <c r="B47" s="24">
        <v>334.9</v>
      </c>
      <c r="C47" s="19" t="s">
        <v>47</v>
      </c>
      <c r="D47" s="45">
        <v>0</v>
      </c>
      <c r="E47" s="45">
        <v>7517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f t="shared" si="8"/>
        <v>7517</v>
      </c>
      <c r="O47" s="46">
        <f t="shared" si="7"/>
        <v>5.4498579716407286E-3</v>
      </c>
      <c r="P47" s="9"/>
    </row>
    <row r="48" spans="1:16">
      <c r="A48" s="11"/>
      <c r="B48" s="24">
        <v>335.12</v>
      </c>
      <c r="C48" s="19" t="s">
        <v>204</v>
      </c>
      <c r="D48" s="45">
        <v>28556800</v>
      </c>
      <c r="E48" s="45">
        <v>6752474</v>
      </c>
      <c r="F48" s="45">
        <v>0</v>
      </c>
      <c r="G48" s="45">
        <v>0</v>
      </c>
      <c r="H48" s="45">
        <v>0</v>
      </c>
      <c r="I48" s="45">
        <v>0</v>
      </c>
      <c r="J48" s="45">
        <v>0</v>
      </c>
      <c r="K48" s="45">
        <v>0</v>
      </c>
      <c r="L48" s="45">
        <v>0</v>
      </c>
      <c r="M48" s="45">
        <v>0</v>
      </c>
      <c r="N48" s="45">
        <f t="shared" si="8"/>
        <v>35309274</v>
      </c>
      <c r="O48" s="46">
        <f t="shared" si="7"/>
        <v>25.599378526240084</v>
      </c>
      <c r="P48" s="9"/>
    </row>
    <row r="49" spans="1:16">
      <c r="A49" s="11"/>
      <c r="B49" s="24">
        <v>335.13</v>
      </c>
      <c r="C49" s="19" t="s">
        <v>205</v>
      </c>
      <c r="D49" s="45">
        <v>602296</v>
      </c>
      <c r="E49" s="45">
        <v>0</v>
      </c>
      <c r="F49" s="45">
        <v>0</v>
      </c>
      <c r="G49" s="45">
        <v>0</v>
      </c>
      <c r="H49" s="45">
        <v>0</v>
      </c>
      <c r="I49" s="45">
        <v>0</v>
      </c>
      <c r="J49" s="45">
        <v>0</v>
      </c>
      <c r="K49" s="45">
        <v>0</v>
      </c>
      <c r="L49" s="45">
        <v>0</v>
      </c>
      <c r="M49" s="45">
        <v>0</v>
      </c>
      <c r="N49" s="45">
        <f t="shared" si="8"/>
        <v>602296</v>
      </c>
      <c r="O49" s="46">
        <f t="shared" si="7"/>
        <v>0.4366672418368131</v>
      </c>
      <c r="P49" s="9"/>
    </row>
    <row r="50" spans="1:16">
      <c r="A50" s="11"/>
      <c r="B50" s="24">
        <v>335.14</v>
      </c>
      <c r="C50" s="19" t="s">
        <v>206</v>
      </c>
      <c r="D50" s="45">
        <v>403238</v>
      </c>
      <c r="E50" s="45">
        <v>0</v>
      </c>
      <c r="F50" s="45">
        <v>0</v>
      </c>
      <c r="G50" s="45">
        <v>0</v>
      </c>
      <c r="H50" s="45">
        <v>0</v>
      </c>
      <c r="I50" s="45">
        <v>0</v>
      </c>
      <c r="J50" s="45">
        <v>0</v>
      </c>
      <c r="K50" s="45">
        <v>0</v>
      </c>
      <c r="L50" s="45">
        <v>0</v>
      </c>
      <c r="M50" s="45">
        <v>0</v>
      </c>
      <c r="N50" s="45">
        <f t="shared" si="8"/>
        <v>403238</v>
      </c>
      <c r="O50" s="46">
        <f t="shared" si="7"/>
        <v>0.29234931871337821</v>
      </c>
      <c r="P50" s="9"/>
    </row>
    <row r="51" spans="1:16">
      <c r="A51" s="11"/>
      <c r="B51" s="24">
        <v>335.15</v>
      </c>
      <c r="C51" s="19" t="s">
        <v>207</v>
      </c>
      <c r="D51" s="45">
        <v>436352</v>
      </c>
      <c r="E51" s="45">
        <v>0</v>
      </c>
      <c r="F51" s="45">
        <v>0</v>
      </c>
      <c r="G51" s="45">
        <v>0</v>
      </c>
      <c r="H51" s="45">
        <v>0</v>
      </c>
      <c r="I51" s="45">
        <v>0</v>
      </c>
      <c r="J51" s="45">
        <v>0</v>
      </c>
      <c r="K51" s="45">
        <v>0</v>
      </c>
      <c r="L51" s="45">
        <v>0</v>
      </c>
      <c r="M51" s="45">
        <v>0</v>
      </c>
      <c r="N51" s="45">
        <f t="shared" si="8"/>
        <v>436352</v>
      </c>
      <c r="O51" s="46">
        <f t="shared" si="7"/>
        <v>0.31635711396053945</v>
      </c>
      <c r="P51" s="9"/>
    </row>
    <row r="52" spans="1:16">
      <c r="A52" s="11"/>
      <c r="B52" s="24">
        <v>335.16</v>
      </c>
      <c r="C52" s="19" t="s">
        <v>208</v>
      </c>
      <c r="D52" s="45">
        <v>3851275</v>
      </c>
      <c r="E52" s="45">
        <v>0</v>
      </c>
      <c r="F52" s="45">
        <v>0</v>
      </c>
      <c r="G52" s="45">
        <v>0</v>
      </c>
      <c r="H52" s="45">
        <v>0</v>
      </c>
      <c r="I52" s="45">
        <v>0</v>
      </c>
      <c r="J52" s="45">
        <v>0</v>
      </c>
      <c r="K52" s="45">
        <v>0</v>
      </c>
      <c r="L52" s="45">
        <v>0</v>
      </c>
      <c r="M52" s="45">
        <v>0</v>
      </c>
      <c r="N52" s="45">
        <f t="shared" si="8"/>
        <v>3851275</v>
      </c>
      <c r="O52" s="46">
        <f t="shared" si="7"/>
        <v>2.7921912677571701</v>
      </c>
      <c r="P52" s="9"/>
    </row>
    <row r="53" spans="1:16">
      <c r="A53" s="11"/>
      <c r="B53" s="24">
        <v>335.17</v>
      </c>
      <c r="C53" s="19" t="s">
        <v>209</v>
      </c>
      <c r="D53" s="45">
        <v>84611</v>
      </c>
      <c r="E53" s="45">
        <v>0</v>
      </c>
      <c r="F53" s="45">
        <v>0</v>
      </c>
      <c r="G53" s="45">
        <v>0</v>
      </c>
      <c r="H53" s="45">
        <v>0</v>
      </c>
      <c r="I53" s="45">
        <v>0</v>
      </c>
      <c r="J53" s="45">
        <v>0</v>
      </c>
      <c r="K53" s="45">
        <v>0</v>
      </c>
      <c r="L53" s="45">
        <v>0</v>
      </c>
      <c r="M53" s="45">
        <v>0</v>
      </c>
      <c r="N53" s="45">
        <f t="shared" si="8"/>
        <v>84611</v>
      </c>
      <c r="O53" s="46">
        <f t="shared" si="7"/>
        <v>6.1343346127244069E-2</v>
      </c>
      <c r="P53" s="9"/>
    </row>
    <row r="54" spans="1:16">
      <c r="A54" s="11"/>
      <c r="B54" s="24">
        <v>335.18</v>
      </c>
      <c r="C54" s="19" t="s">
        <v>210</v>
      </c>
      <c r="D54" s="45">
        <v>0</v>
      </c>
      <c r="E54" s="45">
        <v>104072497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f t="shared" si="8"/>
        <v>104072497</v>
      </c>
      <c r="O54" s="46">
        <f t="shared" si="7"/>
        <v>75.453016815751738</v>
      </c>
      <c r="P54" s="9"/>
    </row>
    <row r="55" spans="1:16">
      <c r="A55" s="11"/>
      <c r="B55" s="24">
        <v>335.19</v>
      </c>
      <c r="C55" s="19" t="s">
        <v>283</v>
      </c>
      <c r="D55" s="45">
        <v>0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5">
        <v>10119</v>
      </c>
      <c r="K55" s="45">
        <v>0</v>
      </c>
      <c r="L55" s="45">
        <v>0</v>
      </c>
      <c r="M55" s="45">
        <v>0</v>
      </c>
      <c r="N55" s="45">
        <f t="shared" si="8"/>
        <v>10119</v>
      </c>
      <c r="O55" s="46">
        <f t="shared" si="7"/>
        <v>7.3363193847322773E-3</v>
      </c>
      <c r="P55" s="9"/>
    </row>
    <row r="56" spans="1:16">
      <c r="A56" s="11"/>
      <c r="B56" s="24">
        <v>335.21</v>
      </c>
      <c r="C56" s="19" t="s">
        <v>55</v>
      </c>
      <c r="D56" s="45">
        <v>214548</v>
      </c>
      <c r="E56" s="45">
        <v>0</v>
      </c>
      <c r="F56" s="45">
        <v>0</v>
      </c>
      <c r="G56" s="45">
        <v>0</v>
      </c>
      <c r="H56" s="45">
        <v>0</v>
      </c>
      <c r="I56" s="45">
        <v>0</v>
      </c>
      <c r="J56" s="45">
        <v>0</v>
      </c>
      <c r="K56" s="45">
        <v>0</v>
      </c>
      <c r="L56" s="45">
        <v>0</v>
      </c>
      <c r="M56" s="45">
        <v>0</v>
      </c>
      <c r="N56" s="45">
        <f t="shared" si="8"/>
        <v>214548</v>
      </c>
      <c r="O56" s="46">
        <f t="shared" si="7"/>
        <v>0.15554824106685847</v>
      </c>
      <c r="P56" s="9"/>
    </row>
    <row r="57" spans="1:16">
      <c r="A57" s="11"/>
      <c r="B57" s="24">
        <v>335.22</v>
      </c>
      <c r="C57" s="19" t="s">
        <v>56</v>
      </c>
      <c r="D57" s="45">
        <v>0</v>
      </c>
      <c r="E57" s="45">
        <v>6380924</v>
      </c>
      <c r="F57" s="45">
        <v>0</v>
      </c>
      <c r="G57" s="45">
        <v>0</v>
      </c>
      <c r="H57" s="45">
        <v>0</v>
      </c>
      <c r="I57" s="45">
        <v>0</v>
      </c>
      <c r="J57" s="45">
        <v>0</v>
      </c>
      <c r="K57" s="45">
        <v>0</v>
      </c>
      <c r="L57" s="45">
        <v>0</v>
      </c>
      <c r="M57" s="45">
        <v>0</v>
      </c>
      <c r="N57" s="45">
        <f t="shared" si="8"/>
        <v>6380924</v>
      </c>
      <c r="O57" s="46">
        <f t="shared" si="7"/>
        <v>4.6261978884972255</v>
      </c>
      <c r="P57" s="9"/>
    </row>
    <row r="58" spans="1:16">
      <c r="A58" s="11"/>
      <c r="B58" s="24">
        <v>335.23</v>
      </c>
      <c r="C58" s="19" t="s">
        <v>171</v>
      </c>
      <c r="D58" s="45">
        <v>0</v>
      </c>
      <c r="E58" s="45">
        <v>140901</v>
      </c>
      <c r="F58" s="45">
        <v>0</v>
      </c>
      <c r="G58" s="45">
        <v>0</v>
      </c>
      <c r="H58" s="45">
        <v>0</v>
      </c>
      <c r="I58" s="45">
        <v>0</v>
      </c>
      <c r="J58" s="45">
        <v>0</v>
      </c>
      <c r="K58" s="45">
        <v>0</v>
      </c>
      <c r="L58" s="45">
        <v>0</v>
      </c>
      <c r="M58" s="45">
        <v>0</v>
      </c>
      <c r="N58" s="45">
        <f t="shared" si="8"/>
        <v>140901</v>
      </c>
      <c r="O58" s="46">
        <f t="shared" si="7"/>
        <v>0.10215384303075034</v>
      </c>
      <c r="P58" s="9"/>
    </row>
    <row r="59" spans="1:16">
      <c r="A59" s="11"/>
      <c r="B59" s="24">
        <v>335.29</v>
      </c>
      <c r="C59" s="19" t="s">
        <v>57</v>
      </c>
      <c r="D59" s="45">
        <v>4511</v>
      </c>
      <c r="E59" s="45">
        <v>0</v>
      </c>
      <c r="F59" s="45">
        <v>0</v>
      </c>
      <c r="G59" s="45">
        <v>0</v>
      </c>
      <c r="H59" s="45">
        <v>0</v>
      </c>
      <c r="I59" s="45">
        <v>0</v>
      </c>
      <c r="J59" s="45">
        <v>0</v>
      </c>
      <c r="K59" s="45">
        <v>0</v>
      </c>
      <c r="L59" s="45">
        <v>0</v>
      </c>
      <c r="M59" s="45">
        <v>0</v>
      </c>
      <c r="N59" s="45">
        <f t="shared" si="8"/>
        <v>4511</v>
      </c>
      <c r="O59" s="46">
        <f t="shared" si="7"/>
        <v>3.2704947864934581E-3</v>
      </c>
      <c r="P59" s="9"/>
    </row>
    <row r="60" spans="1:16">
      <c r="A60" s="11"/>
      <c r="B60" s="24">
        <v>335.39</v>
      </c>
      <c r="C60" s="19" t="s">
        <v>58</v>
      </c>
      <c r="D60" s="45">
        <v>0</v>
      </c>
      <c r="E60" s="45">
        <v>1196097</v>
      </c>
      <c r="F60" s="45">
        <v>0</v>
      </c>
      <c r="G60" s="45">
        <v>0</v>
      </c>
      <c r="H60" s="45">
        <v>0</v>
      </c>
      <c r="I60" s="45">
        <v>0</v>
      </c>
      <c r="J60" s="45">
        <v>0</v>
      </c>
      <c r="K60" s="45">
        <v>0</v>
      </c>
      <c r="L60" s="45">
        <v>0</v>
      </c>
      <c r="M60" s="45">
        <v>0</v>
      </c>
      <c r="N60" s="45">
        <f t="shared" si="8"/>
        <v>1196097</v>
      </c>
      <c r="O60" s="46">
        <f t="shared" si="7"/>
        <v>0.86717557141220702</v>
      </c>
      <c r="P60" s="9"/>
    </row>
    <row r="61" spans="1:16">
      <c r="A61" s="11"/>
      <c r="B61" s="24">
        <v>335.49</v>
      </c>
      <c r="C61" s="19" t="s">
        <v>59</v>
      </c>
      <c r="D61" s="45">
        <v>0</v>
      </c>
      <c r="E61" s="45">
        <v>18299810</v>
      </c>
      <c r="F61" s="45">
        <v>0</v>
      </c>
      <c r="G61" s="45">
        <v>0</v>
      </c>
      <c r="H61" s="45">
        <v>0</v>
      </c>
      <c r="I61" s="45">
        <v>0</v>
      </c>
      <c r="J61" s="45">
        <v>0</v>
      </c>
      <c r="K61" s="45">
        <v>0</v>
      </c>
      <c r="L61" s="45">
        <v>0</v>
      </c>
      <c r="M61" s="45">
        <v>0</v>
      </c>
      <c r="N61" s="45">
        <f t="shared" si="8"/>
        <v>18299810</v>
      </c>
      <c r="O61" s="46">
        <f t="shared" si="7"/>
        <v>13.267442518027234</v>
      </c>
      <c r="P61" s="9"/>
    </row>
    <row r="62" spans="1:16">
      <c r="A62" s="11"/>
      <c r="B62" s="24">
        <v>335.5</v>
      </c>
      <c r="C62" s="19" t="s">
        <v>60</v>
      </c>
      <c r="D62" s="45">
        <v>0</v>
      </c>
      <c r="E62" s="45">
        <v>6325811</v>
      </c>
      <c r="F62" s="45">
        <v>0</v>
      </c>
      <c r="G62" s="45">
        <v>0</v>
      </c>
      <c r="H62" s="45">
        <v>0</v>
      </c>
      <c r="I62" s="45">
        <v>0</v>
      </c>
      <c r="J62" s="45">
        <v>0</v>
      </c>
      <c r="K62" s="45">
        <v>0</v>
      </c>
      <c r="L62" s="45">
        <v>0</v>
      </c>
      <c r="M62" s="45">
        <v>0</v>
      </c>
      <c r="N62" s="45">
        <f t="shared" si="8"/>
        <v>6325811</v>
      </c>
      <c r="O62" s="46">
        <f t="shared" si="7"/>
        <v>4.5862407217563668</v>
      </c>
      <c r="P62" s="9"/>
    </row>
    <row r="63" spans="1:16">
      <c r="A63" s="11"/>
      <c r="B63" s="24">
        <v>335.69</v>
      </c>
      <c r="C63" s="19" t="s">
        <v>61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173066</v>
      </c>
      <c r="K63" s="45">
        <v>0</v>
      </c>
      <c r="L63" s="45">
        <v>0</v>
      </c>
      <c r="M63" s="45">
        <v>0</v>
      </c>
      <c r="N63" s="45">
        <f t="shared" si="8"/>
        <v>173066</v>
      </c>
      <c r="O63" s="46">
        <f t="shared" si="7"/>
        <v>0.12547360911533514</v>
      </c>
      <c r="P63" s="9"/>
    </row>
    <row r="64" spans="1:16">
      <c r="A64" s="11"/>
      <c r="B64" s="24">
        <v>335.7</v>
      </c>
      <c r="C64" s="19" t="s">
        <v>62</v>
      </c>
      <c r="D64" s="45">
        <v>0</v>
      </c>
      <c r="E64" s="45">
        <v>2991329</v>
      </c>
      <c r="F64" s="45">
        <v>0</v>
      </c>
      <c r="G64" s="45">
        <v>0</v>
      </c>
      <c r="H64" s="45">
        <v>0</v>
      </c>
      <c r="I64" s="45">
        <v>0</v>
      </c>
      <c r="J64" s="45">
        <v>0</v>
      </c>
      <c r="K64" s="45">
        <v>0</v>
      </c>
      <c r="L64" s="45">
        <v>0</v>
      </c>
      <c r="M64" s="45">
        <v>0</v>
      </c>
      <c r="N64" s="45">
        <f t="shared" si="8"/>
        <v>2991329</v>
      </c>
      <c r="O64" s="46">
        <f t="shared" si="7"/>
        <v>2.1687266457962071</v>
      </c>
      <c r="P64" s="9"/>
    </row>
    <row r="65" spans="1:16">
      <c r="A65" s="11"/>
      <c r="B65" s="24">
        <v>337.1</v>
      </c>
      <c r="C65" s="19" t="s">
        <v>64</v>
      </c>
      <c r="D65" s="45">
        <v>0</v>
      </c>
      <c r="E65" s="45">
        <v>0</v>
      </c>
      <c r="F65" s="45">
        <v>0</v>
      </c>
      <c r="G65" s="45">
        <v>0</v>
      </c>
      <c r="H65" s="45">
        <v>0</v>
      </c>
      <c r="I65" s="45">
        <v>0</v>
      </c>
      <c r="J65" s="45">
        <v>0</v>
      </c>
      <c r="K65" s="45">
        <v>0</v>
      </c>
      <c r="L65" s="45">
        <v>0</v>
      </c>
      <c r="M65" s="45">
        <v>2903545</v>
      </c>
      <c r="N65" s="45">
        <f t="shared" ref="N65:N71" si="9">SUM(D65:M65)</f>
        <v>2903545</v>
      </c>
      <c r="O65" s="46">
        <f t="shared" si="7"/>
        <v>2.1050828607513075</v>
      </c>
      <c r="P65" s="9"/>
    </row>
    <row r="66" spans="1:16">
      <c r="A66" s="11"/>
      <c r="B66" s="24">
        <v>337.3</v>
      </c>
      <c r="C66" s="19" t="s">
        <v>66</v>
      </c>
      <c r="D66" s="45">
        <v>0</v>
      </c>
      <c r="E66" s="45">
        <v>602420</v>
      </c>
      <c r="F66" s="45">
        <v>0</v>
      </c>
      <c r="G66" s="45">
        <v>0</v>
      </c>
      <c r="H66" s="45">
        <v>0</v>
      </c>
      <c r="I66" s="45">
        <v>78011</v>
      </c>
      <c r="J66" s="45">
        <v>0</v>
      </c>
      <c r="K66" s="45">
        <v>0</v>
      </c>
      <c r="L66" s="45">
        <v>0</v>
      </c>
      <c r="M66" s="45">
        <v>0</v>
      </c>
      <c r="N66" s="45">
        <f t="shared" si="9"/>
        <v>680431</v>
      </c>
      <c r="O66" s="46">
        <f t="shared" si="7"/>
        <v>0.49331545955853034</v>
      </c>
      <c r="P66" s="9"/>
    </row>
    <row r="67" spans="1:16">
      <c r="A67" s="11"/>
      <c r="B67" s="24">
        <v>337.4</v>
      </c>
      <c r="C67" s="19" t="s">
        <v>172</v>
      </c>
      <c r="D67" s="45">
        <v>0</v>
      </c>
      <c r="E67" s="45">
        <v>5270611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>
        <v>0</v>
      </c>
      <c r="N67" s="45">
        <f t="shared" si="9"/>
        <v>5270611</v>
      </c>
      <c r="O67" s="46">
        <f t="shared" si="7"/>
        <v>3.8212160933573647</v>
      </c>
      <c r="P67" s="9"/>
    </row>
    <row r="68" spans="1:16">
      <c r="A68" s="11"/>
      <c r="B68" s="24">
        <v>337.5</v>
      </c>
      <c r="C68" s="19" t="s">
        <v>67</v>
      </c>
      <c r="D68" s="45">
        <v>0</v>
      </c>
      <c r="E68" s="45">
        <v>0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</v>
      </c>
      <c r="L68" s="45">
        <v>0</v>
      </c>
      <c r="M68" s="45">
        <v>1662499</v>
      </c>
      <c r="N68" s="45">
        <f t="shared" si="9"/>
        <v>1662499</v>
      </c>
      <c r="O68" s="46">
        <f t="shared" si="7"/>
        <v>1.2053190671803564</v>
      </c>
      <c r="P68" s="9"/>
    </row>
    <row r="69" spans="1:16">
      <c r="A69" s="11"/>
      <c r="B69" s="24">
        <v>337.9</v>
      </c>
      <c r="C69" s="19" t="s">
        <v>69</v>
      </c>
      <c r="D69" s="45">
        <v>0</v>
      </c>
      <c r="E69" s="45">
        <v>45321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5">
        <v>0</v>
      </c>
      <c r="L69" s="45">
        <v>0</v>
      </c>
      <c r="M69" s="45">
        <v>0</v>
      </c>
      <c r="N69" s="45">
        <f t="shared" si="9"/>
        <v>45321</v>
      </c>
      <c r="O69" s="46">
        <f t="shared" ref="O69:O100" si="10">(N69/O$159)</f>
        <v>3.2857923790438934E-2</v>
      </c>
      <c r="P69" s="9"/>
    </row>
    <row r="70" spans="1:16" ht="15.75">
      <c r="A70" s="28" t="s">
        <v>75</v>
      </c>
      <c r="B70" s="29"/>
      <c r="C70" s="30"/>
      <c r="D70" s="31">
        <f t="shared" ref="D70:M70" si="11">SUM(D71:D125)</f>
        <v>118735138</v>
      </c>
      <c r="E70" s="31">
        <f t="shared" si="11"/>
        <v>53155990</v>
      </c>
      <c r="F70" s="31">
        <f t="shared" si="11"/>
        <v>427730</v>
      </c>
      <c r="G70" s="31">
        <f t="shared" si="11"/>
        <v>0</v>
      </c>
      <c r="H70" s="31">
        <f t="shared" si="11"/>
        <v>0</v>
      </c>
      <c r="I70" s="31">
        <f t="shared" si="11"/>
        <v>345902352</v>
      </c>
      <c r="J70" s="31">
        <f t="shared" si="11"/>
        <v>193973255</v>
      </c>
      <c r="K70" s="31">
        <f t="shared" si="11"/>
        <v>0</v>
      </c>
      <c r="L70" s="31">
        <f t="shared" si="11"/>
        <v>0</v>
      </c>
      <c r="M70" s="31">
        <f t="shared" si="11"/>
        <v>1767556</v>
      </c>
      <c r="N70" s="31">
        <f t="shared" si="9"/>
        <v>713962021</v>
      </c>
      <c r="O70" s="44">
        <f t="shared" si="10"/>
        <v>517.62559685986105</v>
      </c>
      <c r="P70" s="10"/>
    </row>
    <row r="71" spans="1:16">
      <c r="A71" s="11"/>
      <c r="B71" s="24">
        <v>341.1</v>
      </c>
      <c r="C71" s="19" t="s">
        <v>212</v>
      </c>
      <c r="D71" s="45">
        <v>6969514</v>
      </c>
      <c r="E71" s="45">
        <v>0</v>
      </c>
      <c r="F71" s="45">
        <v>0</v>
      </c>
      <c r="G71" s="45">
        <v>0</v>
      </c>
      <c r="H71" s="45">
        <v>0</v>
      </c>
      <c r="I71" s="45">
        <v>0</v>
      </c>
      <c r="J71" s="45">
        <v>0</v>
      </c>
      <c r="K71" s="45">
        <v>0</v>
      </c>
      <c r="L71" s="45">
        <v>0</v>
      </c>
      <c r="M71" s="45">
        <v>0</v>
      </c>
      <c r="N71" s="45">
        <f t="shared" si="9"/>
        <v>6969514</v>
      </c>
      <c r="O71" s="46">
        <f t="shared" si="10"/>
        <v>5.0529282202157324</v>
      </c>
      <c r="P71" s="9"/>
    </row>
    <row r="72" spans="1:16">
      <c r="A72" s="11"/>
      <c r="B72" s="24">
        <v>341.15</v>
      </c>
      <c r="C72" s="19" t="s">
        <v>213</v>
      </c>
      <c r="D72" s="45">
        <v>0</v>
      </c>
      <c r="E72" s="45">
        <v>1147326</v>
      </c>
      <c r="F72" s="45">
        <v>0</v>
      </c>
      <c r="G72" s="45">
        <v>0</v>
      </c>
      <c r="H72" s="45">
        <v>0</v>
      </c>
      <c r="I72" s="45">
        <v>0</v>
      </c>
      <c r="J72" s="45">
        <v>0</v>
      </c>
      <c r="K72" s="45">
        <v>0</v>
      </c>
      <c r="L72" s="45">
        <v>0</v>
      </c>
      <c r="M72" s="45">
        <v>0</v>
      </c>
      <c r="N72" s="45">
        <f t="shared" ref="N72:N125" si="12">SUM(D72:M72)</f>
        <v>1147326</v>
      </c>
      <c r="O72" s="46">
        <f t="shared" si="10"/>
        <v>0.83181638248911405</v>
      </c>
      <c r="P72" s="9"/>
    </row>
    <row r="73" spans="1:16">
      <c r="A73" s="11"/>
      <c r="B73" s="24">
        <v>341.16</v>
      </c>
      <c r="C73" s="19" t="s">
        <v>214</v>
      </c>
      <c r="D73" s="45">
        <v>0</v>
      </c>
      <c r="E73" s="45">
        <v>2242186</v>
      </c>
      <c r="F73" s="45">
        <v>0</v>
      </c>
      <c r="G73" s="45">
        <v>0</v>
      </c>
      <c r="H73" s="45">
        <v>0</v>
      </c>
      <c r="I73" s="45">
        <v>0</v>
      </c>
      <c r="J73" s="45">
        <v>0</v>
      </c>
      <c r="K73" s="45">
        <v>0</v>
      </c>
      <c r="L73" s="45">
        <v>0</v>
      </c>
      <c r="M73" s="45">
        <v>0</v>
      </c>
      <c r="N73" s="45">
        <f t="shared" si="12"/>
        <v>2242186</v>
      </c>
      <c r="O73" s="46">
        <f t="shared" si="10"/>
        <v>1.6255946848478433</v>
      </c>
      <c r="P73" s="9"/>
    </row>
    <row r="74" spans="1:16">
      <c r="A74" s="11"/>
      <c r="B74" s="24">
        <v>341.2</v>
      </c>
      <c r="C74" s="19" t="s">
        <v>215</v>
      </c>
      <c r="D74" s="45">
        <v>0</v>
      </c>
      <c r="E74" s="45">
        <v>0</v>
      </c>
      <c r="F74" s="45">
        <v>0</v>
      </c>
      <c r="G74" s="45">
        <v>0</v>
      </c>
      <c r="H74" s="45">
        <v>0</v>
      </c>
      <c r="I74" s="45">
        <v>0</v>
      </c>
      <c r="J74" s="45">
        <v>166301922</v>
      </c>
      <c r="K74" s="45">
        <v>0</v>
      </c>
      <c r="L74" s="45">
        <v>0</v>
      </c>
      <c r="M74" s="45">
        <v>0</v>
      </c>
      <c r="N74" s="45">
        <f t="shared" si="12"/>
        <v>166301922</v>
      </c>
      <c r="O74" s="46">
        <f t="shared" si="10"/>
        <v>120.56962289621852</v>
      </c>
      <c r="P74" s="9"/>
    </row>
    <row r="75" spans="1:16">
      <c r="A75" s="11"/>
      <c r="B75" s="24">
        <v>341.3</v>
      </c>
      <c r="C75" s="19" t="s">
        <v>216</v>
      </c>
      <c r="D75" s="45">
        <v>71637</v>
      </c>
      <c r="E75" s="45">
        <v>2781241</v>
      </c>
      <c r="F75" s="45">
        <v>0</v>
      </c>
      <c r="G75" s="45">
        <v>0</v>
      </c>
      <c r="H75" s="45">
        <v>0</v>
      </c>
      <c r="I75" s="45">
        <v>0</v>
      </c>
      <c r="J75" s="45">
        <v>0</v>
      </c>
      <c r="K75" s="45">
        <v>0</v>
      </c>
      <c r="L75" s="45">
        <v>0</v>
      </c>
      <c r="M75" s="45">
        <v>0</v>
      </c>
      <c r="N75" s="45">
        <f t="shared" si="12"/>
        <v>2852878</v>
      </c>
      <c r="O75" s="46">
        <f t="shared" si="10"/>
        <v>2.0683490635118345</v>
      </c>
      <c r="P75" s="9"/>
    </row>
    <row r="76" spans="1:16">
      <c r="A76" s="11"/>
      <c r="B76" s="24">
        <v>341.52</v>
      </c>
      <c r="C76" s="19" t="s">
        <v>217</v>
      </c>
      <c r="D76" s="45">
        <v>1581645</v>
      </c>
      <c r="E76" s="45">
        <v>138341</v>
      </c>
      <c r="F76" s="45">
        <v>0</v>
      </c>
      <c r="G76" s="45">
        <v>0</v>
      </c>
      <c r="H76" s="45">
        <v>0</v>
      </c>
      <c r="I76" s="45">
        <v>0</v>
      </c>
      <c r="J76" s="45">
        <v>0</v>
      </c>
      <c r="K76" s="45">
        <v>0</v>
      </c>
      <c r="L76" s="45">
        <v>0</v>
      </c>
      <c r="M76" s="45">
        <v>0</v>
      </c>
      <c r="N76" s="45">
        <f t="shared" si="12"/>
        <v>1719986</v>
      </c>
      <c r="O76" s="46">
        <f t="shared" si="10"/>
        <v>1.2469973943342356</v>
      </c>
      <c r="P76" s="9"/>
    </row>
    <row r="77" spans="1:16">
      <c r="A77" s="11"/>
      <c r="B77" s="24">
        <v>341.55</v>
      </c>
      <c r="C77" s="19" t="s">
        <v>218</v>
      </c>
      <c r="D77" s="45">
        <v>8352</v>
      </c>
      <c r="E77" s="45">
        <v>0</v>
      </c>
      <c r="F77" s="45">
        <v>0</v>
      </c>
      <c r="G77" s="45">
        <v>0</v>
      </c>
      <c r="H77" s="45">
        <v>0</v>
      </c>
      <c r="I77" s="45">
        <v>0</v>
      </c>
      <c r="J77" s="45">
        <v>0</v>
      </c>
      <c r="K77" s="45">
        <v>0</v>
      </c>
      <c r="L77" s="45">
        <v>0</v>
      </c>
      <c r="M77" s="45">
        <v>0</v>
      </c>
      <c r="N77" s="45">
        <f t="shared" si="12"/>
        <v>8352</v>
      </c>
      <c r="O77" s="46">
        <f t="shared" si="10"/>
        <v>6.0552366341816372E-3</v>
      </c>
      <c r="P77" s="9"/>
    </row>
    <row r="78" spans="1:16">
      <c r="A78" s="11"/>
      <c r="B78" s="24">
        <v>341.9</v>
      </c>
      <c r="C78" s="19" t="s">
        <v>220</v>
      </c>
      <c r="D78" s="45">
        <v>54321769</v>
      </c>
      <c r="E78" s="45">
        <v>2489079</v>
      </c>
      <c r="F78" s="45">
        <v>0</v>
      </c>
      <c r="G78" s="45">
        <v>0</v>
      </c>
      <c r="H78" s="45">
        <v>0</v>
      </c>
      <c r="I78" s="45">
        <v>0</v>
      </c>
      <c r="J78" s="45">
        <v>5570500</v>
      </c>
      <c r="K78" s="45">
        <v>0</v>
      </c>
      <c r="L78" s="45">
        <v>0</v>
      </c>
      <c r="M78" s="45">
        <v>782940</v>
      </c>
      <c r="N78" s="45">
        <f t="shared" si="12"/>
        <v>63164288</v>
      </c>
      <c r="O78" s="46">
        <f t="shared" si="10"/>
        <v>45.794385856034431</v>
      </c>
      <c r="P78" s="9"/>
    </row>
    <row r="79" spans="1:16">
      <c r="A79" s="11"/>
      <c r="B79" s="24">
        <v>342.1</v>
      </c>
      <c r="C79" s="19" t="s">
        <v>87</v>
      </c>
      <c r="D79" s="45">
        <v>5000346</v>
      </c>
      <c r="E79" s="45">
        <v>9870990</v>
      </c>
      <c r="F79" s="45">
        <v>0</v>
      </c>
      <c r="G79" s="45">
        <v>0</v>
      </c>
      <c r="H79" s="45">
        <v>0</v>
      </c>
      <c r="I79" s="45">
        <v>0</v>
      </c>
      <c r="J79" s="45">
        <v>0</v>
      </c>
      <c r="K79" s="45">
        <v>0</v>
      </c>
      <c r="L79" s="45">
        <v>0</v>
      </c>
      <c r="M79" s="45">
        <v>0</v>
      </c>
      <c r="N79" s="45">
        <f t="shared" si="12"/>
        <v>14871336</v>
      </c>
      <c r="O79" s="46">
        <f t="shared" si="10"/>
        <v>10.78178382979217</v>
      </c>
      <c r="P79" s="9"/>
    </row>
    <row r="80" spans="1:16">
      <c r="A80" s="11"/>
      <c r="B80" s="24">
        <v>342.2</v>
      </c>
      <c r="C80" s="19" t="s">
        <v>88</v>
      </c>
      <c r="D80" s="45">
        <v>1052655</v>
      </c>
      <c r="E80" s="45">
        <v>0</v>
      </c>
      <c r="F80" s="45">
        <v>0</v>
      </c>
      <c r="G80" s="45">
        <v>0</v>
      </c>
      <c r="H80" s="45">
        <v>0</v>
      </c>
      <c r="I80" s="45">
        <v>0</v>
      </c>
      <c r="J80" s="45">
        <v>0</v>
      </c>
      <c r="K80" s="45">
        <v>0</v>
      </c>
      <c r="L80" s="45">
        <v>0</v>
      </c>
      <c r="M80" s="45">
        <v>0</v>
      </c>
      <c r="N80" s="45">
        <f t="shared" si="12"/>
        <v>1052655</v>
      </c>
      <c r="O80" s="46">
        <f t="shared" si="10"/>
        <v>0.76317949223592807</v>
      </c>
      <c r="P80" s="9"/>
    </row>
    <row r="81" spans="1:16">
      <c r="A81" s="11"/>
      <c r="B81" s="24">
        <v>342.3</v>
      </c>
      <c r="C81" s="19" t="s">
        <v>89</v>
      </c>
      <c r="D81" s="45">
        <v>45934</v>
      </c>
      <c r="E81" s="45">
        <v>0</v>
      </c>
      <c r="F81" s="45">
        <v>0</v>
      </c>
      <c r="G81" s="45">
        <v>0</v>
      </c>
      <c r="H81" s="45">
        <v>0</v>
      </c>
      <c r="I81" s="45">
        <v>0</v>
      </c>
      <c r="J81" s="45">
        <v>0</v>
      </c>
      <c r="K81" s="45">
        <v>0</v>
      </c>
      <c r="L81" s="45">
        <v>0</v>
      </c>
      <c r="M81" s="45">
        <v>0</v>
      </c>
      <c r="N81" s="45">
        <f t="shared" si="12"/>
        <v>45934</v>
      </c>
      <c r="O81" s="46">
        <f t="shared" si="10"/>
        <v>3.3302351479226451E-2</v>
      </c>
      <c r="P81" s="9"/>
    </row>
    <row r="82" spans="1:16">
      <c r="A82" s="11"/>
      <c r="B82" s="24">
        <v>342.5</v>
      </c>
      <c r="C82" s="19" t="s">
        <v>90</v>
      </c>
      <c r="D82" s="45">
        <v>1113984</v>
      </c>
      <c r="E82" s="45">
        <v>0</v>
      </c>
      <c r="F82" s="45">
        <v>0</v>
      </c>
      <c r="G82" s="45">
        <v>0</v>
      </c>
      <c r="H82" s="45">
        <v>0</v>
      </c>
      <c r="I82" s="45">
        <v>0</v>
      </c>
      <c r="J82" s="45">
        <v>0</v>
      </c>
      <c r="K82" s="45">
        <v>0</v>
      </c>
      <c r="L82" s="45">
        <v>0</v>
      </c>
      <c r="M82" s="45">
        <v>0</v>
      </c>
      <c r="N82" s="45">
        <f t="shared" si="12"/>
        <v>1113984</v>
      </c>
      <c r="O82" s="46">
        <f t="shared" si="10"/>
        <v>0.80764328624188175</v>
      </c>
      <c r="P82" s="9"/>
    </row>
    <row r="83" spans="1:16">
      <c r="A83" s="11"/>
      <c r="B83" s="24">
        <v>342.6</v>
      </c>
      <c r="C83" s="19" t="s">
        <v>91</v>
      </c>
      <c r="D83" s="45">
        <v>17117402</v>
      </c>
      <c r="E83" s="45">
        <v>0</v>
      </c>
      <c r="F83" s="45">
        <v>0</v>
      </c>
      <c r="G83" s="45">
        <v>0</v>
      </c>
      <c r="H83" s="45">
        <v>0</v>
      </c>
      <c r="I83" s="45">
        <v>0</v>
      </c>
      <c r="J83" s="45">
        <v>0</v>
      </c>
      <c r="K83" s="45">
        <v>0</v>
      </c>
      <c r="L83" s="45">
        <v>0</v>
      </c>
      <c r="M83" s="45">
        <v>0</v>
      </c>
      <c r="N83" s="45">
        <f t="shared" si="12"/>
        <v>17117402</v>
      </c>
      <c r="O83" s="46">
        <f t="shared" si="10"/>
        <v>12.410191531658766</v>
      </c>
      <c r="P83" s="9"/>
    </row>
    <row r="84" spans="1:16">
      <c r="A84" s="11"/>
      <c r="B84" s="24">
        <v>342.9</v>
      </c>
      <c r="C84" s="19" t="s">
        <v>92</v>
      </c>
      <c r="D84" s="45">
        <v>1031815</v>
      </c>
      <c r="E84" s="45">
        <v>2587495</v>
      </c>
      <c r="F84" s="45">
        <v>0</v>
      </c>
      <c r="G84" s="45">
        <v>0</v>
      </c>
      <c r="H84" s="45">
        <v>0</v>
      </c>
      <c r="I84" s="45">
        <v>0</v>
      </c>
      <c r="J84" s="45">
        <v>0</v>
      </c>
      <c r="K84" s="45">
        <v>0</v>
      </c>
      <c r="L84" s="45">
        <v>0</v>
      </c>
      <c r="M84" s="45">
        <v>0</v>
      </c>
      <c r="N84" s="45">
        <f t="shared" si="12"/>
        <v>3619310</v>
      </c>
      <c r="O84" s="46">
        <f t="shared" si="10"/>
        <v>2.624015625294533</v>
      </c>
      <c r="P84" s="9"/>
    </row>
    <row r="85" spans="1:16">
      <c r="A85" s="11"/>
      <c r="B85" s="24">
        <v>343.4</v>
      </c>
      <c r="C85" s="19" t="s">
        <v>93</v>
      </c>
      <c r="D85" s="45">
        <v>0</v>
      </c>
      <c r="E85" s="45">
        <v>0</v>
      </c>
      <c r="F85" s="45">
        <v>0</v>
      </c>
      <c r="G85" s="45">
        <v>0</v>
      </c>
      <c r="H85" s="45">
        <v>0</v>
      </c>
      <c r="I85" s="45">
        <v>105422680</v>
      </c>
      <c r="J85" s="45">
        <v>0</v>
      </c>
      <c r="K85" s="45">
        <v>0</v>
      </c>
      <c r="L85" s="45">
        <v>0</v>
      </c>
      <c r="M85" s="45">
        <v>0</v>
      </c>
      <c r="N85" s="45">
        <f t="shared" si="12"/>
        <v>105422680</v>
      </c>
      <c r="O85" s="46">
        <f t="shared" si="10"/>
        <v>76.431905413027749</v>
      </c>
      <c r="P85" s="9"/>
    </row>
    <row r="86" spans="1:16">
      <c r="A86" s="11"/>
      <c r="B86" s="24">
        <v>343.6</v>
      </c>
      <c r="C86" s="19" t="s">
        <v>94</v>
      </c>
      <c r="D86" s="45">
        <v>0</v>
      </c>
      <c r="E86" s="45">
        <v>0</v>
      </c>
      <c r="F86" s="45">
        <v>0</v>
      </c>
      <c r="G86" s="45">
        <v>0</v>
      </c>
      <c r="H86" s="45">
        <v>0</v>
      </c>
      <c r="I86" s="45">
        <v>240479672</v>
      </c>
      <c r="J86" s="45">
        <v>0</v>
      </c>
      <c r="K86" s="45">
        <v>0</v>
      </c>
      <c r="L86" s="45">
        <v>0</v>
      </c>
      <c r="M86" s="45">
        <v>0</v>
      </c>
      <c r="N86" s="45">
        <f t="shared" si="12"/>
        <v>240479672</v>
      </c>
      <c r="O86" s="46">
        <f t="shared" si="10"/>
        <v>174.34881701034291</v>
      </c>
      <c r="P86" s="9"/>
    </row>
    <row r="87" spans="1:16">
      <c r="A87" s="11"/>
      <c r="B87" s="24">
        <v>343.7</v>
      </c>
      <c r="C87" s="19" t="s">
        <v>95</v>
      </c>
      <c r="D87" s="45">
        <v>2736714</v>
      </c>
      <c r="E87" s="45">
        <v>1127381</v>
      </c>
      <c r="F87" s="45">
        <v>0</v>
      </c>
      <c r="G87" s="45">
        <v>0</v>
      </c>
      <c r="H87" s="45">
        <v>0</v>
      </c>
      <c r="I87" s="45">
        <v>0</v>
      </c>
      <c r="J87" s="45">
        <v>0</v>
      </c>
      <c r="K87" s="45">
        <v>0</v>
      </c>
      <c r="L87" s="45">
        <v>0</v>
      </c>
      <c r="M87" s="45">
        <v>83559</v>
      </c>
      <c r="N87" s="45">
        <f t="shared" si="12"/>
        <v>3947654</v>
      </c>
      <c r="O87" s="46">
        <f t="shared" si="10"/>
        <v>2.8620664655021164</v>
      </c>
      <c r="P87" s="9"/>
    </row>
    <row r="88" spans="1:16">
      <c r="A88" s="11"/>
      <c r="B88" s="24">
        <v>343.9</v>
      </c>
      <c r="C88" s="19" t="s">
        <v>96</v>
      </c>
      <c r="D88" s="45">
        <v>1120621</v>
      </c>
      <c r="E88" s="45">
        <v>15337</v>
      </c>
      <c r="F88" s="45">
        <v>0</v>
      </c>
      <c r="G88" s="45">
        <v>0</v>
      </c>
      <c r="H88" s="45">
        <v>0</v>
      </c>
      <c r="I88" s="45">
        <v>0</v>
      </c>
      <c r="J88" s="45">
        <v>0</v>
      </c>
      <c r="K88" s="45">
        <v>0</v>
      </c>
      <c r="L88" s="45">
        <v>0</v>
      </c>
      <c r="M88" s="45">
        <v>0</v>
      </c>
      <c r="N88" s="45">
        <f t="shared" si="12"/>
        <v>1135958</v>
      </c>
      <c r="O88" s="46">
        <f t="shared" si="10"/>
        <v>0.8235745326259224</v>
      </c>
      <c r="P88" s="9"/>
    </row>
    <row r="89" spans="1:16">
      <c r="A89" s="11"/>
      <c r="B89" s="24">
        <v>344.5</v>
      </c>
      <c r="C89" s="19" t="s">
        <v>221</v>
      </c>
      <c r="D89" s="45">
        <v>866467</v>
      </c>
      <c r="E89" s="45">
        <v>0</v>
      </c>
      <c r="F89" s="45">
        <v>0</v>
      </c>
      <c r="G89" s="45">
        <v>0</v>
      </c>
      <c r="H89" s="45">
        <v>0</v>
      </c>
      <c r="I89" s="45">
        <v>0</v>
      </c>
      <c r="J89" s="45">
        <v>578</v>
      </c>
      <c r="K89" s="45">
        <v>0</v>
      </c>
      <c r="L89" s="45">
        <v>0</v>
      </c>
      <c r="M89" s="45">
        <v>0</v>
      </c>
      <c r="N89" s="45">
        <f t="shared" si="12"/>
        <v>867045</v>
      </c>
      <c r="O89" s="46">
        <f t="shared" si="10"/>
        <v>0.62861142809913995</v>
      </c>
      <c r="P89" s="9"/>
    </row>
    <row r="90" spans="1:16">
      <c r="A90" s="11"/>
      <c r="B90" s="24">
        <v>344.9</v>
      </c>
      <c r="C90" s="19" t="s">
        <v>222</v>
      </c>
      <c r="D90" s="45">
        <v>1130197</v>
      </c>
      <c r="E90" s="45">
        <v>3337876</v>
      </c>
      <c r="F90" s="45">
        <v>0</v>
      </c>
      <c r="G90" s="45">
        <v>0</v>
      </c>
      <c r="H90" s="45">
        <v>0</v>
      </c>
      <c r="I90" s="45">
        <v>0</v>
      </c>
      <c r="J90" s="45">
        <v>0</v>
      </c>
      <c r="K90" s="45">
        <v>0</v>
      </c>
      <c r="L90" s="45">
        <v>0</v>
      </c>
      <c r="M90" s="45">
        <v>0</v>
      </c>
      <c r="N90" s="45">
        <f t="shared" si="12"/>
        <v>4468073</v>
      </c>
      <c r="O90" s="46">
        <f t="shared" si="10"/>
        <v>3.2393725232037656</v>
      </c>
      <c r="P90" s="9"/>
    </row>
    <row r="91" spans="1:16">
      <c r="A91" s="11"/>
      <c r="B91" s="24">
        <v>345.1</v>
      </c>
      <c r="C91" s="19" t="s">
        <v>99</v>
      </c>
      <c r="D91" s="45">
        <v>0</v>
      </c>
      <c r="E91" s="45">
        <v>0</v>
      </c>
      <c r="F91" s="45">
        <v>0</v>
      </c>
      <c r="G91" s="45">
        <v>0</v>
      </c>
      <c r="H91" s="45">
        <v>0</v>
      </c>
      <c r="I91" s="45">
        <v>0</v>
      </c>
      <c r="J91" s="45">
        <v>0</v>
      </c>
      <c r="K91" s="45">
        <v>0</v>
      </c>
      <c r="L91" s="45">
        <v>0</v>
      </c>
      <c r="M91" s="45">
        <v>901057</v>
      </c>
      <c r="N91" s="45">
        <f t="shared" si="12"/>
        <v>901057</v>
      </c>
      <c r="O91" s="46">
        <f t="shared" si="10"/>
        <v>0.65327027728517761</v>
      </c>
      <c r="P91" s="9"/>
    </row>
    <row r="92" spans="1:16">
      <c r="A92" s="11"/>
      <c r="B92" s="24">
        <v>345.9</v>
      </c>
      <c r="C92" s="19" t="s">
        <v>100</v>
      </c>
      <c r="D92" s="45">
        <v>128395</v>
      </c>
      <c r="E92" s="45">
        <v>0</v>
      </c>
      <c r="F92" s="45">
        <v>0</v>
      </c>
      <c r="G92" s="45">
        <v>0</v>
      </c>
      <c r="H92" s="45">
        <v>0</v>
      </c>
      <c r="I92" s="45">
        <v>0</v>
      </c>
      <c r="J92" s="45">
        <v>0</v>
      </c>
      <c r="K92" s="45">
        <v>0</v>
      </c>
      <c r="L92" s="45">
        <v>0</v>
      </c>
      <c r="M92" s="45">
        <v>0</v>
      </c>
      <c r="N92" s="45">
        <f t="shared" si="12"/>
        <v>128395</v>
      </c>
      <c r="O92" s="46">
        <f t="shared" si="10"/>
        <v>9.3086938175975964E-2</v>
      </c>
      <c r="P92" s="9"/>
    </row>
    <row r="93" spans="1:16">
      <c r="A93" s="11"/>
      <c r="B93" s="24">
        <v>346.4</v>
      </c>
      <c r="C93" s="19" t="s">
        <v>101</v>
      </c>
      <c r="D93" s="45">
        <v>310242</v>
      </c>
      <c r="E93" s="45">
        <v>0</v>
      </c>
      <c r="F93" s="45">
        <v>0</v>
      </c>
      <c r="G93" s="45">
        <v>0</v>
      </c>
      <c r="H93" s="45">
        <v>0</v>
      </c>
      <c r="I93" s="45">
        <v>0</v>
      </c>
      <c r="J93" s="45">
        <v>0</v>
      </c>
      <c r="K93" s="45">
        <v>0</v>
      </c>
      <c r="L93" s="45">
        <v>0</v>
      </c>
      <c r="M93" s="45">
        <v>0</v>
      </c>
      <c r="N93" s="45">
        <f t="shared" si="12"/>
        <v>310242</v>
      </c>
      <c r="O93" s="46">
        <f t="shared" si="10"/>
        <v>0.22492681080720539</v>
      </c>
      <c r="P93" s="9"/>
    </row>
    <row r="94" spans="1:16">
      <c r="A94" s="11"/>
      <c r="B94" s="24">
        <v>346.9</v>
      </c>
      <c r="C94" s="19" t="s">
        <v>102</v>
      </c>
      <c r="D94" s="45">
        <v>43509</v>
      </c>
      <c r="E94" s="45">
        <v>1146</v>
      </c>
      <c r="F94" s="45">
        <v>0</v>
      </c>
      <c r="G94" s="45">
        <v>0</v>
      </c>
      <c r="H94" s="45">
        <v>0</v>
      </c>
      <c r="I94" s="45">
        <v>0</v>
      </c>
      <c r="J94" s="45">
        <v>22100255</v>
      </c>
      <c r="K94" s="45">
        <v>0</v>
      </c>
      <c r="L94" s="45">
        <v>0</v>
      </c>
      <c r="M94" s="45">
        <v>0</v>
      </c>
      <c r="N94" s="45">
        <f t="shared" si="12"/>
        <v>22144910</v>
      </c>
      <c r="O94" s="46">
        <f t="shared" si="10"/>
        <v>16.055156883699148</v>
      </c>
      <c r="P94" s="9"/>
    </row>
    <row r="95" spans="1:16">
      <c r="A95" s="11"/>
      <c r="B95" s="24">
        <v>347.1</v>
      </c>
      <c r="C95" s="19" t="s">
        <v>103</v>
      </c>
      <c r="D95" s="45">
        <v>0</v>
      </c>
      <c r="E95" s="45">
        <v>28856</v>
      </c>
      <c r="F95" s="45">
        <v>0</v>
      </c>
      <c r="G95" s="45">
        <v>0</v>
      </c>
      <c r="H95" s="45">
        <v>0</v>
      </c>
      <c r="I95" s="45">
        <v>0</v>
      </c>
      <c r="J95" s="45">
        <v>0</v>
      </c>
      <c r="K95" s="45">
        <v>0</v>
      </c>
      <c r="L95" s="45">
        <v>0</v>
      </c>
      <c r="M95" s="45">
        <v>0</v>
      </c>
      <c r="N95" s="45">
        <f t="shared" si="12"/>
        <v>28856</v>
      </c>
      <c r="O95" s="46">
        <f t="shared" si="10"/>
        <v>2.0920726570395752E-2</v>
      </c>
      <c r="P95" s="9"/>
    </row>
    <row r="96" spans="1:16">
      <c r="A96" s="11"/>
      <c r="B96" s="24">
        <v>347.2</v>
      </c>
      <c r="C96" s="19" t="s">
        <v>104</v>
      </c>
      <c r="D96" s="45">
        <v>3541858</v>
      </c>
      <c r="E96" s="45">
        <v>0</v>
      </c>
      <c r="F96" s="45">
        <v>0</v>
      </c>
      <c r="G96" s="45">
        <v>0</v>
      </c>
      <c r="H96" s="45">
        <v>0</v>
      </c>
      <c r="I96" s="45">
        <v>0</v>
      </c>
      <c r="J96" s="45">
        <v>0</v>
      </c>
      <c r="K96" s="45">
        <v>0</v>
      </c>
      <c r="L96" s="45">
        <v>0</v>
      </c>
      <c r="M96" s="45">
        <v>0</v>
      </c>
      <c r="N96" s="45">
        <f t="shared" si="12"/>
        <v>3541858</v>
      </c>
      <c r="O96" s="46">
        <f t="shared" si="10"/>
        <v>2.5678625855686428</v>
      </c>
      <c r="P96" s="9"/>
    </row>
    <row r="97" spans="1:16">
      <c r="A97" s="11"/>
      <c r="B97" s="24">
        <v>347.4</v>
      </c>
      <c r="C97" s="19" t="s">
        <v>105</v>
      </c>
      <c r="D97" s="45">
        <v>22903</v>
      </c>
      <c r="E97" s="45">
        <v>7105</v>
      </c>
      <c r="F97" s="45">
        <v>427730</v>
      </c>
      <c r="G97" s="45">
        <v>0</v>
      </c>
      <c r="H97" s="45">
        <v>0</v>
      </c>
      <c r="I97" s="45">
        <v>0</v>
      </c>
      <c r="J97" s="45">
        <v>0</v>
      </c>
      <c r="K97" s="45">
        <v>0</v>
      </c>
      <c r="L97" s="45">
        <v>0</v>
      </c>
      <c r="M97" s="45">
        <v>0</v>
      </c>
      <c r="N97" s="45">
        <f t="shared" si="12"/>
        <v>457738</v>
      </c>
      <c r="O97" s="46">
        <f t="shared" si="10"/>
        <v>0.33186205776544947</v>
      </c>
      <c r="P97" s="9"/>
    </row>
    <row r="98" spans="1:16">
      <c r="A98" s="11"/>
      <c r="B98" s="24">
        <v>347.5</v>
      </c>
      <c r="C98" s="19" t="s">
        <v>106</v>
      </c>
      <c r="D98" s="45">
        <v>331221</v>
      </c>
      <c r="E98" s="45">
        <v>0</v>
      </c>
      <c r="F98" s="45">
        <v>0</v>
      </c>
      <c r="G98" s="45">
        <v>0</v>
      </c>
      <c r="H98" s="45">
        <v>0</v>
      </c>
      <c r="I98" s="45">
        <v>0</v>
      </c>
      <c r="J98" s="45">
        <v>0</v>
      </c>
      <c r="K98" s="45">
        <v>0</v>
      </c>
      <c r="L98" s="45">
        <v>0</v>
      </c>
      <c r="M98" s="45">
        <v>0</v>
      </c>
      <c r="N98" s="45">
        <f t="shared" si="12"/>
        <v>331221</v>
      </c>
      <c r="O98" s="46">
        <f t="shared" si="10"/>
        <v>0.24013667782690085</v>
      </c>
      <c r="P98" s="9"/>
    </row>
    <row r="99" spans="1:16">
      <c r="A99" s="11"/>
      <c r="B99" s="24">
        <v>347.9</v>
      </c>
      <c r="C99" s="19" t="s">
        <v>107</v>
      </c>
      <c r="D99" s="45">
        <v>51295</v>
      </c>
      <c r="E99" s="45">
        <v>0</v>
      </c>
      <c r="F99" s="45">
        <v>0</v>
      </c>
      <c r="G99" s="45">
        <v>0</v>
      </c>
      <c r="H99" s="45">
        <v>0</v>
      </c>
      <c r="I99" s="45">
        <v>0</v>
      </c>
      <c r="J99" s="45">
        <v>0</v>
      </c>
      <c r="K99" s="45">
        <v>0</v>
      </c>
      <c r="L99" s="45">
        <v>0</v>
      </c>
      <c r="M99" s="45">
        <v>0</v>
      </c>
      <c r="N99" s="45">
        <f t="shared" si="12"/>
        <v>51295</v>
      </c>
      <c r="O99" s="46">
        <f t="shared" si="10"/>
        <v>3.7189099994054967E-2</v>
      </c>
      <c r="P99" s="9"/>
    </row>
    <row r="100" spans="1:16">
      <c r="A100" s="11"/>
      <c r="B100" s="24">
        <v>348.11</v>
      </c>
      <c r="C100" s="19" t="s">
        <v>244</v>
      </c>
      <c r="D100" s="45">
        <v>0</v>
      </c>
      <c r="E100" s="45">
        <v>46209</v>
      </c>
      <c r="F100" s="45">
        <v>0</v>
      </c>
      <c r="G100" s="45">
        <v>0</v>
      </c>
      <c r="H100" s="45">
        <v>0</v>
      </c>
      <c r="I100" s="45">
        <v>0</v>
      </c>
      <c r="J100" s="45">
        <v>0</v>
      </c>
      <c r="K100" s="45">
        <v>0</v>
      </c>
      <c r="L100" s="45">
        <v>0</v>
      </c>
      <c r="M100" s="45">
        <v>0</v>
      </c>
      <c r="N100" s="45">
        <f>SUM(D100:M100)</f>
        <v>46209</v>
      </c>
      <c r="O100" s="46">
        <f t="shared" si="10"/>
        <v>3.3501727685452495E-2</v>
      </c>
      <c r="P100" s="9"/>
    </row>
    <row r="101" spans="1:16">
      <c r="A101" s="11"/>
      <c r="B101" s="24">
        <v>348.12</v>
      </c>
      <c r="C101" s="19" t="s">
        <v>245</v>
      </c>
      <c r="D101" s="45">
        <v>0</v>
      </c>
      <c r="E101" s="45">
        <v>85257</v>
      </c>
      <c r="F101" s="45">
        <v>0</v>
      </c>
      <c r="G101" s="45">
        <v>0</v>
      </c>
      <c r="H101" s="45">
        <v>0</v>
      </c>
      <c r="I101" s="45">
        <v>0</v>
      </c>
      <c r="J101" s="45">
        <v>0</v>
      </c>
      <c r="K101" s="45">
        <v>0</v>
      </c>
      <c r="L101" s="45">
        <v>0</v>
      </c>
      <c r="M101" s="45">
        <v>0</v>
      </c>
      <c r="N101" s="45">
        <f t="shared" ref="N101:N116" si="13">SUM(D101:M101)</f>
        <v>85257</v>
      </c>
      <c r="O101" s="46">
        <f t="shared" ref="O101:O132" si="14">(N101/O$159)</f>
        <v>6.1811698960778712E-2</v>
      </c>
      <c r="P101" s="9"/>
    </row>
    <row r="102" spans="1:16">
      <c r="A102" s="11"/>
      <c r="B102" s="24">
        <v>348.13</v>
      </c>
      <c r="C102" s="19" t="s">
        <v>246</v>
      </c>
      <c r="D102" s="45">
        <v>0</v>
      </c>
      <c r="E102" s="45">
        <v>171382</v>
      </c>
      <c r="F102" s="45">
        <v>0</v>
      </c>
      <c r="G102" s="45">
        <v>0</v>
      </c>
      <c r="H102" s="45">
        <v>0</v>
      </c>
      <c r="I102" s="45">
        <v>0</v>
      </c>
      <c r="J102" s="45">
        <v>0</v>
      </c>
      <c r="K102" s="45">
        <v>0</v>
      </c>
      <c r="L102" s="45">
        <v>0</v>
      </c>
      <c r="M102" s="45">
        <v>0</v>
      </c>
      <c r="N102" s="45">
        <f t="shared" si="13"/>
        <v>171382</v>
      </c>
      <c r="O102" s="46">
        <f t="shared" si="14"/>
        <v>0.12425270172884546</v>
      </c>
      <c r="P102" s="9"/>
    </row>
    <row r="103" spans="1:16">
      <c r="A103" s="11"/>
      <c r="B103" s="24">
        <v>348.21</v>
      </c>
      <c r="C103" s="19" t="s">
        <v>284</v>
      </c>
      <c r="D103" s="45">
        <v>0</v>
      </c>
      <c r="E103" s="45">
        <v>1218</v>
      </c>
      <c r="F103" s="45">
        <v>0</v>
      </c>
      <c r="G103" s="45">
        <v>0</v>
      </c>
      <c r="H103" s="45">
        <v>0</v>
      </c>
      <c r="I103" s="45">
        <v>0</v>
      </c>
      <c r="J103" s="45">
        <v>0</v>
      </c>
      <c r="K103" s="45">
        <v>0</v>
      </c>
      <c r="L103" s="45">
        <v>0</v>
      </c>
      <c r="M103" s="45">
        <v>0</v>
      </c>
      <c r="N103" s="45">
        <f t="shared" si="13"/>
        <v>1218</v>
      </c>
      <c r="O103" s="46">
        <f t="shared" si="14"/>
        <v>8.8305534248482207E-4</v>
      </c>
      <c r="P103" s="9"/>
    </row>
    <row r="104" spans="1:16">
      <c r="A104" s="11"/>
      <c r="B104" s="24">
        <v>348.22</v>
      </c>
      <c r="C104" s="19" t="s">
        <v>247</v>
      </c>
      <c r="D104" s="45">
        <v>0</v>
      </c>
      <c r="E104" s="45">
        <v>101988</v>
      </c>
      <c r="F104" s="45">
        <v>0</v>
      </c>
      <c r="G104" s="45">
        <v>0</v>
      </c>
      <c r="H104" s="45">
        <v>0</v>
      </c>
      <c r="I104" s="45">
        <v>0</v>
      </c>
      <c r="J104" s="45">
        <v>0</v>
      </c>
      <c r="K104" s="45">
        <v>0</v>
      </c>
      <c r="L104" s="45">
        <v>0</v>
      </c>
      <c r="M104" s="45">
        <v>0</v>
      </c>
      <c r="N104" s="45">
        <f t="shared" si="13"/>
        <v>101988</v>
      </c>
      <c r="O104" s="46">
        <f t="shared" si="14"/>
        <v>7.3941747347571446E-2</v>
      </c>
      <c r="P104" s="9"/>
    </row>
    <row r="105" spans="1:16">
      <c r="A105" s="11"/>
      <c r="B105" s="24">
        <v>348.23</v>
      </c>
      <c r="C105" s="19" t="s">
        <v>248</v>
      </c>
      <c r="D105" s="45">
        <v>0</v>
      </c>
      <c r="E105" s="45">
        <v>382566</v>
      </c>
      <c r="F105" s="45">
        <v>0</v>
      </c>
      <c r="G105" s="45">
        <v>0</v>
      </c>
      <c r="H105" s="45">
        <v>0</v>
      </c>
      <c r="I105" s="45">
        <v>0</v>
      </c>
      <c r="J105" s="45">
        <v>0</v>
      </c>
      <c r="K105" s="45">
        <v>0</v>
      </c>
      <c r="L105" s="45">
        <v>0</v>
      </c>
      <c r="M105" s="45">
        <v>0</v>
      </c>
      <c r="N105" s="45">
        <f t="shared" si="13"/>
        <v>382566</v>
      </c>
      <c r="O105" s="46">
        <f t="shared" si="14"/>
        <v>0.27736202804026966</v>
      </c>
      <c r="P105" s="9"/>
    </row>
    <row r="106" spans="1:16">
      <c r="A106" s="11"/>
      <c r="B106" s="24">
        <v>348.31</v>
      </c>
      <c r="C106" s="19" t="s">
        <v>249</v>
      </c>
      <c r="D106" s="45">
        <v>0</v>
      </c>
      <c r="E106" s="45">
        <v>7702625</v>
      </c>
      <c r="F106" s="45">
        <v>0</v>
      </c>
      <c r="G106" s="45">
        <v>0</v>
      </c>
      <c r="H106" s="45">
        <v>0</v>
      </c>
      <c r="I106" s="45">
        <v>0</v>
      </c>
      <c r="J106" s="45">
        <v>0</v>
      </c>
      <c r="K106" s="45">
        <v>0</v>
      </c>
      <c r="L106" s="45">
        <v>0</v>
      </c>
      <c r="M106" s="45">
        <v>0</v>
      </c>
      <c r="N106" s="45">
        <f t="shared" si="13"/>
        <v>7702625</v>
      </c>
      <c r="O106" s="46">
        <f t="shared" si="14"/>
        <v>5.5844369108433103</v>
      </c>
      <c r="P106" s="9"/>
    </row>
    <row r="107" spans="1:16">
      <c r="A107" s="11"/>
      <c r="B107" s="24">
        <v>348.32</v>
      </c>
      <c r="C107" s="19" t="s">
        <v>250</v>
      </c>
      <c r="D107" s="45">
        <v>0</v>
      </c>
      <c r="E107" s="45">
        <v>83004</v>
      </c>
      <c r="F107" s="45">
        <v>0</v>
      </c>
      <c r="G107" s="45">
        <v>0</v>
      </c>
      <c r="H107" s="45">
        <v>0</v>
      </c>
      <c r="I107" s="45">
        <v>0</v>
      </c>
      <c r="J107" s="45">
        <v>0</v>
      </c>
      <c r="K107" s="45">
        <v>0</v>
      </c>
      <c r="L107" s="45">
        <v>0</v>
      </c>
      <c r="M107" s="45">
        <v>0</v>
      </c>
      <c r="N107" s="45">
        <f t="shared" si="13"/>
        <v>83004</v>
      </c>
      <c r="O107" s="46">
        <f t="shared" si="14"/>
        <v>6.0178264078497676E-2</v>
      </c>
      <c r="P107" s="9"/>
    </row>
    <row r="108" spans="1:16">
      <c r="A108" s="11"/>
      <c r="B108" s="24">
        <v>348.41</v>
      </c>
      <c r="C108" s="19" t="s">
        <v>251</v>
      </c>
      <c r="D108" s="45">
        <v>0</v>
      </c>
      <c r="E108" s="45">
        <v>3527426</v>
      </c>
      <c r="F108" s="45">
        <v>0</v>
      </c>
      <c r="G108" s="45">
        <v>0</v>
      </c>
      <c r="H108" s="45">
        <v>0</v>
      </c>
      <c r="I108" s="45">
        <v>0</v>
      </c>
      <c r="J108" s="45">
        <v>0</v>
      </c>
      <c r="K108" s="45">
        <v>0</v>
      </c>
      <c r="L108" s="45">
        <v>0</v>
      </c>
      <c r="M108" s="45">
        <v>0</v>
      </c>
      <c r="N108" s="45">
        <f t="shared" si="13"/>
        <v>3527426</v>
      </c>
      <c r="O108" s="46">
        <f t="shared" si="14"/>
        <v>2.5573993222658995</v>
      </c>
      <c r="P108" s="9"/>
    </row>
    <row r="109" spans="1:16">
      <c r="A109" s="11"/>
      <c r="B109" s="24">
        <v>348.42</v>
      </c>
      <c r="C109" s="19" t="s">
        <v>252</v>
      </c>
      <c r="D109" s="45">
        <v>0</v>
      </c>
      <c r="E109" s="45">
        <v>2499425</v>
      </c>
      <c r="F109" s="45">
        <v>0</v>
      </c>
      <c r="G109" s="45">
        <v>0</v>
      </c>
      <c r="H109" s="45">
        <v>0</v>
      </c>
      <c r="I109" s="45">
        <v>0</v>
      </c>
      <c r="J109" s="45">
        <v>0</v>
      </c>
      <c r="K109" s="45">
        <v>0</v>
      </c>
      <c r="L109" s="45">
        <v>0</v>
      </c>
      <c r="M109" s="45">
        <v>0</v>
      </c>
      <c r="N109" s="45">
        <f t="shared" si="13"/>
        <v>2499425</v>
      </c>
      <c r="O109" s="46">
        <f t="shared" si="14"/>
        <v>1.8120940881692333</v>
      </c>
      <c r="P109" s="9"/>
    </row>
    <row r="110" spans="1:16">
      <c r="A110" s="11"/>
      <c r="B110" s="24">
        <v>348.51</v>
      </c>
      <c r="C110" s="19" t="s">
        <v>254</v>
      </c>
      <c r="D110" s="45">
        <v>0</v>
      </c>
      <c r="E110" s="45">
        <v>5394</v>
      </c>
      <c r="F110" s="45">
        <v>0</v>
      </c>
      <c r="G110" s="45">
        <v>0</v>
      </c>
      <c r="H110" s="45">
        <v>0</v>
      </c>
      <c r="I110" s="45">
        <v>0</v>
      </c>
      <c r="J110" s="45">
        <v>0</v>
      </c>
      <c r="K110" s="45">
        <v>0</v>
      </c>
      <c r="L110" s="45">
        <v>0</v>
      </c>
      <c r="M110" s="45">
        <v>0</v>
      </c>
      <c r="N110" s="45">
        <f t="shared" si="13"/>
        <v>5394</v>
      </c>
      <c r="O110" s="46">
        <f t="shared" si="14"/>
        <v>3.9106736595756406E-3</v>
      </c>
      <c r="P110" s="9"/>
    </row>
    <row r="111" spans="1:16">
      <c r="A111" s="11"/>
      <c r="B111" s="24">
        <v>348.52</v>
      </c>
      <c r="C111" s="19" t="s">
        <v>255</v>
      </c>
      <c r="D111" s="45">
        <v>0</v>
      </c>
      <c r="E111" s="45">
        <v>1624988</v>
      </c>
      <c r="F111" s="45">
        <v>0</v>
      </c>
      <c r="G111" s="45">
        <v>0</v>
      </c>
      <c r="H111" s="45">
        <v>0</v>
      </c>
      <c r="I111" s="45">
        <v>0</v>
      </c>
      <c r="J111" s="45">
        <v>0</v>
      </c>
      <c r="K111" s="45">
        <v>0</v>
      </c>
      <c r="L111" s="45">
        <v>0</v>
      </c>
      <c r="M111" s="45">
        <v>0</v>
      </c>
      <c r="N111" s="45">
        <f t="shared" si="13"/>
        <v>1624988</v>
      </c>
      <c r="O111" s="46">
        <f t="shared" si="14"/>
        <v>1.1781234276467372</v>
      </c>
      <c r="P111" s="9"/>
    </row>
    <row r="112" spans="1:16">
      <c r="A112" s="11"/>
      <c r="B112" s="24">
        <v>348.53</v>
      </c>
      <c r="C112" s="19" t="s">
        <v>256</v>
      </c>
      <c r="D112" s="45">
        <v>0</v>
      </c>
      <c r="E112" s="45">
        <v>3820941</v>
      </c>
      <c r="F112" s="45">
        <v>0</v>
      </c>
      <c r="G112" s="45">
        <v>0</v>
      </c>
      <c r="H112" s="45">
        <v>0</v>
      </c>
      <c r="I112" s="45">
        <v>0</v>
      </c>
      <c r="J112" s="45">
        <v>0</v>
      </c>
      <c r="K112" s="45">
        <v>0</v>
      </c>
      <c r="L112" s="45">
        <v>0</v>
      </c>
      <c r="M112" s="45">
        <v>0</v>
      </c>
      <c r="N112" s="45">
        <f t="shared" si="13"/>
        <v>3820941</v>
      </c>
      <c r="O112" s="46">
        <f t="shared" si="14"/>
        <v>2.7701989847038573</v>
      </c>
      <c r="P112" s="9"/>
    </row>
    <row r="113" spans="1:16">
      <c r="A113" s="11"/>
      <c r="B113" s="24">
        <v>348.61</v>
      </c>
      <c r="C113" s="19" t="s">
        <v>257</v>
      </c>
      <c r="D113" s="45">
        <v>0</v>
      </c>
      <c r="E113" s="45">
        <v>39000</v>
      </c>
      <c r="F113" s="45">
        <v>0</v>
      </c>
      <c r="G113" s="45">
        <v>0</v>
      </c>
      <c r="H113" s="45">
        <v>0</v>
      </c>
      <c r="I113" s="45">
        <v>0</v>
      </c>
      <c r="J113" s="45">
        <v>0</v>
      </c>
      <c r="K113" s="45">
        <v>0</v>
      </c>
      <c r="L113" s="45">
        <v>0</v>
      </c>
      <c r="M113" s="45">
        <v>0</v>
      </c>
      <c r="N113" s="45">
        <f t="shared" si="13"/>
        <v>39000</v>
      </c>
      <c r="O113" s="46">
        <f t="shared" si="14"/>
        <v>2.8275171064784943E-2</v>
      </c>
      <c r="P113" s="9"/>
    </row>
    <row r="114" spans="1:16">
      <c r="A114" s="11"/>
      <c r="B114" s="24">
        <v>348.62</v>
      </c>
      <c r="C114" s="19" t="s">
        <v>258</v>
      </c>
      <c r="D114" s="45">
        <v>0</v>
      </c>
      <c r="E114" s="45">
        <v>15907</v>
      </c>
      <c r="F114" s="45">
        <v>0</v>
      </c>
      <c r="G114" s="45">
        <v>0</v>
      </c>
      <c r="H114" s="45">
        <v>0</v>
      </c>
      <c r="I114" s="45">
        <v>0</v>
      </c>
      <c r="J114" s="45">
        <v>0</v>
      </c>
      <c r="K114" s="45">
        <v>0</v>
      </c>
      <c r="L114" s="45">
        <v>0</v>
      </c>
      <c r="M114" s="45">
        <v>0</v>
      </c>
      <c r="N114" s="45">
        <f t="shared" si="13"/>
        <v>15907</v>
      </c>
      <c r="O114" s="46">
        <f t="shared" si="14"/>
        <v>1.1532644772500874E-2</v>
      </c>
      <c r="P114" s="9"/>
    </row>
    <row r="115" spans="1:16">
      <c r="A115" s="11"/>
      <c r="B115" s="24">
        <v>348.71</v>
      </c>
      <c r="C115" s="19" t="s">
        <v>259</v>
      </c>
      <c r="D115" s="45">
        <v>0</v>
      </c>
      <c r="E115" s="45">
        <v>649442</v>
      </c>
      <c r="F115" s="45">
        <v>0</v>
      </c>
      <c r="G115" s="45">
        <v>0</v>
      </c>
      <c r="H115" s="45">
        <v>0</v>
      </c>
      <c r="I115" s="45">
        <v>0</v>
      </c>
      <c r="J115" s="45">
        <v>0</v>
      </c>
      <c r="K115" s="45">
        <v>0</v>
      </c>
      <c r="L115" s="45">
        <v>0</v>
      </c>
      <c r="M115" s="45">
        <v>0</v>
      </c>
      <c r="N115" s="45">
        <f t="shared" si="13"/>
        <v>649442</v>
      </c>
      <c r="O115" s="46">
        <f t="shared" si="14"/>
        <v>0.47084829863220673</v>
      </c>
      <c r="P115" s="9"/>
    </row>
    <row r="116" spans="1:16">
      <c r="A116" s="11"/>
      <c r="B116" s="24">
        <v>348.72</v>
      </c>
      <c r="C116" s="19" t="s">
        <v>260</v>
      </c>
      <c r="D116" s="45">
        <v>0</v>
      </c>
      <c r="E116" s="45">
        <v>106491</v>
      </c>
      <c r="F116" s="45">
        <v>0</v>
      </c>
      <c r="G116" s="45">
        <v>0</v>
      </c>
      <c r="H116" s="45">
        <v>0</v>
      </c>
      <c r="I116" s="45">
        <v>0</v>
      </c>
      <c r="J116" s="45">
        <v>0</v>
      </c>
      <c r="K116" s="45">
        <v>0</v>
      </c>
      <c r="L116" s="45">
        <v>0</v>
      </c>
      <c r="M116" s="45">
        <v>0</v>
      </c>
      <c r="N116" s="45">
        <f t="shared" si="13"/>
        <v>106491</v>
      </c>
      <c r="O116" s="46">
        <f t="shared" si="14"/>
        <v>7.7206442098974704E-2</v>
      </c>
      <c r="P116" s="9"/>
    </row>
    <row r="117" spans="1:16">
      <c r="A117" s="11"/>
      <c r="B117" s="24">
        <v>348.88</v>
      </c>
      <c r="C117" s="19" t="s">
        <v>223</v>
      </c>
      <c r="D117" s="45">
        <v>84543</v>
      </c>
      <c r="E117" s="45">
        <v>0</v>
      </c>
      <c r="F117" s="45">
        <v>0</v>
      </c>
      <c r="G117" s="45">
        <v>0</v>
      </c>
      <c r="H117" s="45">
        <v>0</v>
      </c>
      <c r="I117" s="45">
        <v>0</v>
      </c>
      <c r="J117" s="45">
        <v>0</v>
      </c>
      <c r="K117" s="45">
        <v>0</v>
      </c>
      <c r="L117" s="45">
        <v>0</v>
      </c>
      <c r="M117" s="45">
        <v>0</v>
      </c>
      <c r="N117" s="45">
        <f t="shared" si="12"/>
        <v>84543</v>
      </c>
      <c r="O117" s="46">
        <f t="shared" si="14"/>
        <v>6.1294045828977267E-2</v>
      </c>
      <c r="P117" s="9"/>
    </row>
    <row r="118" spans="1:16">
      <c r="A118" s="11"/>
      <c r="B118" s="24">
        <v>348.92099999999999</v>
      </c>
      <c r="C118" s="19" t="s">
        <v>224</v>
      </c>
      <c r="D118" s="45">
        <v>0</v>
      </c>
      <c r="E118" s="45">
        <v>267149</v>
      </c>
      <c r="F118" s="45">
        <v>0</v>
      </c>
      <c r="G118" s="45">
        <v>0</v>
      </c>
      <c r="H118" s="45">
        <v>0</v>
      </c>
      <c r="I118" s="45">
        <v>0</v>
      </c>
      <c r="J118" s="45">
        <v>0</v>
      </c>
      <c r="K118" s="45">
        <v>0</v>
      </c>
      <c r="L118" s="45">
        <v>0</v>
      </c>
      <c r="M118" s="45">
        <v>0</v>
      </c>
      <c r="N118" s="45">
        <f t="shared" si="12"/>
        <v>267149</v>
      </c>
      <c r="O118" s="46">
        <f t="shared" si="14"/>
        <v>0.19368419678939058</v>
      </c>
      <c r="P118" s="9"/>
    </row>
    <row r="119" spans="1:16">
      <c r="A119" s="11"/>
      <c r="B119" s="24">
        <v>348.92200000000003</v>
      </c>
      <c r="C119" s="19" t="s">
        <v>225</v>
      </c>
      <c r="D119" s="45">
        <v>0</v>
      </c>
      <c r="E119" s="45">
        <v>267149</v>
      </c>
      <c r="F119" s="45">
        <v>0</v>
      </c>
      <c r="G119" s="45">
        <v>0</v>
      </c>
      <c r="H119" s="45">
        <v>0</v>
      </c>
      <c r="I119" s="45">
        <v>0</v>
      </c>
      <c r="J119" s="45">
        <v>0</v>
      </c>
      <c r="K119" s="45">
        <v>0</v>
      </c>
      <c r="L119" s="45">
        <v>0</v>
      </c>
      <c r="M119" s="45">
        <v>0</v>
      </c>
      <c r="N119" s="45">
        <f t="shared" si="12"/>
        <v>267149</v>
      </c>
      <c r="O119" s="46">
        <f t="shared" si="14"/>
        <v>0.19368419678939058</v>
      </c>
      <c r="P119" s="9"/>
    </row>
    <row r="120" spans="1:16">
      <c r="A120" s="11"/>
      <c r="B120" s="24">
        <v>348.923</v>
      </c>
      <c r="C120" s="19" t="s">
        <v>226</v>
      </c>
      <c r="D120" s="45">
        <v>0</v>
      </c>
      <c r="E120" s="45">
        <v>267149</v>
      </c>
      <c r="F120" s="45">
        <v>0</v>
      </c>
      <c r="G120" s="45">
        <v>0</v>
      </c>
      <c r="H120" s="45">
        <v>0</v>
      </c>
      <c r="I120" s="45">
        <v>0</v>
      </c>
      <c r="J120" s="45">
        <v>0</v>
      </c>
      <c r="K120" s="45">
        <v>0</v>
      </c>
      <c r="L120" s="45">
        <v>0</v>
      </c>
      <c r="M120" s="45">
        <v>0</v>
      </c>
      <c r="N120" s="45">
        <f t="shared" si="12"/>
        <v>267149</v>
      </c>
      <c r="O120" s="46">
        <f t="shared" si="14"/>
        <v>0.19368419678939058</v>
      </c>
      <c r="P120" s="9"/>
    </row>
    <row r="121" spans="1:16">
      <c r="A121" s="11"/>
      <c r="B121" s="24">
        <v>348.92399999999998</v>
      </c>
      <c r="C121" s="19" t="s">
        <v>227</v>
      </c>
      <c r="D121" s="45">
        <v>0</v>
      </c>
      <c r="E121" s="45">
        <v>267149</v>
      </c>
      <c r="F121" s="45">
        <v>0</v>
      </c>
      <c r="G121" s="45">
        <v>0</v>
      </c>
      <c r="H121" s="45">
        <v>0</v>
      </c>
      <c r="I121" s="45">
        <v>0</v>
      </c>
      <c r="J121" s="45">
        <v>0</v>
      </c>
      <c r="K121" s="45">
        <v>0</v>
      </c>
      <c r="L121" s="45">
        <v>0</v>
      </c>
      <c r="M121" s="45">
        <v>0</v>
      </c>
      <c r="N121" s="45">
        <f t="shared" si="12"/>
        <v>267149</v>
      </c>
      <c r="O121" s="46">
        <f t="shared" si="14"/>
        <v>0.19368419678939058</v>
      </c>
      <c r="P121" s="9"/>
    </row>
    <row r="122" spans="1:16">
      <c r="A122" s="11"/>
      <c r="B122" s="24">
        <v>348.93</v>
      </c>
      <c r="C122" s="19" t="s">
        <v>228</v>
      </c>
      <c r="D122" s="45">
        <v>2917</v>
      </c>
      <c r="E122" s="45">
        <v>2331108</v>
      </c>
      <c r="F122" s="45">
        <v>0</v>
      </c>
      <c r="G122" s="45">
        <v>0</v>
      </c>
      <c r="H122" s="45">
        <v>0</v>
      </c>
      <c r="I122" s="45">
        <v>0</v>
      </c>
      <c r="J122" s="45">
        <v>0</v>
      </c>
      <c r="K122" s="45">
        <v>0</v>
      </c>
      <c r="L122" s="45">
        <v>0</v>
      </c>
      <c r="M122" s="45">
        <v>0</v>
      </c>
      <c r="N122" s="45">
        <f t="shared" si="12"/>
        <v>2334025</v>
      </c>
      <c r="O122" s="46">
        <f t="shared" si="14"/>
        <v>1.6921783626790943</v>
      </c>
      <c r="P122" s="9"/>
    </row>
    <row r="123" spans="1:16">
      <c r="A123" s="11"/>
      <c r="B123" s="24">
        <v>348.93200000000002</v>
      </c>
      <c r="C123" s="19" t="s">
        <v>229</v>
      </c>
      <c r="D123" s="45">
        <v>49321</v>
      </c>
      <c r="E123" s="45">
        <v>0</v>
      </c>
      <c r="F123" s="45">
        <v>0</v>
      </c>
      <c r="G123" s="45">
        <v>0</v>
      </c>
      <c r="H123" s="45">
        <v>0</v>
      </c>
      <c r="I123" s="45">
        <v>0</v>
      </c>
      <c r="J123" s="45">
        <v>0</v>
      </c>
      <c r="K123" s="45">
        <v>0</v>
      </c>
      <c r="L123" s="45">
        <v>0</v>
      </c>
      <c r="M123" s="45">
        <v>0</v>
      </c>
      <c r="N123" s="45">
        <f t="shared" si="12"/>
        <v>49321</v>
      </c>
      <c r="O123" s="46">
        <f t="shared" si="14"/>
        <v>3.5757941335545079E-2</v>
      </c>
      <c r="P123" s="9"/>
    </row>
    <row r="124" spans="1:16">
      <c r="A124" s="11"/>
      <c r="B124" s="24">
        <v>348.99</v>
      </c>
      <c r="C124" s="19" t="s">
        <v>231</v>
      </c>
      <c r="D124" s="45">
        <v>0</v>
      </c>
      <c r="E124" s="45">
        <v>2990521</v>
      </c>
      <c r="F124" s="45">
        <v>0</v>
      </c>
      <c r="G124" s="45">
        <v>0</v>
      </c>
      <c r="H124" s="45">
        <v>0</v>
      </c>
      <c r="I124" s="45">
        <v>0</v>
      </c>
      <c r="J124" s="45">
        <v>0</v>
      </c>
      <c r="K124" s="45">
        <v>0</v>
      </c>
      <c r="L124" s="45">
        <v>0</v>
      </c>
      <c r="M124" s="45">
        <v>0</v>
      </c>
      <c r="N124" s="45">
        <f t="shared" si="12"/>
        <v>2990521</v>
      </c>
      <c r="O124" s="46">
        <f t="shared" si="14"/>
        <v>2.1681408422520958</v>
      </c>
      <c r="P124" s="9"/>
    </row>
    <row r="125" spans="1:16">
      <c r="A125" s="11"/>
      <c r="B125" s="24">
        <v>349</v>
      </c>
      <c r="C125" s="19" t="s">
        <v>1</v>
      </c>
      <c r="D125" s="45">
        <v>19999882</v>
      </c>
      <c r="E125" s="45">
        <v>128143</v>
      </c>
      <c r="F125" s="45">
        <v>0</v>
      </c>
      <c r="G125" s="45">
        <v>0</v>
      </c>
      <c r="H125" s="45">
        <v>0</v>
      </c>
      <c r="I125" s="45">
        <v>0</v>
      </c>
      <c r="J125" s="45">
        <v>0</v>
      </c>
      <c r="K125" s="45">
        <v>0</v>
      </c>
      <c r="L125" s="45">
        <v>0</v>
      </c>
      <c r="M125" s="45">
        <v>0</v>
      </c>
      <c r="N125" s="45">
        <f t="shared" si="12"/>
        <v>20128025</v>
      </c>
      <c r="O125" s="46">
        <f t="shared" si="14"/>
        <v>14.592906412083794</v>
      </c>
      <c r="P125" s="9"/>
    </row>
    <row r="126" spans="1:16" ht="15.75">
      <c r="A126" s="28" t="s">
        <v>76</v>
      </c>
      <c r="B126" s="29"/>
      <c r="C126" s="30"/>
      <c r="D126" s="31">
        <f t="shared" ref="D126:M126" si="15">SUM(D127:D138)</f>
        <v>9499135</v>
      </c>
      <c r="E126" s="31">
        <f t="shared" si="15"/>
        <v>10261766</v>
      </c>
      <c r="F126" s="31">
        <f t="shared" si="15"/>
        <v>0</v>
      </c>
      <c r="G126" s="31">
        <f t="shared" si="15"/>
        <v>0</v>
      </c>
      <c r="H126" s="31">
        <f t="shared" si="15"/>
        <v>0</v>
      </c>
      <c r="I126" s="31">
        <f t="shared" si="15"/>
        <v>132</v>
      </c>
      <c r="J126" s="31">
        <f t="shared" si="15"/>
        <v>145</v>
      </c>
      <c r="K126" s="31">
        <f t="shared" si="15"/>
        <v>0</v>
      </c>
      <c r="L126" s="31">
        <f t="shared" si="15"/>
        <v>0</v>
      </c>
      <c r="M126" s="31">
        <f t="shared" si="15"/>
        <v>0</v>
      </c>
      <c r="N126" s="31">
        <f>SUM(D126:M126)</f>
        <v>19761178</v>
      </c>
      <c r="O126" s="44">
        <f t="shared" si="14"/>
        <v>14.326940727991405</v>
      </c>
      <c r="P126" s="10"/>
    </row>
    <row r="127" spans="1:16">
      <c r="A127" s="12"/>
      <c r="B127" s="38">
        <v>351.1</v>
      </c>
      <c r="C127" s="20" t="s">
        <v>134</v>
      </c>
      <c r="D127" s="45">
        <v>0</v>
      </c>
      <c r="E127" s="45">
        <v>354921</v>
      </c>
      <c r="F127" s="45">
        <v>0</v>
      </c>
      <c r="G127" s="45">
        <v>0</v>
      </c>
      <c r="H127" s="45">
        <v>0</v>
      </c>
      <c r="I127" s="45">
        <v>0</v>
      </c>
      <c r="J127" s="45">
        <v>0</v>
      </c>
      <c r="K127" s="45">
        <v>0</v>
      </c>
      <c r="L127" s="45">
        <v>0</v>
      </c>
      <c r="M127" s="45">
        <v>0</v>
      </c>
      <c r="N127" s="45">
        <f>SUM(D127:M127)</f>
        <v>354921</v>
      </c>
      <c r="O127" s="46">
        <f t="shared" si="14"/>
        <v>0.25731928178165475</v>
      </c>
      <c r="P127" s="9"/>
    </row>
    <row r="128" spans="1:16">
      <c r="A128" s="12"/>
      <c r="B128" s="38">
        <v>351.2</v>
      </c>
      <c r="C128" s="20" t="s">
        <v>136</v>
      </c>
      <c r="D128" s="45">
        <v>0</v>
      </c>
      <c r="E128" s="45">
        <v>202656</v>
      </c>
      <c r="F128" s="45">
        <v>0</v>
      </c>
      <c r="G128" s="45">
        <v>0</v>
      </c>
      <c r="H128" s="45">
        <v>0</v>
      </c>
      <c r="I128" s="45">
        <v>0</v>
      </c>
      <c r="J128" s="45">
        <v>0</v>
      </c>
      <c r="K128" s="45">
        <v>0</v>
      </c>
      <c r="L128" s="45">
        <v>0</v>
      </c>
      <c r="M128" s="45">
        <v>0</v>
      </c>
      <c r="N128" s="45">
        <f t="shared" ref="N128:N138" si="16">SUM(D128:M128)</f>
        <v>202656</v>
      </c>
      <c r="O128" s="46">
        <f t="shared" si="14"/>
        <v>0.14692648890525789</v>
      </c>
      <c r="P128" s="9"/>
    </row>
    <row r="129" spans="1:16">
      <c r="A129" s="12"/>
      <c r="B129" s="38">
        <v>351.3</v>
      </c>
      <c r="C129" s="20" t="s">
        <v>175</v>
      </c>
      <c r="D129" s="45">
        <v>0</v>
      </c>
      <c r="E129" s="45">
        <v>7</v>
      </c>
      <c r="F129" s="45">
        <v>0</v>
      </c>
      <c r="G129" s="45">
        <v>0</v>
      </c>
      <c r="H129" s="45">
        <v>0</v>
      </c>
      <c r="I129" s="45">
        <v>0</v>
      </c>
      <c r="J129" s="45">
        <v>0</v>
      </c>
      <c r="K129" s="45">
        <v>0</v>
      </c>
      <c r="L129" s="45">
        <v>0</v>
      </c>
      <c r="M129" s="45">
        <v>0</v>
      </c>
      <c r="N129" s="45">
        <f t="shared" si="16"/>
        <v>7</v>
      </c>
      <c r="O129" s="46">
        <f t="shared" si="14"/>
        <v>5.0750307039357586E-6</v>
      </c>
      <c r="P129" s="9"/>
    </row>
    <row r="130" spans="1:16">
      <c r="A130" s="12"/>
      <c r="B130" s="38">
        <v>351.5</v>
      </c>
      <c r="C130" s="20" t="s">
        <v>137</v>
      </c>
      <c r="D130" s="45">
        <v>577616</v>
      </c>
      <c r="E130" s="45">
        <v>3863385</v>
      </c>
      <c r="F130" s="45">
        <v>0</v>
      </c>
      <c r="G130" s="45">
        <v>0</v>
      </c>
      <c r="H130" s="45">
        <v>0</v>
      </c>
      <c r="I130" s="45">
        <v>0</v>
      </c>
      <c r="J130" s="45">
        <v>0</v>
      </c>
      <c r="K130" s="45">
        <v>0</v>
      </c>
      <c r="L130" s="45">
        <v>0</v>
      </c>
      <c r="M130" s="45">
        <v>0</v>
      </c>
      <c r="N130" s="45">
        <f t="shared" si="16"/>
        <v>4441001</v>
      </c>
      <c r="O130" s="46">
        <f t="shared" si="14"/>
        <v>3.2197452044584871</v>
      </c>
      <c r="P130" s="9"/>
    </row>
    <row r="131" spans="1:16">
      <c r="A131" s="12"/>
      <c r="B131" s="38">
        <v>351.6</v>
      </c>
      <c r="C131" s="20" t="s">
        <v>277</v>
      </c>
      <c r="D131" s="45">
        <v>0</v>
      </c>
      <c r="E131" s="45">
        <v>576</v>
      </c>
      <c r="F131" s="45">
        <v>0</v>
      </c>
      <c r="G131" s="45">
        <v>0</v>
      </c>
      <c r="H131" s="45">
        <v>0</v>
      </c>
      <c r="I131" s="45">
        <v>0</v>
      </c>
      <c r="J131" s="45">
        <v>0</v>
      </c>
      <c r="K131" s="45">
        <v>0</v>
      </c>
      <c r="L131" s="45">
        <v>0</v>
      </c>
      <c r="M131" s="45">
        <v>0</v>
      </c>
      <c r="N131" s="45">
        <f t="shared" si="16"/>
        <v>576</v>
      </c>
      <c r="O131" s="46">
        <f t="shared" si="14"/>
        <v>4.1760252649528529E-4</v>
      </c>
      <c r="P131" s="9"/>
    </row>
    <row r="132" spans="1:16">
      <c r="A132" s="12"/>
      <c r="B132" s="38">
        <v>351.7</v>
      </c>
      <c r="C132" s="20" t="s">
        <v>232</v>
      </c>
      <c r="D132" s="45">
        <v>0</v>
      </c>
      <c r="E132" s="45">
        <v>708517</v>
      </c>
      <c r="F132" s="45">
        <v>0</v>
      </c>
      <c r="G132" s="45">
        <v>0</v>
      </c>
      <c r="H132" s="45">
        <v>0</v>
      </c>
      <c r="I132" s="45">
        <v>0</v>
      </c>
      <c r="J132" s="45">
        <v>0</v>
      </c>
      <c r="K132" s="45">
        <v>0</v>
      </c>
      <c r="L132" s="45">
        <v>0</v>
      </c>
      <c r="M132" s="45">
        <v>0</v>
      </c>
      <c r="N132" s="45">
        <f t="shared" si="16"/>
        <v>708517</v>
      </c>
      <c r="O132" s="46">
        <f t="shared" si="14"/>
        <v>0.51367793275149309</v>
      </c>
      <c r="P132" s="9"/>
    </row>
    <row r="133" spans="1:16">
      <c r="A133" s="12"/>
      <c r="B133" s="38">
        <v>351.8</v>
      </c>
      <c r="C133" s="20" t="s">
        <v>233</v>
      </c>
      <c r="D133" s="45">
        <v>0</v>
      </c>
      <c r="E133" s="45">
        <v>1051150</v>
      </c>
      <c r="F133" s="45">
        <v>0</v>
      </c>
      <c r="G133" s="45">
        <v>0</v>
      </c>
      <c r="H133" s="45">
        <v>0</v>
      </c>
      <c r="I133" s="45">
        <v>0</v>
      </c>
      <c r="J133" s="45">
        <v>0</v>
      </c>
      <c r="K133" s="45">
        <v>0</v>
      </c>
      <c r="L133" s="45">
        <v>0</v>
      </c>
      <c r="M133" s="45">
        <v>0</v>
      </c>
      <c r="N133" s="45">
        <f t="shared" si="16"/>
        <v>1051150</v>
      </c>
      <c r="O133" s="46">
        <f t="shared" ref="O133:O157" si="17">(N133/O$159)</f>
        <v>0.76208836063458185</v>
      </c>
      <c r="P133" s="9"/>
    </row>
    <row r="134" spans="1:16">
      <c r="A134" s="12"/>
      <c r="B134" s="38">
        <v>351.9</v>
      </c>
      <c r="C134" s="20" t="s">
        <v>234</v>
      </c>
      <c r="D134" s="45">
        <v>0</v>
      </c>
      <c r="E134" s="45">
        <v>1038413</v>
      </c>
      <c r="F134" s="45">
        <v>0</v>
      </c>
      <c r="G134" s="45">
        <v>0</v>
      </c>
      <c r="H134" s="45">
        <v>0</v>
      </c>
      <c r="I134" s="45">
        <v>0</v>
      </c>
      <c r="J134" s="45">
        <v>0</v>
      </c>
      <c r="K134" s="45">
        <v>0</v>
      </c>
      <c r="L134" s="45">
        <v>0</v>
      </c>
      <c r="M134" s="45">
        <v>0</v>
      </c>
      <c r="N134" s="45">
        <f t="shared" si="16"/>
        <v>1038413</v>
      </c>
      <c r="O134" s="46">
        <f t="shared" si="17"/>
        <v>0.75285397976657764</v>
      </c>
      <c r="P134" s="9"/>
    </row>
    <row r="135" spans="1:16">
      <c r="A135" s="12"/>
      <c r="B135" s="38">
        <v>352</v>
      </c>
      <c r="C135" s="20" t="s">
        <v>138</v>
      </c>
      <c r="D135" s="45">
        <v>0</v>
      </c>
      <c r="E135" s="45">
        <v>349485</v>
      </c>
      <c r="F135" s="45">
        <v>0</v>
      </c>
      <c r="G135" s="45">
        <v>0</v>
      </c>
      <c r="H135" s="45">
        <v>0</v>
      </c>
      <c r="I135" s="45">
        <v>0</v>
      </c>
      <c r="J135" s="45">
        <v>0</v>
      </c>
      <c r="K135" s="45">
        <v>0</v>
      </c>
      <c r="L135" s="45">
        <v>0</v>
      </c>
      <c r="M135" s="45">
        <v>0</v>
      </c>
      <c r="N135" s="45">
        <f t="shared" si="16"/>
        <v>349485</v>
      </c>
      <c r="O135" s="46">
        <f t="shared" si="17"/>
        <v>0.25337815793785551</v>
      </c>
      <c r="P135" s="9"/>
    </row>
    <row r="136" spans="1:16">
      <c r="A136" s="12"/>
      <c r="B136" s="38">
        <v>353</v>
      </c>
      <c r="C136" s="20" t="s">
        <v>139</v>
      </c>
      <c r="D136" s="45">
        <v>0</v>
      </c>
      <c r="E136" s="45">
        <v>73854</v>
      </c>
      <c r="F136" s="45">
        <v>0</v>
      </c>
      <c r="G136" s="45">
        <v>0</v>
      </c>
      <c r="H136" s="45">
        <v>0</v>
      </c>
      <c r="I136" s="45">
        <v>0</v>
      </c>
      <c r="J136" s="45">
        <v>0</v>
      </c>
      <c r="K136" s="45">
        <v>0</v>
      </c>
      <c r="L136" s="45">
        <v>0</v>
      </c>
      <c r="M136" s="45">
        <v>0</v>
      </c>
      <c r="N136" s="45">
        <f t="shared" si="16"/>
        <v>73854</v>
      </c>
      <c r="O136" s="46">
        <f t="shared" si="17"/>
        <v>5.3544473944067361E-2</v>
      </c>
      <c r="P136" s="9"/>
    </row>
    <row r="137" spans="1:16">
      <c r="A137" s="12"/>
      <c r="B137" s="38">
        <v>354</v>
      </c>
      <c r="C137" s="20" t="s">
        <v>140</v>
      </c>
      <c r="D137" s="45">
        <v>8841473</v>
      </c>
      <c r="E137" s="45">
        <v>232449</v>
      </c>
      <c r="F137" s="45">
        <v>0</v>
      </c>
      <c r="G137" s="45">
        <v>0</v>
      </c>
      <c r="H137" s="45">
        <v>0</v>
      </c>
      <c r="I137" s="45">
        <v>132</v>
      </c>
      <c r="J137" s="45">
        <v>145</v>
      </c>
      <c r="K137" s="45">
        <v>0</v>
      </c>
      <c r="L137" s="45">
        <v>0</v>
      </c>
      <c r="M137" s="45">
        <v>0</v>
      </c>
      <c r="N137" s="45">
        <f t="shared" si="16"/>
        <v>9074199</v>
      </c>
      <c r="O137" s="46">
        <f t="shared" si="17"/>
        <v>6.5788340769461655</v>
      </c>
      <c r="P137" s="9"/>
    </row>
    <row r="138" spans="1:16">
      <c r="A138" s="12"/>
      <c r="B138" s="38">
        <v>359</v>
      </c>
      <c r="C138" s="20" t="s">
        <v>141</v>
      </c>
      <c r="D138" s="45">
        <v>80046</v>
      </c>
      <c r="E138" s="45">
        <v>2386353</v>
      </c>
      <c r="F138" s="45">
        <v>0</v>
      </c>
      <c r="G138" s="45">
        <v>0</v>
      </c>
      <c r="H138" s="45">
        <v>0</v>
      </c>
      <c r="I138" s="45">
        <v>0</v>
      </c>
      <c r="J138" s="45">
        <v>0</v>
      </c>
      <c r="K138" s="45">
        <v>0</v>
      </c>
      <c r="L138" s="45">
        <v>0</v>
      </c>
      <c r="M138" s="45">
        <v>0</v>
      </c>
      <c r="N138" s="45">
        <f t="shared" si="16"/>
        <v>2466399</v>
      </c>
      <c r="O138" s="46">
        <f t="shared" si="17"/>
        <v>1.7881500933080645</v>
      </c>
      <c r="P138" s="9"/>
    </row>
    <row r="139" spans="1:16" ht="15.75">
      <c r="A139" s="28" t="s">
        <v>5</v>
      </c>
      <c r="B139" s="29"/>
      <c r="C139" s="30"/>
      <c r="D139" s="31">
        <f t="shared" ref="D139:M139" si="18">SUM(D140:D147)</f>
        <v>11697484</v>
      </c>
      <c r="E139" s="31">
        <f t="shared" si="18"/>
        <v>19715035</v>
      </c>
      <c r="F139" s="31">
        <f t="shared" si="18"/>
        <v>1061866</v>
      </c>
      <c r="G139" s="31">
        <f t="shared" si="18"/>
        <v>916057</v>
      </c>
      <c r="H139" s="31">
        <f t="shared" si="18"/>
        <v>0</v>
      </c>
      <c r="I139" s="31">
        <f t="shared" si="18"/>
        <v>-4703861</v>
      </c>
      <c r="J139" s="31">
        <f t="shared" si="18"/>
        <v>1191518</v>
      </c>
      <c r="K139" s="31">
        <f t="shared" si="18"/>
        <v>0</v>
      </c>
      <c r="L139" s="31">
        <f t="shared" si="18"/>
        <v>0</v>
      </c>
      <c r="M139" s="31">
        <f t="shared" si="18"/>
        <v>621394</v>
      </c>
      <c r="N139" s="31">
        <f>SUM(D139:M139)</f>
        <v>30499493</v>
      </c>
      <c r="O139" s="44">
        <f t="shared" si="17"/>
        <v>22.112266204210535</v>
      </c>
      <c r="P139" s="10"/>
    </row>
    <row r="140" spans="1:16">
      <c r="A140" s="11"/>
      <c r="B140" s="24">
        <v>361.1</v>
      </c>
      <c r="C140" s="19" t="s">
        <v>142</v>
      </c>
      <c r="D140" s="45">
        <v>4944571</v>
      </c>
      <c r="E140" s="45">
        <v>3804742</v>
      </c>
      <c r="F140" s="45">
        <v>398422</v>
      </c>
      <c r="G140" s="45">
        <v>309329</v>
      </c>
      <c r="H140" s="45">
        <v>0</v>
      </c>
      <c r="I140" s="45">
        <v>0</v>
      </c>
      <c r="J140" s="45">
        <v>0</v>
      </c>
      <c r="K140" s="45">
        <v>0</v>
      </c>
      <c r="L140" s="45">
        <v>0</v>
      </c>
      <c r="M140" s="45">
        <v>121583</v>
      </c>
      <c r="N140" s="45">
        <f>SUM(D140:M140)</f>
        <v>9578647</v>
      </c>
      <c r="O140" s="46">
        <f t="shared" si="17"/>
        <v>6.9445610895945924</v>
      </c>
      <c r="P140" s="9"/>
    </row>
    <row r="141" spans="1:16">
      <c r="A141" s="11"/>
      <c r="B141" s="24">
        <v>361.4</v>
      </c>
      <c r="C141" s="19" t="s">
        <v>261</v>
      </c>
      <c r="D141" s="45">
        <v>0</v>
      </c>
      <c r="E141" s="45">
        <v>0</v>
      </c>
      <c r="F141" s="45">
        <v>0</v>
      </c>
      <c r="G141" s="45">
        <v>0</v>
      </c>
      <c r="H141" s="45">
        <v>0</v>
      </c>
      <c r="I141" s="45">
        <v>0</v>
      </c>
      <c r="J141" s="45">
        <v>0</v>
      </c>
      <c r="K141" s="45">
        <v>0</v>
      </c>
      <c r="L141" s="45">
        <v>0</v>
      </c>
      <c r="M141" s="45">
        <v>499700</v>
      </c>
      <c r="N141" s="45">
        <f t="shared" ref="N141:N147" si="19">SUM(D141:M141)</f>
        <v>499700</v>
      </c>
      <c r="O141" s="46">
        <f t="shared" si="17"/>
        <v>0.36228469182238554</v>
      </c>
      <c r="P141" s="9"/>
    </row>
    <row r="142" spans="1:16">
      <c r="A142" s="11"/>
      <c r="B142" s="24">
        <v>362</v>
      </c>
      <c r="C142" s="19" t="s">
        <v>145</v>
      </c>
      <c r="D142" s="45">
        <v>1438255</v>
      </c>
      <c r="E142" s="45">
        <v>189995</v>
      </c>
      <c r="F142" s="45">
        <v>663444</v>
      </c>
      <c r="G142" s="45">
        <v>586226</v>
      </c>
      <c r="H142" s="45">
        <v>0</v>
      </c>
      <c r="I142" s="45">
        <v>266306</v>
      </c>
      <c r="J142" s="45">
        <v>0</v>
      </c>
      <c r="K142" s="45">
        <v>0</v>
      </c>
      <c r="L142" s="45">
        <v>0</v>
      </c>
      <c r="M142" s="45">
        <v>0</v>
      </c>
      <c r="N142" s="45">
        <f t="shared" si="19"/>
        <v>3144226</v>
      </c>
      <c r="O142" s="46">
        <f t="shared" si="17"/>
        <v>2.2795776414447309</v>
      </c>
      <c r="P142" s="9"/>
    </row>
    <row r="143" spans="1:16">
      <c r="A143" s="11"/>
      <c r="B143" s="24">
        <v>364</v>
      </c>
      <c r="C143" s="19" t="s">
        <v>237</v>
      </c>
      <c r="D143" s="45">
        <v>1811454</v>
      </c>
      <c r="E143" s="45">
        <v>29990</v>
      </c>
      <c r="F143" s="45">
        <v>0</v>
      </c>
      <c r="G143" s="45">
        <v>0</v>
      </c>
      <c r="H143" s="45">
        <v>0</v>
      </c>
      <c r="I143" s="45">
        <v>-6218913</v>
      </c>
      <c r="J143" s="45">
        <v>1161828</v>
      </c>
      <c r="K143" s="45">
        <v>0</v>
      </c>
      <c r="L143" s="45">
        <v>0</v>
      </c>
      <c r="M143" s="45">
        <v>0</v>
      </c>
      <c r="N143" s="45">
        <f t="shared" si="19"/>
        <v>-3215641</v>
      </c>
      <c r="O143" s="46">
        <f t="shared" si="17"/>
        <v>-2.3313538296906695</v>
      </c>
      <c r="P143" s="9"/>
    </row>
    <row r="144" spans="1:16">
      <c r="A144" s="11"/>
      <c r="B144" s="24">
        <v>365</v>
      </c>
      <c r="C144" s="19" t="s">
        <v>238</v>
      </c>
      <c r="D144" s="45">
        <v>153589</v>
      </c>
      <c r="E144" s="45">
        <v>18974</v>
      </c>
      <c r="F144" s="45">
        <v>0</v>
      </c>
      <c r="G144" s="45">
        <v>0</v>
      </c>
      <c r="H144" s="45">
        <v>0</v>
      </c>
      <c r="I144" s="45">
        <v>112291</v>
      </c>
      <c r="J144" s="45">
        <v>13974</v>
      </c>
      <c r="K144" s="45">
        <v>0</v>
      </c>
      <c r="L144" s="45">
        <v>0</v>
      </c>
      <c r="M144" s="45">
        <v>0</v>
      </c>
      <c r="N144" s="45">
        <f t="shared" si="19"/>
        <v>298828</v>
      </c>
      <c r="O144" s="46">
        <f t="shared" si="17"/>
        <v>0.21665161074224498</v>
      </c>
      <c r="P144" s="9"/>
    </row>
    <row r="145" spans="1:119">
      <c r="A145" s="11"/>
      <c r="B145" s="24">
        <v>366</v>
      </c>
      <c r="C145" s="19" t="s">
        <v>148</v>
      </c>
      <c r="D145" s="45">
        <v>186811</v>
      </c>
      <c r="E145" s="45">
        <v>2038748</v>
      </c>
      <c r="F145" s="45">
        <v>0</v>
      </c>
      <c r="G145" s="45">
        <v>20000</v>
      </c>
      <c r="H145" s="45">
        <v>0</v>
      </c>
      <c r="I145" s="45">
        <v>0</v>
      </c>
      <c r="J145" s="45">
        <v>0</v>
      </c>
      <c r="K145" s="45">
        <v>0</v>
      </c>
      <c r="L145" s="45">
        <v>0</v>
      </c>
      <c r="M145" s="45">
        <v>0</v>
      </c>
      <c r="N145" s="45">
        <f t="shared" si="19"/>
        <v>2245559</v>
      </c>
      <c r="O145" s="46">
        <f t="shared" si="17"/>
        <v>1.628040124642754</v>
      </c>
      <c r="P145" s="9"/>
    </row>
    <row r="146" spans="1:119">
      <c r="A146" s="11"/>
      <c r="B146" s="24">
        <v>369.3</v>
      </c>
      <c r="C146" s="19" t="s">
        <v>150</v>
      </c>
      <c r="D146" s="45">
        <v>157967</v>
      </c>
      <c r="E146" s="45">
        <v>944145</v>
      </c>
      <c r="F146" s="45">
        <v>0</v>
      </c>
      <c r="G146" s="45">
        <v>0</v>
      </c>
      <c r="H146" s="45">
        <v>0</v>
      </c>
      <c r="I146" s="45">
        <v>0</v>
      </c>
      <c r="J146" s="45">
        <v>0</v>
      </c>
      <c r="K146" s="45">
        <v>0</v>
      </c>
      <c r="L146" s="45">
        <v>0</v>
      </c>
      <c r="M146" s="45">
        <v>0</v>
      </c>
      <c r="N146" s="45">
        <f t="shared" si="19"/>
        <v>1102112</v>
      </c>
      <c r="O146" s="46">
        <f t="shared" si="17"/>
        <v>0.79903603416800673</v>
      </c>
      <c r="P146" s="9"/>
    </row>
    <row r="147" spans="1:119">
      <c r="A147" s="11"/>
      <c r="B147" s="24">
        <v>369.9</v>
      </c>
      <c r="C147" s="19" t="s">
        <v>151</v>
      </c>
      <c r="D147" s="45">
        <v>3004837</v>
      </c>
      <c r="E147" s="45">
        <v>12688441</v>
      </c>
      <c r="F147" s="45">
        <v>0</v>
      </c>
      <c r="G147" s="45">
        <v>502</v>
      </c>
      <c r="H147" s="45">
        <v>0</v>
      </c>
      <c r="I147" s="45">
        <v>1136455</v>
      </c>
      <c r="J147" s="45">
        <v>15716</v>
      </c>
      <c r="K147" s="45">
        <v>0</v>
      </c>
      <c r="L147" s="45">
        <v>0</v>
      </c>
      <c r="M147" s="45">
        <v>111</v>
      </c>
      <c r="N147" s="45">
        <f t="shared" si="19"/>
        <v>16846062</v>
      </c>
      <c r="O147" s="46">
        <f t="shared" si="17"/>
        <v>12.213468841486492</v>
      </c>
      <c r="P147" s="9"/>
    </row>
    <row r="148" spans="1:119" ht="15.75">
      <c r="A148" s="28" t="s">
        <v>77</v>
      </c>
      <c r="B148" s="29"/>
      <c r="C148" s="30"/>
      <c r="D148" s="31">
        <f t="shared" ref="D148:M148" si="20">SUM(D149:D156)</f>
        <v>669644467</v>
      </c>
      <c r="E148" s="31">
        <f t="shared" si="20"/>
        <v>103936776</v>
      </c>
      <c r="F148" s="31">
        <f t="shared" si="20"/>
        <v>129699771</v>
      </c>
      <c r="G148" s="31">
        <f t="shared" si="20"/>
        <v>49496019</v>
      </c>
      <c r="H148" s="31">
        <f t="shared" si="20"/>
        <v>0</v>
      </c>
      <c r="I148" s="31">
        <f t="shared" si="20"/>
        <v>44629006</v>
      </c>
      <c r="J148" s="31">
        <f t="shared" si="20"/>
        <v>8005754</v>
      </c>
      <c r="K148" s="31">
        <f t="shared" si="20"/>
        <v>0</v>
      </c>
      <c r="L148" s="31">
        <f t="shared" si="20"/>
        <v>0</v>
      </c>
      <c r="M148" s="31">
        <f t="shared" si="20"/>
        <v>0</v>
      </c>
      <c r="N148" s="31">
        <f>SUM(D148:M148)</f>
        <v>1005411793</v>
      </c>
      <c r="O148" s="44">
        <f t="shared" si="17"/>
        <v>728.92795993915763</v>
      </c>
      <c r="P148" s="9"/>
    </row>
    <row r="149" spans="1:119">
      <c r="A149" s="11"/>
      <c r="B149" s="24">
        <v>381</v>
      </c>
      <c r="C149" s="19" t="s">
        <v>152</v>
      </c>
      <c r="D149" s="45">
        <v>669565243</v>
      </c>
      <c r="E149" s="45">
        <v>103936776</v>
      </c>
      <c r="F149" s="45">
        <v>58103522</v>
      </c>
      <c r="G149" s="45">
        <v>19042983</v>
      </c>
      <c r="H149" s="45">
        <v>0</v>
      </c>
      <c r="I149" s="45">
        <v>0</v>
      </c>
      <c r="J149" s="45">
        <v>6270210</v>
      </c>
      <c r="K149" s="45">
        <v>0</v>
      </c>
      <c r="L149" s="45">
        <v>0</v>
      </c>
      <c r="M149" s="45">
        <v>0</v>
      </c>
      <c r="N149" s="45">
        <f>SUM(D149:M149)</f>
        <v>856918734</v>
      </c>
      <c r="O149" s="46">
        <f t="shared" si="17"/>
        <v>621.26984083253706</v>
      </c>
      <c r="P149" s="9"/>
    </row>
    <row r="150" spans="1:119">
      <c r="A150" s="11"/>
      <c r="B150" s="24">
        <v>383</v>
      </c>
      <c r="C150" s="19" t="s">
        <v>199</v>
      </c>
      <c r="D150" s="45">
        <v>79224</v>
      </c>
      <c r="E150" s="45">
        <v>0</v>
      </c>
      <c r="F150" s="45">
        <v>0</v>
      </c>
      <c r="G150" s="45">
        <v>0</v>
      </c>
      <c r="H150" s="45">
        <v>0</v>
      </c>
      <c r="I150" s="45">
        <v>0</v>
      </c>
      <c r="J150" s="45">
        <v>0</v>
      </c>
      <c r="K150" s="45">
        <v>0</v>
      </c>
      <c r="L150" s="45">
        <v>0</v>
      </c>
      <c r="M150" s="45">
        <v>0</v>
      </c>
      <c r="N150" s="45">
        <f t="shared" ref="N150:N156" si="21">SUM(D150:M150)</f>
        <v>79224</v>
      </c>
      <c r="O150" s="46">
        <f t="shared" si="17"/>
        <v>5.7437747498372368E-2</v>
      </c>
      <c r="P150" s="9"/>
    </row>
    <row r="151" spans="1:119">
      <c r="A151" s="11"/>
      <c r="B151" s="24">
        <v>384</v>
      </c>
      <c r="C151" s="19" t="s">
        <v>153</v>
      </c>
      <c r="D151" s="45">
        <v>0</v>
      </c>
      <c r="E151" s="45">
        <v>0</v>
      </c>
      <c r="F151" s="45">
        <v>17249000</v>
      </c>
      <c r="G151" s="45">
        <v>29524533</v>
      </c>
      <c r="H151" s="45">
        <v>0</v>
      </c>
      <c r="I151" s="45">
        <v>0</v>
      </c>
      <c r="J151" s="45">
        <v>0</v>
      </c>
      <c r="K151" s="45">
        <v>0</v>
      </c>
      <c r="L151" s="45">
        <v>0</v>
      </c>
      <c r="M151" s="45">
        <v>0</v>
      </c>
      <c r="N151" s="45">
        <f t="shared" si="21"/>
        <v>46773533</v>
      </c>
      <c r="O151" s="46">
        <f t="shared" si="17"/>
        <v>33.911016586650348</v>
      </c>
      <c r="P151" s="9"/>
    </row>
    <row r="152" spans="1:119">
      <c r="A152" s="11"/>
      <c r="B152" s="24">
        <v>385</v>
      </c>
      <c r="C152" s="19" t="s">
        <v>195</v>
      </c>
      <c r="D152" s="45">
        <v>0</v>
      </c>
      <c r="E152" s="45">
        <v>0</v>
      </c>
      <c r="F152" s="45">
        <v>54347249</v>
      </c>
      <c r="G152" s="45">
        <v>0</v>
      </c>
      <c r="H152" s="45">
        <v>0</v>
      </c>
      <c r="I152" s="45">
        <v>0</v>
      </c>
      <c r="J152" s="45">
        <v>0</v>
      </c>
      <c r="K152" s="45">
        <v>0</v>
      </c>
      <c r="L152" s="45">
        <v>0</v>
      </c>
      <c r="M152" s="45">
        <v>0</v>
      </c>
      <c r="N152" s="45">
        <f t="shared" si="21"/>
        <v>54347249</v>
      </c>
      <c r="O152" s="46">
        <f t="shared" si="17"/>
        <v>39.401993907063137</v>
      </c>
      <c r="P152" s="9"/>
    </row>
    <row r="153" spans="1:119">
      <c r="A153" s="11"/>
      <c r="B153" s="24">
        <v>389.1</v>
      </c>
      <c r="C153" s="19" t="s">
        <v>239</v>
      </c>
      <c r="D153" s="45">
        <v>0</v>
      </c>
      <c r="E153" s="45">
        <v>0</v>
      </c>
      <c r="F153" s="45">
        <v>0</v>
      </c>
      <c r="G153" s="45">
        <v>0</v>
      </c>
      <c r="H153" s="45">
        <v>0</v>
      </c>
      <c r="I153" s="45">
        <v>10919896</v>
      </c>
      <c r="J153" s="45">
        <v>1725280</v>
      </c>
      <c r="K153" s="45">
        <v>0</v>
      </c>
      <c r="L153" s="45">
        <v>0</v>
      </c>
      <c r="M153" s="45">
        <v>0</v>
      </c>
      <c r="N153" s="45">
        <f t="shared" si="21"/>
        <v>12645176</v>
      </c>
      <c r="O153" s="46">
        <f t="shared" si="17"/>
        <v>9.1678080652387948</v>
      </c>
      <c r="P153" s="9"/>
    </row>
    <row r="154" spans="1:119">
      <c r="A154" s="11"/>
      <c r="B154" s="24">
        <v>389.2</v>
      </c>
      <c r="C154" s="19" t="s">
        <v>271</v>
      </c>
      <c r="D154" s="45">
        <v>0</v>
      </c>
      <c r="E154" s="45">
        <v>0</v>
      </c>
      <c r="F154" s="45">
        <v>0</v>
      </c>
      <c r="G154" s="45">
        <v>928503</v>
      </c>
      <c r="H154" s="45">
        <v>0</v>
      </c>
      <c r="I154" s="45">
        <v>0</v>
      </c>
      <c r="J154" s="45">
        <v>0</v>
      </c>
      <c r="K154" s="45">
        <v>0</v>
      </c>
      <c r="L154" s="45">
        <v>0</v>
      </c>
      <c r="M154" s="45">
        <v>0</v>
      </c>
      <c r="N154" s="45">
        <f t="shared" si="21"/>
        <v>928503</v>
      </c>
      <c r="O154" s="46">
        <f t="shared" si="17"/>
        <v>0.67316874767092338</v>
      </c>
      <c r="P154" s="9"/>
    </row>
    <row r="155" spans="1:119">
      <c r="A155" s="11"/>
      <c r="B155" s="24">
        <v>389.4</v>
      </c>
      <c r="C155" s="19" t="s">
        <v>240</v>
      </c>
      <c r="D155" s="45">
        <v>0</v>
      </c>
      <c r="E155" s="45">
        <v>0</v>
      </c>
      <c r="F155" s="45">
        <v>0</v>
      </c>
      <c r="G155" s="45">
        <v>0</v>
      </c>
      <c r="H155" s="45">
        <v>0</v>
      </c>
      <c r="I155" s="45">
        <v>30792111</v>
      </c>
      <c r="J155" s="45">
        <v>0</v>
      </c>
      <c r="K155" s="45">
        <v>0</v>
      </c>
      <c r="L155" s="45">
        <v>0</v>
      </c>
      <c r="M155" s="45">
        <v>0</v>
      </c>
      <c r="N155" s="45">
        <f t="shared" si="21"/>
        <v>30792111</v>
      </c>
      <c r="O155" s="46">
        <f t="shared" si="17"/>
        <v>22.324415537714003</v>
      </c>
      <c r="P155" s="9"/>
    </row>
    <row r="156" spans="1:119" ht="15.75" thickBot="1">
      <c r="A156" s="11"/>
      <c r="B156" s="24">
        <v>389.9</v>
      </c>
      <c r="C156" s="19" t="s">
        <v>241</v>
      </c>
      <c r="D156" s="45">
        <v>0</v>
      </c>
      <c r="E156" s="45">
        <v>0</v>
      </c>
      <c r="F156" s="45">
        <v>0</v>
      </c>
      <c r="G156" s="45">
        <v>0</v>
      </c>
      <c r="H156" s="45">
        <v>0</v>
      </c>
      <c r="I156" s="45">
        <v>2916999</v>
      </c>
      <c r="J156" s="45">
        <v>10264</v>
      </c>
      <c r="K156" s="45">
        <v>0</v>
      </c>
      <c r="L156" s="45">
        <v>0</v>
      </c>
      <c r="M156" s="45">
        <v>0</v>
      </c>
      <c r="N156" s="45">
        <f t="shared" si="21"/>
        <v>2927263</v>
      </c>
      <c r="O156" s="46">
        <f t="shared" si="17"/>
        <v>2.1222785147850143</v>
      </c>
      <c r="P156" s="9"/>
    </row>
    <row r="157" spans="1:119" ht="16.5" thickBot="1">
      <c r="A157" s="13" t="s">
        <v>114</v>
      </c>
      <c r="B157" s="22"/>
      <c r="C157" s="21"/>
      <c r="D157" s="14">
        <f t="shared" ref="D157:M157" si="22">SUM(D5,D13,D27,D70,D126,D139,D148)</f>
        <v>1491479813</v>
      </c>
      <c r="E157" s="14">
        <f t="shared" si="22"/>
        <v>887996386</v>
      </c>
      <c r="F157" s="14">
        <f t="shared" si="22"/>
        <v>137037543</v>
      </c>
      <c r="G157" s="14">
        <f t="shared" si="22"/>
        <v>50412076</v>
      </c>
      <c r="H157" s="14">
        <f t="shared" si="22"/>
        <v>0</v>
      </c>
      <c r="I157" s="14">
        <f t="shared" si="22"/>
        <v>386086129</v>
      </c>
      <c r="J157" s="14">
        <f t="shared" si="22"/>
        <v>203353857</v>
      </c>
      <c r="K157" s="14">
        <f t="shared" si="22"/>
        <v>0</v>
      </c>
      <c r="L157" s="14">
        <f t="shared" si="22"/>
        <v>0</v>
      </c>
      <c r="M157" s="14">
        <f t="shared" si="22"/>
        <v>6954994</v>
      </c>
      <c r="N157" s="14">
        <f>SUM(D157:M157)</f>
        <v>3163320798</v>
      </c>
      <c r="O157" s="37">
        <f t="shared" si="17"/>
        <v>2293.4214537497951</v>
      </c>
      <c r="P157" s="6"/>
      <c r="Q157" s="2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</row>
    <row r="158" spans="1:119">
      <c r="A158" s="15"/>
      <c r="B158" s="17"/>
      <c r="C158" s="17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8"/>
    </row>
    <row r="159" spans="1:119">
      <c r="A159" s="39"/>
      <c r="B159" s="40"/>
      <c r="C159" s="40"/>
      <c r="D159" s="41"/>
      <c r="E159" s="41"/>
      <c r="F159" s="41"/>
      <c r="G159" s="41"/>
      <c r="H159" s="41"/>
      <c r="I159" s="41"/>
      <c r="J159" s="41"/>
      <c r="K159" s="41"/>
      <c r="L159" s="48" t="s">
        <v>285</v>
      </c>
      <c r="M159" s="48"/>
      <c r="N159" s="48"/>
      <c r="O159" s="42">
        <v>1379302</v>
      </c>
    </row>
    <row r="160" spans="1:119">
      <c r="A160" s="49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1"/>
    </row>
    <row r="161" spans="1:15" ht="15.75" customHeight="1" thickBot="1">
      <c r="A161" s="52" t="s">
        <v>178</v>
      </c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4"/>
    </row>
  </sheetData>
  <mergeCells count="10">
    <mergeCell ref="L159:N159"/>
    <mergeCell ref="A160:O160"/>
    <mergeCell ref="A161:O161"/>
    <mergeCell ref="A1:O1"/>
    <mergeCell ref="A2:O2"/>
    <mergeCell ref="A3:C4"/>
    <mergeCell ref="D3:H3"/>
    <mergeCell ref="I3:J3"/>
    <mergeCell ref="K3:L3"/>
    <mergeCell ref="O3:O4"/>
  </mergeCells>
  <printOptions horizontalCentered="1"/>
  <pageMargins left="0.5" right="0.5" top="0.5" bottom="0.5" header="0.3" footer="0.3"/>
  <pageSetup paperSize="5" scale="55" fitToHeight="0" orientation="landscape" r:id="rId1"/>
  <headerFooter>
    <oddFooter>&amp;L&amp;14Office of Economic and Demographic Research&amp;R&amp;14Page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EC157"/>
  <sheetViews>
    <sheetView workbookViewId="0">
      <selection sqref="A1:O1"/>
    </sheetView>
  </sheetViews>
  <sheetFormatPr defaultColWidth="9.77734375" defaultRowHeight="15"/>
  <cols>
    <col min="1" max="1" width="1.77734375" style="3" customWidth="1"/>
    <col min="2" max="2" width="6.77734375" style="3" customWidth="1"/>
    <col min="3" max="3" width="60.77734375" style="3" customWidth="1"/>
    <col min="4" max="5" width="16.77734375" style="4" customWidth="1"/>
    <col min="6" max="7" width="15.77734375" style="4" customWidth="1"/>
    <col min="8" max="8" width="13.77734375" style="4" customWidth="1"/>
    <col min="9" max="10" width="15.77734375" style="4" customWidth="1"/>
    <col min="11" max="13" width="13.77734375" style="4" customWidth="1"/>
    <col min="14" max="14" width="16.77734375" style="4" customWidth="1"/>
    <col min="15" max="15" width="13.77734375" style="3" customWidth="1"/>
    <col min="16" max="16" width="9.77734375" style="3" customWidth="1"/>
    <col min="17" max="17" width="9.77734375" style="3"/>
  </cols>
  <sheetData>
    <row r="1" spans="1:133" ht="27.75">
      <c r="A1" s="55" t="s">
        <v>165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7"/>
      <c r="P1" s="7"/>
      <c r="Q1"/>
    </row>
    <row r="2" spans="1:133" ht="24" thickBot="1">
      <c r="A2" s="58" t="s">
        <v>280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60"/>
      <c r="P2" s="7"/>
      <c r="Q2"/>
    </row>
    <row r="3" spans="1:133" ht="18" customHeight="1">
      <c r="A3" s="61" t="s">
        <v>158</v>
      </c>
      <c r="B3" s="62"/>
      <c r="C3" s="63"/>
      <c r="D3" s="67" t="s">
        <v>71</v>
      </c>
      <c r="E3" s="68"/>
      <c r="F3" s="68"/>
      <c r="G3" s="68"/>
      <c r="H3" s="69"/>
      <c r="I3" s="67" t="s">
        <v>72</v>
      </c>
      <c r="J3" s="69"/>
      <c r="K3" s="67" t="s">
        <v>74</v>
      </c>
      <c r="L3" s="69"/>
      <c r="M3" s="35"/>
      <c r="N3" s="36"/>
      <c r="O3" s="70" t="s">
        <v>163</v>
      </c>
      <c r="P3" s="5"/>
      <c r="Q3"/>
    </row>
    <row r="4" spans="1:133" ht="32.25" customHeight="1" thickBot="1">
      <c r="A4" s="64"/>
      <c r="B4" s="65"/>
      <c r="C4" s="66"/>
      <c r="D4" s="33" t="s">
        <v>6</v>
      </c>
      <c r="E4" s="33" t="s">
        <v>159</v>
      </c>
      <c r="F4" s="33" t="s">
        <v>160</v>
      </c>
      <c r="G4" s="33" t="s">
        <v>161</v>
      </c>
      <c r="H4" s="33" t="s">
        <v>7</v>
      </c>
      <c r="I4" s="33" t="s">
        <v>8</v>
      </c>
      <c r="J4" s="34" t="s">
        <v>162</v>
      </c>
      <c r="K4" s="34" t="s">
        <v>9</v>
      </c>
      <c r="L4" s="34" t="s">
        <v>10</v>
      </c>
      <c r="M4" s="34" t="s">
        <v>11</v>
      </c>
      <c r="N4" s="34" t="s">
        <v>73</v>
      </c>
      <c r="O4" s="71"/>
      <c r="P4" s="8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</row>
    <row r="5" spans="1:133" ht="15.75">
      <c r="A5" s="23" t="s">
        <v>2</v>
      </c>
      <c r="B5" s="25"/>
      <c r="C5" s="25"/>
      <c r="D5" s="26">
        <f t="shared" ref="D5:M5" si="0">SUM(D6:D12)</f>
        <v>597017195</v>
      </c>
      <c r="E5" s="26">
        <f t="shared" si="0"/>
        <v>364450649</v>
      </c>
      <c r="F5" s="26">
        <f t="shared" si="0"/>
        <v>5429563</v>
      </c>
      <c r="G5" s="26">
        <f t="shared" si="0"/>
        <v>0</v>
      </c>
      <c r="H5" s="26">
        <f t="shared" si="0"/>
        <v>0</v>
      </c>
      <c r="I5" s="26">
        <f t="shared" si="0"/>
        <v>0</v>
      </c>
      <c r="J5" s="26">
        <f t="shared" si="0"/>
        <v>0</v>
      </c>
      <c r="K5" s="26">
        <f t="shared" si="0"/>
        <v>0</v>
      </c>
      <c r="L5" s="26">
        <f t="shared" si="0"/>
        <v>0</v>
      </c>
      <c r="M5" s="26">
        <f t="shared" si="0"/>
        <v>0</v>
      </c>
      <c r="N5" s="27">
        <f>SUM(D5:M5)</f>
        <v>966897407</v>
      </c>
      <c r="O5" s="32">
        <f t="shared" ref="O5:O36" si="1">(N5/O$155)</f>
        <v>714.73946719278649</v>
      </c>
      <c r="P5" s="6"/>
    </row>
    <row r="6" spans="1:133">
      <c r="A6" s="11"/>
      <c r="B6" s="24">
        <v>311</v>
      </c>
      <c r="C6" s="19" t="s">
        <v>3</v>
      </c>
      <c r="D6" s="45">
        <v>595485652</v>
      </c>
      <c r="E6" s="45">
        <v>38231523</v>
      </c>
      <c r="F6" s="45">
        <v>5429563</v>
      </c>
      <c r="G6" s="45">
        <v>0</v>
      </c>
      <c r="H6" s="45">
        <v>0</v>
      </c>
      <c r="I6" s="45">
        <v>0</v>
      </c>
      <c r="J6" s="45">
        <v>0</v>
      </c>
      <c r="K6" s="45">
        <v>0</v>
      </c>
      <c r="L6" s="45">
        <v>0</v>
      </c>
      <c r="M6" s="45">
        <v>0</v>
      </c>
      <c r="N6" s="45">
        <f>SUM(D6:M6)</f>
        <v>639146738</v>
      </c>
      <c r="O6" s="46">
        <f t="shared" si="1"/>
        <v>472.46315448659334</v>
      </c>
      <c r="P6" s="9"/>
    </row>
    <row r="7" spans="1:133">
      <c r="A7" s="11"/>
      <c r="B7" s="24">
        <v>312.10000000000002</v>
      </c>
      <c r="C7" s="19" t="s">
        <v>12</v>
      </c>
      <c r="D7" s="45">
        <v>0</v>
      </c>
      <c r="E7" s="45">
        <v>29611178</v>
      </c>
      <c r="F7" s="45">
        <v>0</v>
      </c>
      <c r="G7" s="45">
        <v>0</v>
      </c>
      <c r="H7" s="45">
        <v>0</v>
      </c>
      <c r="I7" s="45">
        <v>0</v>
      </c>
      <c r="J7" s="45">
        <v>0</v>
      </c>
      <c r="K7" s="45">
        <v>0</v>
      </c>
      <c r="L7" s="45">
        <v>0</v>
      </c>
      <c r="M7" s="45">
        <v>0</v>
      </c>
      <c r="N7" s="45">
        <f t="shared" ref="N7:N12" si="2">SUM(D7:M7)</f>
        <v>29611178</v>
      </c>
      <c r="O7" s="46">
        <f t="shared" si="1"/>
        <v>21.888855460205782</v>
      </c>
      <c r="P7" s="9"/>
    </row>
    <row r="8" spans="1:133">
      <c r="A8" s="11"/>
      <c r="B8" s="24">
        <v>312.3</v>
      </c>
      <c r="C8" s="19" t="s">
        <v>13</v>
      </c>
      <c r="D8" s="45">
        <v>0</v>
      </c>
      <c r="E8" s="45">
        <v>7154727</v>
      </c>
      <c r="F8" s="45">
        <v>0</v>
      </c>
      <c r="G8" s="45">
        <v>0</v>
      </c>
      <c r="H8" s="45">
        <v>0</v>
      </c>
      <c r="I8" s="45">
        <v>0</v>
      </c>
      <c r="J8" s="45">
        <v>0</v>
      </c>
      <c r="K8" s="45">
        <v>0</v>
      </c>
      <c r="L8" s="45">
        <v>0</v>
      </c>
      <c r="M8" s="45">
        <v>0</v>
      </c>
      <c r="N8" s="45">
        <f t="shared" si="2"/>
        <v>7154727</v>
      </c>
      <c r="O8" s="46">
        <f t="shared" si="1"/>
        <v>5.2888400846542387</v>
      </c>
      <c r="P8" s="9"/>
    </row>
    <row r="9" spans="1:133">
      <c r="A9" s="11"/>
      <c r="B9" s="24">
        <v>312.41000000000003</v>
      </c>
      <c r="C9" s="19" t="s">
        <v>14</v>
      </c>
      <c r="D9" s="45">
        <v>0</v>
      </c>
      <c r="E9" s="45">
        <v>27112690</v>
      </c>
      <c r="F9" s="45">
        <v>0</v>
      </c>
      <c r="G9" s="45">
        <v>0</v>
      </c>
      <c r="H9" s="45">
        <v>0</v>
      </c>
      <c r="I9" s="45">
        <v>0</v>
      </c>
      <c r="J9" s="45">
        <v>0</v>
      </c>
      <c r="K9" s="45">
        <v>0</v>
      </c>
      <c r="L9" s="45">
        <v>0</v>
      </c>
      <c r="M9" s="45">
        <v>0</v>
      </c>
      <c r="N9" s="45">
        <f t="shared" si="2"/>
        <v>27112690</v>
      </c>
      <c r="O9" s="46">
        <f t="shared" si="1"/>
        <v>20.041950122597846</v>
      </c>
      <c r="P9" s="9"/>
    </row>
    <row r="10" spans="1:133">
      <c r="A10" s="11"/>
      <c r="B10" s="24">
        <v>312.60000000000002</v>
      </c>
      <c r="C10" s="19" t="s">
        <v>15</v>
      </c>
      <c r="D10" s="45">
        <v>0</v>
      </c>
      <c r="E10" s="45">
        <v>240235486</v>
      </c>
      <c r="F10" s="45">
        <v>0</v>
      </c>
      <c r="G10" s="45">
        <v>0</v>
      </c>
      <c r="H10" s="45">
        <v>0</v>
      </c>
      <c r="I10" s="45">
        <v>0</v>
      </c>
      <c r="J10" s="45">
        <v>0</v>
      </c>
      <c r="K10" s="45">
        <v>0</v>
      </c>
      <c r="L10" s="45">
        <v>0</v>
      </c>
      <c r="M10" s="45">
        <v>0</v>
      </c>
      <c r="N10" s="45">
        <f t="shared" si="2"/>
        <v>240235486</v>
      </c>
      <c r="O10" s="46">
        <f t="shared" si="1"/>
        <v>177.58428352517043</v>
      </c>
      <c r="P10" s="9"/>
    </row>
    <row r="11" spans="1:133">
      <c r="A11" s="11"/>
      <c r="B11" s="24">
        <v>315</v>
      </c>
      <c r="C11" s="19" t="s">
        <v>202</v>
      </c>
      <c r="D11" s="45">
        <v>0</v>
      </c>
      <c r="E11" s="45">
        <v>21775958</v>
      </c>
      <c r="F11" s="45">
        <v>0</v>
      </c>
      <c r="G11" s="45">
        <v>0</v>
      </c>
      <c r="H11" s="45">
        <v>0</v>
      </c>
      <c r="I11" s="45">
        <v>0</v>
      </c>
      <c r="J11" s="45">
        <v>0</v>
      </c>
      <c r="K11" s="45">
        <v>0</v>
      </c>
      <c r="L11" s="45">
        <v>0</v>
      </c>
      <c r="M11" s="45">
        <v>0</v>
      </c>
      <c r="N11" s="45">
        <f t="shared" si="2"/>
        <v>21775958</v>
      </c>
      <c r="O11" s="46">
        <f t="shared" si="1"/>
        <v>16.096988683446224</v>
      </c>
      <c r="P11" s="9"/>
    </row>
    <row r="12" spans="1:133">
      <c r="A12" s="11"/>
      <c r="B12" s="24">
        <v>316</v>
      </c>
      <c r="C12" s="19" t="s">
        <v>203</v>
      </c>
      <c r="D12" s="45">
        <v>1531543</v>
      </c>
      <c r="E12" s="45">
        <v>329087</v>
      </c>
      <c r="F12" s="45">
        <v>0</v>
      </c>
      <c r="G12" s="45">
        <v>0</v>
      </c>
      <c r="H12" s="45">
        <v>0</v>
      </c>
      <c r="I12" s="45">
        <v>0</v>
      </c>
      <c r="J12" s="45">
        <v>0</v>
      </c>
      <c r="K12" s="45">
        <v>0</v>
      </c>
      <c r="L12" s="45">
        <v>0</v>
      </c>
      <c r="M12" s="45">
        <v>0</v>
      </c>
      <c r="N12" s="45">
        <f t="shared" si="2"/>
        <v>1860630</v>
      </c>
      <c r="O12" s="46">
        <f t="shared" si="1"/>
        <v>1.3753948301186356</v>
      </c>
      <c r="P12" s="9"/>
    </row>
    <row r="13" spans="1:133" ht="15.75">
      <c r="A13" s="28" t="s">
        <v>18</v>
      </c>
      <c r="B13" s="29"/>
      <c r="C13" s="30"/>
      <c r="D13" s="31">
        <f t="shared" ref="D13:M13" si="3">SUM(D14:D26)</f>
        <v>2168371</v>
      </c>
      <c r="E13" s="31">
        <f t="shared" si="3"/>
        <v>69578141</v>
      </c>
      <c r="F13" s="31">
        <f t="shared" si="3"/>
        <v>0</v>
      </c>
      <c r="G13" s="31">
        <f t="shared" si="3"/>
        <v>0</v>
      </c>
      <c r="H13" s="31">
        <f t="shared" si="3"/>
        <v>0</v>
      </c>
      <c r="I13" s="31">
        <f t="shared" si="3"/>
        <v>447690</v>
      </c>
      <c r="J13" s="31">
        <f t="shared" si="3"/>
        <v>0</v>
      </c>
      <c r="K13" s="31">
        <f t="shared" si="3"/>
        <v>0</v>
      </c>
      <c r="L13" s="31">
        <f t="shared" si="3"/>
        <v>0</v>
      </c>
      <c r="M13" s="31">
        <f t="shared" si="3"/>
        <v>0</v>
      </c>
      <c r="N13" s="43">
        <f>SUM(D13:M13)</f>
        <v>72194202</v>
      </c>
      <c r="O13" s="44">
        <f t="shared" si="1"/>
        <v>53.366618938392087</v>
      </c>
      <c r="P13" s="10"/>
    </row>
    <row r="14" spans="1:133">
      <c r="A14" s="11"/>
      <c r="B14" s="24">
        <v>322</v>
      </c>
      <c r="C14" s="19" t="s">
        <v>0</v>
      </c>
      <c r="D14" s="45">
        <v>-225</v>
      </c>
      <c r="E14" s="45">
        <v>10823216</v>
      </c>
      <c r="F14" s="45">
        <v>0</v>
      </c>
      <c r="G14" s="45">
        <v>0</v>
      </c>
      <c r="H14" s="45">
        <v>0</v>
      </c>
      <c r="I14" s="45">
        <v>0</v>
      </c>
      <c r="J14" s="45">
        <v>0</v>
      </c>
      <c r="K14" s="45">
        <v>0</v>
      </c>
      <c r="L14" s="45">
        <v>0</v>
      </c>
      <c r="M14" s="45">
        <v>0</v>
      </c>
      <c r="N14" s="45">
        <f>SUM(D14:M14)</f>
        <v>10822991</v>
      </c>
      <c r="O14" s="46">
        <f t="shared" si="1"/>
        <v>8.0004546136633952</v>
      </c>
      <c r="P14" s="9"/>
    </row>
    <row r="15" spans="1:133">
      <c r="A15" s="11"/>
      <c r="B15" s="24">
        <v>323.3</v>
      </c>
      <c r="C15" s="19" t="s">
        <v>19</v>
      </c>
      <c r="D15" s="45">
        <v>3137</v>
      </c>
      <c r="E15" s="45">
        <v>0</v>
      </c>
      <c r="F15" s="45">
        <v>0</v>
      </c>
      <c r="G15" s="45">
        <v>0</v>
      </c>
      <c r="H15" s="45">
        <v>0</v>
      </c>
      <c r="I15" s="45">
        <v>0</v>
      </c>
      <c r="J15" s="45">
        <v>0</v>
      </c>
      <c r="K15" s="45">
        <v>0</v>
      </c>
      <c r="L15" s="45">
        <v>0</v>
      </c>
      <c r="M15" s="45">
        <v>0</v>
      </c>
      <c r="N15" s="45">
        <f t="shared" ref="N15:N24" si="4">SUM(D15:M15)</f>
        <v>3137</v>
      </c>
      <c r="O15" s="46">
        <f t="shared" si="1"/>
        <v>2.3188992879197693E-3</v>
      </c>
      <c r="P15" s="9"/>
    </row>
    <row r="16" spans="1:133">
      <c r="A16" s="11"/>
      <c r="B16" s="24">
        <v>323.60000000000002</v>
      </c>
      <c r="C16" s="19" t="s">
        <v>20</v>
      </c>
      <c r="D16" s="45">
        <v>7242</v>
      </c>
      <c r="E16" s="45">
        <v>0</v>
      </c>
      <c r="F16" s="45">
        <v>0</v>
      </c>
      <c r="G16" s="45">
        <v>0</v>
      </c>
      <c r="H16" s="45">
        <v>0</v>
      </c>
      <c r="I16" s="45">
        <v>0</v>
      </c>
      <c r="J16" s="45">
        <v>0</v>
      </c>
      <c r="K16" s="45">
        <v>0</v>
      </c>
      <c r="L16" s="45">
        <v>0</v>
      </c>
      <c r="M16" s="45">
        <v>0</v>
      </c>
      <c r="N16" s="45">
        <f t="shared" si="4"/>
        <v>7242</v>
      </c>
      <c r="O16" s="46">
        <f t="shared" si="1"/>
        <v>5.3533530899314528E-3</v>
      </c>
      <c r="P16" s="9"/>
    </row>
    <row r="17" spans="1:16">
      <c r="A17" s="11"/>
      <c r="B17" s="24">
        <v>324.11</v>
      </c>
      <c r="C17" s="19" t="s">
        <v>21</v>
      </c>
      <c r="D17" s="45">
        <v>0</v>
      </c>
      <c r="E17" s="45">
        <v>227969</v>
      </c>
      <c r="F17" s="45">
        <v>0</v>
      </c>
      <c r="G17" s="45">
        <v>0</v>
      </c>
      <c r="H17" s="45">
        <v>0</v>
      </c>
      <c r="I17" s="45">
        <v>0</v>
      </c>
      <c r="J17" s="45">
        <v>0</v>
      </c>
      <c r="K17" s="45">
        <v>0</v>
      </c>
      <c r="L17" s="45">
        <v>0</v>
      </c>
      <c r="M17" s="45">
        <v>0</v>
      </c>
      <c r="N17" s="45">
        <f t="shared" si="4"/>
        <v>227969</v>
      </c>
      <c r="O17" s="46">
        <f t="shared" si="1"/>
        <v>0.16851678411468979</v>
      </c>
      <c r="P17" s="9"/>
    </row>
    <row r="18" spans="1:16">
      <c r="A18" s="11"/>
      <c r="B18" s="24">
        <v>324.12</v>
      </c>
      <c r="C18" s="19" t="s">
        <v>180</v>
      </c>
      <c r="D18" s="45">
        <v>0</v>
      </c>
      <c r="E18" s="45">
        <v>28388</v>
      </c>
      <c r="F18" s="45">
        <v>0</v>
      </c>
      <c r="G18" s="45">
        <v>0</v>
      </c>
      <c r="H18" s="45">
        <v>0</v>
      </c>
      <c r="I18" s="45">
        <v>0</v>
      </c>
      <c r="J18" s="45">
        <v>0</v>
      </c>
      <c r="K18" s="45">
        <v>0</v>
      </c>
      <c r="L18" s="45">
        <v>0</v>
      </c>
      <c r="M18" s="45">
        <v>0</v>
      </c>
      <c r="N18" s="45">
        <f t="shared" si="4"/>
        <v>28388</v>
      </c>
      <c r="O18" s="46">
        <f t="shared" si="1"/>
        <v>2.0984671018637682E-2</v>
      </c>
      <c r="P18" s="9"/>
    </row>
    <row r="19" spans="1:16">
      <c r="A19" s="11"/>
      <c r="B19" s="24">
        <v>324.20999999999998</v>
      </c>
      <c r="C19" s="19" t="s">
        <v>22</v>
      </c>
      <c r="D19" s="45">
        <v>0</v>
      </c>
      <c r="E19" s="45">
        <v>26671547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5">
        <v>0</v>
      </c>
      <c r="L19" s="45">
        <v>0</v>
      </c>
      <c r="M19" s="45">
        <v>0</v>
      </c>
      <c r="N19" s="45">
        <f t="shared" si="4"/>
        <v>26671547</v>
      </c>
      <c r="O19" s="46">
        <f t="shared" si="1"/>
        <v>19.715853154612258</v>
      </c>
      <c r="P19" s="9"/>
    </row>
    <row r="20" spans="1:16">
      <c r="A20" s="11"/>
      <c r="B20" s="24">
        <v>324.31</v>
      </c>
      <c r="C20" s="19" t="s">
        <v>23</v>
      </c>
      <c r="D20" s="45">
        <v>0</v>
      </c>
      <c r="E20" s="45">
        <v>3248064</v>
      </c>
      <c r="F20" s="45">
        <v>0</v>
      </c>
      <c r="G20" s="45">
        <v>0</v>
      </c>
      <c r="H20" s="45">
        <v>0</v>
      </c>
      <c r="I20" s="45">
        <v>0</v>
      </c>
      <c r="J20" s="45">
        <v>0</v>
      </c>
      <c r="K20" s="45">
        <v>0</v>
      </c>
      <c r="L20" s="45">
        <v>0</v>
      </c>
      <c r="M20" s="45">
        <v>0</v>
      </c>
      <c r="N20" s="45">
        <f t="shared" si="4"/>
        <v>3248064</v>
      </c>
      <c r="O20" s="46">
        <f t="shared" si="1"/>
        <v>2.4009988194828935</v>
      </c>
      <c r="P20" s="9"/>
    </row>
    <row r="21" spans="1:16">
      <c r="A21" s="11"/>
      <c r="B21" s="24">
        <v>324.32</v>
      </c>
      <c r="C21" s="19" t="s">
        <v>167</v>
      </c>
      <c r="D21" s="45">
        <v>0</v>
      </c>
      <c r="E21" s="45">
        <v>1305914</v>
      </c>
      <c r="F21" s="45">
        <v>0</v>
      </c>
      <c r="G21" s="45">
        <v>0</v>
      </c>
      <c r="H21" s="45">
        <v>0</v>
      </c>
      <c r="I21" s="45">
        <v>0</v>
      </c>
      <c r="J21" s="45">
        <v>0</v>
      </c>
      <c r="K21" s="45">
        <v>0</v>
      </c>
      <c r="L21" s="45">
        <v>0</v>
      </c>
      <c r="M21" s="45">
        <v>0</v>
      </c>
      <c r="N21" s="45">
        <f t="shared" si="4"/>
        <v>1305914</v>
      </c>
      <c r="O21" s="46">
        <f t="shared" si="1"/>
        <v>0.96534365466511241</v>
      </c>
      <c r="P21" s="9"/>
    </row>
    <row r="22" spans="1:16">
      <c r="A22" s="11"/>
      <c r="B22" s="24">
        <v>324.61</v>
      </c>
      <c r="C22" s="19" t="s">
        <v>24</v>
      </c>
      <c r="D22" s="45">
        <v>0</v>
      </c>
      <c r="E22" s="45">
        <v>1827910</v>
      </c>
      <c r="F22" s="45">
        <v>0</v>
      </c>
      <c r="G22" s="45">
        <v>0</v>
      </c>
      <c r="H22" s="45">
        <v>0</v>
      </c>
      <c r="I22" s="45">
        <v>0</v>
      </c>
      <c r="J22" s="45">
        <v>0</v>
      </c>
      <c r="K22" s="45">
        <v>0</v>
      </c>
      <c r="L22" s="45">
        <v>0</v>
      </c>
      <c r="M22" s="45">
        <v>0</v>
      </c>
      <c r="N22" s="45">
        <f t="shared" si="4"/>
        <v>1827910</v>
      </c>
      <c r="O22" s="46">
        <f t="shared" si="1"/>
        <v>1.3512079048075949</v>
      </c>
      <c r="P22" s="9"/>
    </row>
    <row r="23" spans="1:16">
      <c r="A23" s="11"/>
      <c r="B23" s="24">
        <v>325.10000000000002</v>
      </c>
      <c r="C23" s="19" t="s">
        <v>25</v>
      </c>
      <c r="D23" s="45">
        <v>0</v>
      </c>
      <c r="E23" s="45">
        <v>17046656</v>
      </c>
      <c r="F23" s="45">
        <v>0</v>
      </c>
      <c r="G23" s="45">
        <v>0</v>
      </c>
      <c r="H23" s="45">
        <v>0</v>
      </c>
      <c r="I23" s="45">
        <v>447690</v>
      </c>
      <c r="J23" s="45">
        <v>0</v>
      </c>
      <c r="K23" s="45">
        <v>0</v>
      </c>
      <c r="L23" s="45">
        <v>0</v>
      </c>
      <c r="M23" s="45">
        <v>0</v>
      </c>
      <c r="N23" s="45">
        <f t="shared" si="4"/>
        <v>17494346</v>
      </c>
      <c r="O23" s="46">
        <f t="shared" si="1"/>
        <v>12.931981664654785</v>
      </c>
      <c r="P23" s="9"/>
    </row>
    <row r="24" spans="1:16">
      <c r="A24" s="11"/>
      <c r="B24" s="24">
        <v>325.2</v>
      </c>
      <c r="C24" s="19" t="s">
        <v>26</v>
      </c>
      <c r="D24" s="45">
        <v>0</v>
      </c>
      <c r="E24" s="45">
        <v>7795570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5">
        <v>0</v>
      </c>
      <c r="L24" s="45">
        <v>0</v>
      </c>
      <c r="M24" s="45">
        <v>0</v>
      </c>
      <c r="N24" s="45">
        <f t="shared" si="4"/>
        <v>7795570</v>
      </c>
      <c r="O24" s="46">
        <f t="shared" si="1"/>
        <v>5.7625571316317235</v>
      </c>
      <c r="P24" s="9"/>
    </row>
    <row r="25" spans="1:16">
      <c r="A25" s="11"/>
      <c r="B25" s="24">
        <v>329</v>
      </c>
      <c r="C25" s="19" t="s">
        <v>27</v>
      </c>
      <c r="D25" s="45">
        <v>568425</v>
      </c>
      <c r="E25" s="45">
        <v>506947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f>SUM(D25:M25)</f>
        <v>1075372</v>
      </c>
      <c r="O25" s="46">
        <f t="shared" si="1"/>
        <v>0.7949248852562506</v>
      </c>
      <c r="P25" s="9"/>
    </row>
    <row r="26" spans="1:16">
      <c r="A26" s="11"/>
      <c r="B26" s="24">
        <v>367</v>
      </c>
      <c r="C26" s="19" t="s">
        <v>149</v>
      </c>
      <c r="D26" s="45">
        <v>1589792</v>
      </c>
      <c r="E26" s="45">
        <v>95960</v>
      </c>
      <c r="F26" s="45">
        <v>0</v>
      </c>
      <c r="G26" s="45">
        <v>0</v>
      </c>
      <c r="H26" s="45">
        <v>0</v>
      </c>
      <c r="I26" s="45">
        <v>0</v>
      </c>
      <c r="J26" s="45">
        <v>0</v>
      </c>
      <c r="K26" s="45">
        <v>0</v>
      </c>
      <c r="L26" s="45">
        <v>0</v>
      </c>
      <c r="M26" s="45">
        <v>0</v>
      </c>
      <c r="N26" s="45">
        <f>SUM(D26:M26)</f>
        <v>1685752</v>
      </c>
      <c r="O26" s="46">
        <f t="shared" si="1"/>
        <v>1.2461234021068941</v>
      </c>
      <c r="P26" s="9"/>
    </row>
    <row r="27" spans="1:16" ht="15.75">
      <c r="A27" s="28" t="s">
        <v>30</v>
      </c>
      <c r="B27" s="29"/>
      <c r="C27" s="30"/>
      <c r="D27" s="31">
        <f t="shared" ref="D27:M27" si="5">SUM(D28:D68)</f>
        <v>35177699</v>
      </c>
      <c r="E27" s="31">
        <f t="shared" si="5"/>
        <v>238100101</v>
      </c>
      <c r="F27" s="31">
        <f t="shared" si="5"/>
        <v>0</v>
      </c>
      <c r="G27" s="31">
        <f t="shared" si="5"/>
        <v>935499</v>
      </c>
      <c r="H27" s="31">
        <f t="shared" si="5"/>
        <v>0</v>
      </c>
      <c r="I27" s="31">
        <f t="shared" si="5"/>
        <v>84489</v>
      </c>
      <c r="J27" s="31">
        <f t="shared" si="5"/>
        <v>174358</v>
      </c>
      <c r="K27" s="31">
        <f t="shared" si="5"/>
        <v>0</v>
      </c>
      <c r="L27" s="31">
        <f t="shared" si="5"/>
        <v>0</v>
      </c>
      <c r="M27" s="31">
        <f t="shared" si="5"/>
        <v>5208647</v>
      </c>
      <c r="N27" s="43">
        <f>SUM(D27:M27)</f>
        <v>279680793</v>
      </c>
      <c r="O27" s="44">
        <f t="shared" si="1"/>
        <v>206.7426177024343</v>
      </c>
      <c r="P27" s="10"/>
    </row>
    <row r="28" spans="1:16">
      <c r="A28" s="11"/>
      <c r="B28" s="24">
        <v>331.1</v>
      </c>
      <c r="C28" s="19" t="s">
        <v>28</v>
      </c>
      <c r="D28" s="45">
        <v>0</v>
      </c>
      <c r="E28" s="45">
        <v>7894308</v>
      </c>
      <c r="F28" s="45">
        <v>0</v>
      </c>
      <c r="G28" s="45">
        <v>0</v>
      </c>
      <c r="H28" s="45">
        <v>0</v>
      </c>
      <c r="I28" s="45">
        <v>0</v>
      </c>
      <c r="J28" s="45">
        <v>0</v>
      </c>
      <c r="K28" s="45">
        <v>0</v>
      </c>
      <c r="L28" s="45">
        <v>0</v>
      </c>
      <c r="M28" s="45">
        <v>0</v>
      </c>
      <c r="N28" s="45">
        <f>SUM(D28:M28)</f>
        <v>7894308</v>
      </c>
      <c r="O28" s="46">
        <f t="shared" si="1"/>
        <v>5.8355451704875163</v>
      </c>
      <c r="P28" s="9"/>
    </row>
    <row r="29" spans="1:16">
      <c r="A29" s="11"/>
      <c r="B29" s="24">
        <v>331.2</v>
      </c>
      <c r="C29" s="19" t="s">
        <v>29</v>
      </c>
      <c r="D29" s="45">
        <v>1247102</v>
      </c>
      <c r="E29" s="45">
        <v>4299706</v>
      </c>
      <c r="F29" s="45">
        <v>0</v>
      </c>
      <c r="G29" s="45">
        <v>0</v>
      </c>
      <c r="H29" s="45">
        <v>0</v>
      </c>
      <c r="I29" s="45">
        <v>0</v>
      </c>
      <c r="J29" s="45">
        <v>0</v>
      </c>
      <c r="K29" s="45">
        <v>0</v>
      </c>
      <c r="L29" s="45">
        <v>0</v>
      </c>
      <c r="M29" s="45">
        <v>0</v>
      </c>
      <c r="N29" s="45">
        <f>SUM(D29:M29)</f>
        <v>5546808</v>
      </c>
      <c r="O29" s="46">
        <f t="shared" si="1"/>
        <v>4.1002515528937451</v>
      </c>
      <c r="P29" s="9"/>
    </row>
    <row r="30" spans="1:16">
      <c r="A30" s="11"/>
      <c r="B30" s="24">
        <v>331.39</v>
      </c>
      <c r="C30" s="19" t="s">
        <v>35</v>
      </c>
      <c r="D30" s="45">
        <v>0</v>
      </c>
      <c r="E30" s="45">
        <v>850768</v>
      </c>
      <c r="F30" s="45">
        <v>0</v>
      </c>
      <c r="G30" s="45">
        <v>935499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f t="shared" ref="N30:N38" si="6">SUM(D30:M30)</f>
        <v>1786267</v>
      </c>
      <c r="O30" s="46">
        <f t="shared" si="1"/>
        <v>1.3204250157266759</v>
      </c>
      <c r="P30" s="9"/>
    </row>
    <row r="31" spans="1:16">
      <c r="A31" s="11"/>
      <c r="B31" s="24">
        <v>331.49</v>
      </c>
      <c r="C31" s="19" t="s">
        <v>36</v>
      </c>
      <c r="D31" s="45">
        <v>0</v>
      </c>
      <c r="E31" s="45">
        <v>5736062</v>
      </c>
      <c r="F31" s="45">
        <v>0</v>
      </c>
      <c r="G31" s="45">
        <v>0</v>
      </c>
      <c r="H31" s="45">
        <v>0</v>
      </c>
      <c r="I31" s="45">
        <v>0</v>
      </c>
      <c r="J31" s="45">
        <v>0</v>
      </c>
      <c r="K31" s="45">
        <v>0</v>
      </c>
      <c r="L31" s="45">
        <v>0</v>
      </c>
      <c r="M31" s="45">
        <v>0</v>
      </c>
      <c r="N31" s="45">
        <f t="shared" si="6"/>
        <v>5736062</v>
      </c>
      <c r="O31" s="46">
        <f t="shared" si="1"/>
        <v>4.2401498524908021</v>
      </c>
      <c r="P31" s="9"/>
    </row>
    <row r="32" spans="1:16">
      <c r="A32" s="11"/>
      <c r="B32" s="24">
        <v>331.5</v>
      </c>
      <c r="C32" s="19" t="s">
        <v>31</v>
      </c>
      <c r="D32" s="45">
        <v>0</v>
      </c>
      <c r="E32" s="45">
        <v>8728322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45">
        <f t="shared" si="6"/>
        <v>8728322</v>
      </c>
      <c r="O32" s="46">
        <f t="shared" si="1"/>
        <v>6.4520559995328197</v>
      </c>
      <c r="P32" s="9"/>
    </row>
    <row r="33" spans="1:16">
      <c r="A33" s="11"/>
      <c r="B33" s="24">
        <v>331.61</v>
      </c>
      <c r="C33" s="19" t="s">
        <v>37</v>
      </c>
      <c r="D33" s="45">
        <v>0</v>
      </c>
      <c r="E33" s="45">
        <v>3290415</v>
      </c>
      <c r="F33" s="45">
        <v>0</v>
      </c>
      <c r="G33" s="45">
        <v>0</v>
      </c>
      <c r="H33" s="45">
        <v>0</v>
      </c>
      <c r="I33" s="45">
        <v>0</v>
      </c>
      <c r="J33" s="45">
        <v>0</v>
      </c>
      <c r="K33" s="45">
        <v>0</v>
      </c>
      <c r="L33" s="45">
        <v>0</v>
      </c>
      <c r="M33" s="45">
        <v>0</v>
      </c>
      <c r="N33" s="45">
        <f t="shared" si="6"/>
        <v>3290415</v>
      </c>
      <c r="O33" s="46">
        <f t="shared" si="1"/>
        <v>2.4323050686836236</v>
      </c>
      <c r="P33" s="9"/>
    </row>
    <row r="34" spans="1:16">
      <c r="A34" s="11"/>
      <c r="B34" s="24">
        <v>331.65</v>
      </c>
      <c r="C34" s="19" t="s">
        <v>38</v>
      </c>
      <c r="D34" s="45">
        <v>1126533</v>
      </c>
      <c r="E34" s="45">
        <v>0</v>
      </c>
      <c r="F34" s="45">
        <v>0</v>
      </c>
      <c r="G34" s="45">
        <v>0</v>
      </c>
      <c r="H34" s="45">
        <v>0</v>
      </c>
      <c r="I34" s="45">
        <v>0</v>
      </c>
      <c r="J34" s="45">
        <v>0</v>
      </c>
      <c r="K34" s="45">
        <v>0</v>
      </c>
      <c r="L34" s="45">
        <v>0</v>
      </c>
      <c r="M34" s="45">
        <v>0</v>
      </c>
      <c r="N34" s="45">
        <f t="shared" si="6"/>
        <v>1126533</v>
      </c>
      <c r="O34" s="46">
        <f t="shared" si="1"/>
        <v>0.83274356758626755</v>
      </c>
      <c r="P34" s="9"/>
    </row>
    <row r="35" spans="1:16">
      <c r="A35" s="11"/>
      <c r="B35" s="24">
        <v>331.69</v>
      </c>
      <c r="C35" s="19" t="s">
        <v>39</v>
      </c>
      <c r="D35" s="45">
        <v>2500</v>
      </c>
      <c r="E35" s="45">
        <v>49253365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f t="shared" si="6"/>
        <v>49255865</v>
      </c>
      <c r="O35" s="46">
        <f t="shared" si="1"/>
        <v>36.410388994061933</v>
      </c>
      <c r="P35" s="9"/>
    </row>
    <row r="36" spans="1:16">
      <c r="A36" s="11"/>
      <c r="B36" s="24">
        <v>333</v>
      </c>
      <c r="C36" s="19" t="s">
        <v>4</v>
      </c>
      <c r="D36" s="45">
        <v>916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f t="shared" si="6"/>
        <v>916</v>
      </c>
      <c r="O36" s="46">
        <f t="shared" si="1"/>
        <v>6.7711563523573754E-4</v>
      </c>
      <c r="P36" s="9"/>
    </row>
    <row r="37" spans="1:16">
      <c r="A37" s="11"/>
      <c r="B37" s="24">
        <v>334.1</v>
      </c>
      <c r="C37" s="19" t="s">
        <v>189</v>
      </c>
      <c r="D37" s="45">
        <v>0</v>
      </c>
      <c r="E37" s="45">
        <v>68690</v>
      </c>
      <c r="F37" s="45">
        <v>0</v>
      </c>
      <c r="G37" s="45">
        <v>0</v>
      </c>
      <c r="H37" s="45">
        <v>0</v>
      </c>
      <c r="I37" s="45">
        <v>0</v>
      </c>
      <c r="J37" s="45">
        <v>0</v>
      </c>
      <c r="K37" s="45">
        <v>0</v>
      </c>
      <c r="L37" s="45">
        <v>0</v>
      </c>
      <c r="M37" s="45">
        <v>0</v>
      </c>
      <c r="N37" s="45">
        <f t="shared" si="6"/>
        <v>68690</v>
      </c>
      <c r="O37" s="46">
        <f t="shared" ref="O37:O68" si="7">(N37/O$155)</f>
        <v>5.0776280550592585E-2</v>
      </c>
      <c r="P37" s="9"/>
    </row>
    <row r="38" spans="1:16">
      <c r="A38" s="11"/>
      <c r="B38" s="24">
        <v>334.2</v>
      </c>
      <c r="C38" s="19" t="s">
        <v>33</v>
      </c>
      <c r="D38" s="45">
        <v>44853</v>
      </c>
      <c r="E38" s="45">
        <v>2924373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5">
        <v>0</v>
      </c>
      <c r="L38" s="45">
        <v>0</v>
      </c>
      <c r="M38" s="45">
        <v>0</v>
      </c>
      <c r="N38" s="45">
        <f t="shared" si="6"/>
        <v>2969226</v>
      </c>
      <c r="O38" s="46">
        <f t="shared" si="7"/>
        <v>2.1948792021271486</v>
      </c>
      <c r="P38" s="9"/>
    </row>
    <row r="39" spans="1:16">
      <c r="A39" s="11"/>
      <c r="B39" s="24">
        <v>334.39</v>
      </c>
      <c r="C39" s="19" t="s">
        <v>40</v>
      </c>
      <c r="D39" s="45">
        <v>0</v>
      </c>
      <c r="E39" s="45">
        <v>2254985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f t="shared" ref="N39:N62" si="8">SUM(D39:M39)</f>
        <v>2254985</v>
      </c>
      <c r="O39" s="46">
        <f t="shared" si="7"/>
        <v>1.6669056776441697</v>
      </c>
      <c r="P39" s="9"/>
    </row>
    <row r="40" spans="1:16">
      <c r="A40" s="11"/>
      <c r="B40" s="24">
        <v>334.49</v>
      </c>
      <c r="C40" s="19" t="s">
        <v>41</v>
      </c>
      <c r="D40" s="45">
        <v>0</v>
      </c>
      <c r="E40" s="45">
        <v>43421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5">
        <v>0</v>
      </c>
      <c r="L40" s="45">
        <v>0</v>
      </c>
      <c r="M40" s="45">
        <v>0</v>
      </c>
      <c r="N40" s="45">
        <f t="shared" si="8"/>
        <v>43421</v>
      </c>
      <c r="O40" s="46">
        <f t="shared" si="7"/>
        <v>3.2097203054116764E-2</v>
      </c>
      <c r="P40" s="9"/>
    </row>
    <row r="41" spans="1:16">
      <c r="A41" s="11"/>
      <c r="B41" s="24">
        <v>334.61</v>
      </c>
      <c r="C41" s="19" t="s">
        <v>43</v>
      </c>
      <c r="D41" s="45">
        <v>0</v>
      </c>
      <c r="E41" s="45">
        <v>243732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f t="shared" si="8"/>
        <v>243732</v>
      </c>
      <c r="O41" s="46">
        <f t="shared" si="7"/>
        <v>0.1801689388725729</v>
      </c>
      <c r="P41" s="9"/>
    </row>
    <row r="42" spans="1:16">
      <c r="A42" s="11"/>
      <c r="B42" s="24">
        <v>334.69</v>
      </c>
      <c r="C42" s="19" t="s">
        <v>44</v>
      </c>
      <c r="D42" s="45">
        <v>0</v>
      </c>
      <c r="E42" s="45">
        <v>4665844</v>
      </c>
      <c r="F42" s="45">
        <v>0</v>
      </c>
      <c r="G42" s="45">
        <v>0</v>
      </c>
      <c r="H42" s="45">
        <v>0</v>
      </c>
      <c r="I42" s="45">
        <v>0</v>
      </c>
      <c r="J42" s="45">
        <v>0</v>
      </c>
      <c r="K42" s="45">
        <v>0</v>
      </c>
      <c r="L42" s="45">
        <v>0</v>
      </c>
      <c r="M42" s="45">
        <v>0</v>
      </c>
      <c r="N42" s="45">
        <f t="shared" si="8"/>
        <v>4665844</v>
      </c>
      <c r="O42" s="46">
        <f t="shared" si="7"/>
        <v>3.4490348514965659</v>
      </c>
      <c r="P42" s="9"/>
    </row>
    <row r="43" spans="1:16">
      <c r="A43" s="11"/>
      <c r="B43" s="24">
        <v>334.7</v>
      </c>
      <c r="C43" s="19" t="s">
        <v>45</v>
      </c>
      <c r="D43" s="45">
        <v>0</v>
      </c>
      <c r="E43" s="45">
        <v>1114853</v>
      </c>
      <c r="F43" s="45">
        <v>0</v>
      </c>
      <c r="G43" s="45">
        <v>0</v>
      </c>
      <c r="H43" s="45">
        <v>0</v>
      </c>
      <c r="I43" s="45">
        <v>0</v>
      </c>
      <c r="J43" s="45">
        <v>0</v>
      </c>
      <c r="K43" s="45">
        <v>0</v>
      </c>
      <c r="L43" s="45">
        <v>0</v>
      </c>
      <c r="M43" s="45">
        <v>0</v>
      </c>
      <c r="N43" s="45">
        <f t="shared" si="8"/>
        <v>1114853</v>
      </c>
      <c r="O43" s="46">
        <f t="shared" si="7"/>
        <v>0.82410960402780309</v>
      </c>
      <c r="P43" s="9"/>
    </row>
    <row r="44" spans="1:16">
      <c r="A44" s="11"/>
      <c r="B44" s="24">
        <v>334.82</v>
      </c>
      <c r="C44" s="19" t="s">
        <v>264</v>
      </c>
      <c r="D44" s="45">
        <v>0</v>
      </c>
      <c r="E44" s="45">
        <v>1106096</v>
      </c>
      <c r="F44" s="45">
        <v>0</v>
      </c>
      <c r="G44" s="45">
        <v>0</v>
      </c>
      <c r="H44" s="45">
        <v>0</v>
      </c>
      <c r="I44" s="45">
        <v>0</v>
      </c>
      <c r="J44" s="45">
        <v>0</v>
      </c>
      <c r="K44" s="45">
        <v>0</v>
      </c>
      <c r="L44" s="45">
        <v>0</v>
      </c>
      <c r="M44" s="45">
        <v>0</v>
      </c>
      <c r="N44" s="45">
        <f>SUM(D44:M44)</f>
        <v>1106096</v>
      </c>
      <c r="O44" s="46">
        <f t="shared" si="7"/>
        <v>0.81763634898658111</v>
      </c>
      <c r="P44" s="9"/>
    </row>
    <row r="45" spans="1:16">
      <c r="A45" s="11"/>
      <c r="B45" s="24">
        <v>334.89</v>
      </c>
      <c r="C45" s="19" t="s">
        <v>46</v>
      </c>
      <c r="D45" s="45">
        <v>0</v>
      </c>
      <c r="E45" s="45">
        <v>150789</v>
      </c>
      <c r="F45" s="45">
        <v>0</v>
      </c>
      <c r="G45" s="45">
        <v>0</v>
      </c>
      <c r="H45" s="45">
        <v>0</v>
      </c>
      <c r="I45" s="45">
        <v>0</v>
      </c>
      <c r="J45" s="45">
        <v>0</v>
      </c>
      <c r="K45" s="45">
        <v>0</v>
      </c>
      <c r="L45" s="45">
        <v>0</v>
      </c>
      <c r="M45" s="45">
        <v>0</v>
      </c>
      <c r="N45" s="45">
        <f t="shared" si="8"/>
        <v>150789</v>
      </c>
      <c r="O45" s="46">
        <f t="shared" si="7"/>
        <v>0.11146461738161749</v>
      </c>
      <c r="P45" s="9"/>
    </row>
    <row r="46" spans="1:16">
      <c r="A46" s="11"/>
      <c r="B46" s="24">
        <v>334.9</v>
      </c>
      <c r="C46" s="19" t="s">
        <v>47</v>
      </c>
      <c r="D46" s="45">
        <v>0</v>
      </c>
      <c r="E46" s="45">
        <v>1270904</v>
      </c>
      <c r="F46" s="45">
        <v>0</v>
      </c>
      <c r="G46" s="45">
        <v>0</v>
      </c>
      <c r="H46" s="45">
        <v>0</v>
      </c>
      <c r="I46" s="45">
        <v>0</v>
      </c>
      <c r="J46" s="45">
        <v>0</v>
      </c>
      <c r="K46" s="45">
        <v>0</v>
      </c>
      <c r="L46" s="45">
        <v>0</v>
      </c>
      <c r="M46" s="45">
        <v>0</v>
      </c>
      <c r="N46" s="45">
        <f t="shared" si="8"/>
        <v>1270904</v>
      </c>
      <c r="O46" s="46">
        <f t="shared" si="7"/>
        <v>0.93946394026598223</v>
      </c>
      <c r="P46" s="9"/>
    </row>
    <row r="47" spans="1:16">
      <c r="A47" s="11"/>
      <c r="B47" s="24">
        <v>335.12</v>
      </c>
      <c r="C47" s="19" t="s">
        <v>204</v>
      </c>
      <c r="D47" s="45">
        <v>26737467</v>
      </c>
      <c r="E47" s="45">
        <v>6752474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f t="shared" si="8"/>
        <v>33489941</v>
      </c>
      <c r="O47" s="46">
        <f t="shared" si="7"/>
        <v>24.756072788452368</v>
      </c>
      <c r="P47" s="9"/>
    </row>
    <row r="48" spans="1:16">
      <c r="A48" s="11"/>
      <c r="B48" s="24">
        <v>335.13</v>
      </c>
      <c r="C48" s="19" t="s">
        <v>205</v>
      </c>
      <c r="D48" s="45">
        <v>338467</v>
      </c>
      <c r="E48" s="45">
        <v>0</v>
      </c>
      <c r="F48" s="45">
        <v>0</v>
      </c>
      <c r="G48" s="45">
        <v>0</v>
      </c>
      <c r="H48" s="45">
        <v>0</v>
      </c>
      <c r="I48" s="45">
        <v>0</v>
      </c>
      <c r="J48" s="45">
        <v>0</v>
      </c>
      <c r="K48" s="45">
        <v>0</v>
      </c>
      <c r="L48" s="45">
        <v>0</v>
      </c>
      <c r="M48" s="45">
        <v>0</v>
      </c>
      <c r="N48" s="45">
        <f t="shared" si="8"/>
        <v>338467</v>
      </c>
      <c r="O48" s="46">
        <f t="shared" si="7"/>
        <v>0.25019792326564888</v>
      </c>
      <c r="P48" s="9"/>
    </row>
    <row r="49" spans="1:16">
      <c r="A49" s="11"/>
      <c r="B49" s="24">
        <v>335.14</v>
      </c>
      <c r="C49" s="19" t="s">
        <v>206</v>
      </c>
      <c r="D49" s="45">
        <v>420914</v>
      </c>
      <c r="E49" s="45">
        <v>0</v>
      </c>
      <c r="F49" s="45">
        <v>0</v>
      </c>
      <c r="G49" s="45">
        <v>0</v>
      </c>
      <c r="H49" s="45">
        <v>0</v>
      </c>
      <c r="I49" s="45">
        <v>0</v>
      </c>
      <c r="J49" s="45">
        <v>0</v>
      </c>
      <c r="K49" s="45">
        <v>0</v>
      </c>
      <c r="L49" s="45">
        <v>0</v>
      </c>
      <c r="M49" s="45">
        <v>0</v>
      </c>
      <c r="N49" s="45">
        <f t="shared" si="8"/>
        <v>420914</v>
      </c>
      <c r="O49" s="46">
        <f t="shared" si="7"/>
        <v>0.31114350490132664</v>
      </c>
      <c r="P49" s="9"/>
    </row>
    <row r="50" spans="1:16">
      <c r="A50" s="11"/>
      <c r="B50" s="24">
        <v>335.15</v>
      </c>
      <c r="C50" s="19" t="s">
        <v>207</v>
      </c>
      <c r="D50" s="45">
        <v>467047</v>
      </c>
      <c r="E50" s="45">
        <v>0</v>
      </c>
      <c r="F50" s="45">
        <v>0</v>
      </c>
      <c r="G50" s="45">
        <v>0</v>
      </c>
      <c r="H50" s="45">
        <v>0</v>
      </c>
      <c r="I50" s="45">
        <v>0</v>
      </c>
      <c r="J50" s="45">
        <v>0</v>
      </c>
      <c r="K50" s="45">
        <v>0</v>
      </c>
      <c r="L50" s="45">
        <v>0</v>
      </c>
      <c r="M50" s="45">
        <v>0</v>
      </c>
      <c r="N50" s="45">
        <f t="shared" si="8"/>
        <v>467047</v>
      </c>
      <c r="O50" s="46">
        <f t="shared" si="7"/>
        <v>0.3452454433296348</v>
      </c>
      <c r="P50" s="9"/>
    </row>
    <row r="51" spans="1:16">
      <c r="A51" s="11"/>
      <c r="B51" s="24">
        <v>335.16</v>
      </c>
      <c r="C51" s="19" t="s">
        <v>208</v>
      </c>
      <c r="D51" s="45">
        <v>3661634</v>
      </c>
      <c r="E51" s="45">
        <v>0</v>
      </c>
      <c r="F51" s="45">
        <v>0</v>
      </c>
      <c r="G51" s="45">
        <v>0</v>
      </c>
      <c r="H51" s="45">
        <v>0</v>
      </c>
      <c r="I51" s="45">
        <v>0</v>
      </c>
      <c r="J51" s="45">
        <v>0</v>
      </c>
      <c r="K51" s="45">
        <v>0</v>
      </c>
      <c r="L51" s="45">
        <v>0</v>
      </c>
      <c r="M51" s="45">
        <v>0</v>
      </c>
      <c r="N51" s="45">
        <f t="shared" si="8"/>
        <v>3661634</v>
      </c>
      <c r="O51" s="46">
        <f t="shared" si="7"/>
        <v>2.7067135719549942</v>
      </c>
      <c r="P51" s="9"/>
    </row>
    <row r="52" spans="1:16">
      <c r="A52" s="11"/>
      <c r="B52" s="24">
        <v>335.17</v>
      </c>
      <c r="C52" s="19" t="s">
        <v>209</v>
      </c>
      <c r="D52" s="45">
        <v>80188</v>
      </c>
      <c r="E52" s="45">
        <v>0</v>
      </c>
      <c r="F52" s="45">
        <v>0</v>
      </c>
      <c r="G52" s="45">
        <v>0</v>
      </c>
      <c r="H52" s="45">
        <v>0</v>
      </c>
      <c r="I52" s="45">
        <v>0</v>
      </c>
      <c r="J52" s="45">
        <v>0</v>
      </c>
      <c r="K52" s="45">
        <v>0</v>
      </c>
      <c r="L52" s="45">
        <v>0</v>
      </c>
      <c r="M52" s="45">
        <v>0</v>
      </c>
      <c r="N52" s="45">
        <f t="shared" si="8"/>
        <v>80188</v>
      </c>
      <c r="O52" s="46">
        <f t="shared" si="7"/>
        <v>5.9275708033060391E-2</v>
      </c>
      <c r="P52" s="9"/>
    </row>
    <row r="53" spans="1:16">
      <c r="A53" s="11"/>
      <c r="B53" s="24">
        <v>335.18</v>
      </c>
      <c r="C53" s="19" t="s">
        <v>210</v>
      </c>
      <c r="D53" s="45">
        <v>0</v>
      </c>
      <c r="E53" s="45">
        <v>101203167</v>
      </c>
      <c r="F53" s="45">
        <v>0</v>
      </c>
      <c r="G53" s="45">
        <v>0</v>
      </c>
      <c r="H53" s="45">
        <v>0</v>
      </c>
      <c r="I53" s="45">
        <v>0</v>
      </c>
      <c r="J53" s="45">
        <v>0</v>
      </c>
      <c r="K53" s="45">
        <v>0</v>
      </c>
      <c r="L53" s="45">
        <v>0</v>
      </c>
      <c r="M53" s="45">
        <v>0</v>
      </c>
      <c r="N53" s="45">
        <f t="shared" si="8"/>
        <v>101203167</v>
      </c>
      <c r="O53" s="46">
        <f t="shared" si="7"/>
        <v>74.810313003355276</v>
      </c>
      <c r="P53" s="9"/>
    </row>
    <row r="54" spans="1:16">
      <c r="A54" s="11"/>
      <c r="B54" s="24">
        <v>335.21</v>
      </c>
      <c r="C54" s="19" t="s">
        <v>55</v>
      </c>
      <c r="D54" s="45">
        <v>423518</v>
      </c>
      <c r="E54" s="45">
        <v>80850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f t="shared" si="8"/>
        <v>504368</v>
      </c>
      <c r="O54" s="46">
        <f t="shared" si="7"/>
        <v>0.37283347021023849</v>
      </c>
      <c r="P54" s="9"/>
    </row>
    <row r="55" spans="1:16">
      <c r="A55" s="11"/>
      <c r="B55" s="24">
        <v>335.22</v>
      </c>
      <c r="C55" s="19" t="s">
        <v>56</v>
      </c>
      <c r="D55" s="45">
        <v>0</v>
      </c>
      <c r="E55" s="45">
        <v>6275533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f t="shared" si="8"/>
        <v>6275533</v>
      </c>
      <c r="O55" s="46">
        <f t="shared" si="7"/>
        <v>4.6389317835565871</v>
      </c>
      <c r="P55" s="9"/>
    </row>
    <row r="56" spans="1:16">
      <c r="A56" s="11"/>
      <c r="B56" s="24">
        <v>335.23</v>
      </c>
      <c r="C56" s="19" t="s">
        <v>171</v>
      </c>
      <c r="D56" s="45">
        <v>0</v>
      </c>
      <c r="E56" s="45">
        <v>105806</v>
      </c>
      <c r="F56" s="45">
        <v>0</v>
      </c>
      <c r="G56" s="45">
        <v>0</v>
      </c>
      <c r="H56" s="45">
        <v>0</v>
      </c>
      <c r="I56" s="45">
        <v>0</v>
      </c>
      <c r="J56" s="45">
        <v>0</v>
      </c>
      <c r="K56" s="45">
        <v>0</v>
      </c>
      <c r="L56" s="45">
        <v>0</v>
      </c>
      <c r="M56" s="45">
        <v>0</v>
      </c>
      <c r="N56" s="45">
        <f t="shared" si="8"/>
        <v>105806</v>
      </c>
      <c r="O56" s="46">
        <f t="shared" si="7"/>
        <v>7.821276954339787E-2</v>
      </c>
      <c r="P56" s="9"/>
    </row>
    <row r="57" spans="1:16">
      <c r="A57" s="11"/>
      <c r="B57" s="24">
        <v>335.29</v>
      </c>
      <c r="C57" s="19" t="s">
        <v>57</v>
      </c>
      <c r="D57" s="45">
        <v>7202</v>
      </c>
      <c r="E57" s="45">
        <v>0</v>
      </c>
      <c r="F57" s="45">
        <v>0</v>
      </c>
      <c r="G57" s="45">
        <v>0</v>
      </c>
      <c r="H57" s="45">
        <v>0</v>
      </c>
      <c r="I57" s="45">
        <v>0</v>
      </c>
      <c r="J57" s="45">
        <v>0</v>
      </c>
      <c r="K57" s="45">
        <v>0</v>
      </c>
      <c r="L57" s="45">
        <v>0</v>
      </c>
      <c r="M57" s="45">
        <v>0</v>
      </c>
      <c r="N57" s="45">
        <f t="shared" si="8"/>
        <v>7202</v>
      </c>
      <c r="O57" s="46">
        <f t="shared" si="7"/>
        <v>5.3237847215805477E-3</v>
      </c>
      <c r="P57" s="9"/>
    </row>
    <row r="58" spans="1:16">
      <c r="A58" s="11"/>
      <c r="B58" s="24">
        <v>335.39</v>
      </c>
      <c r="C58" s="19" t="s">
        <v>58</v>
      </c>
      <c r="D58" s="45">
        <v>0</v>
      </c>
      <c r="E58" s="45">
        <v>1098118</v>
      </c>
      <c r="F58" s="45">
        <v>0</v>
      </c>
      <c r="G58" s="45">
        <v>0</v>
      </c>
      <c r="H58" s="45">
        <v>0</v>
      </c>
      <c r="I58" s="45">
        <v>0</v>
      </c>
      <c r="J58" s="45">
        <v>0</v>
      </c>
      <c r="K58" s="45">
        <v>0</v>
      </c>
      <c r="L58" s="45">
        <v>0</v>
      </c>
      <c r="M58" s="45">
        <v>0</v>
      </c>
      <c r="N58" s="45">
        <f t="shared" si="8"/>
        <v>1098118</v>
      </c>
      <c r="O58" s="46">
        <f t="shared" si="7"/>
        <v>0.81173893791899299</v>
      </c>
      <c r="P58" s="9"/>
    </row>
    <row r="59" spans="1:16">
      <c r="A59" s="11"/>
      <c r="B59" s="24">
        <v>335.49</v>
      </c>
      <c r="C59" s="19" t="s">
        <v>59</v>
      </c>
      <c r="D59" s="45">
        <v>0</v>
      </c>
      <c r="E59" s="45">
        <v>17687531</v>
      </c>
      <c r="F59" s="45">
        <v>0</v>
      </c>
      <c r="G59" s="45">
        <v>0</v>
      </c>
      <c r="H59" s="45">
        <v>0</v>
      </c>
      <c r="I59" s="45">
        <v>0</v>
      </c>
      <c r="J59" s="45">
        <v>0</v>
      </c>
      <c r="K59" s="45">
        <v>0</v>
      </c>
      <c r="L59" s="45">
        <v>0</v>
      </c>
      <c r="M59" s="45">
        <v>0</v>
      </c>
      <c r="N59" s="45">
        <f t="shared" si="8"/>
        <v>17687531</v>
      </c>
      <c r="O59" s="46">
        <f t="shared" si="7"/>
        <v>13.074785795651527</v>
      </c>
      <c r="P59" s="9"/>
    </row>
    <row r="60" spans="1:16">
      <c r="A60" s="11"/>
      <c r="B60" s="24">
        <v>335.5</v>
      </c>
      <c r="C60" s="19" t="s">
        <v>60</v>
      </c>
      <c r="D60" s="45">
        <v>0</v>
      </c>
      <c r="E60" s="45">
        <v>4643996</v>
      </c>
      <c r="F60" s="45">
        <v>0</v>
      </c>
      <c r="G60" s="45">
        <v>0</v>
      </c>
      <c r="H60" s="45">
        <v>0</v>
      </c>
      <c r="I60" s="45">
        <v>0</v>
      </c>
      <c r="J60" s="45">
        <v>0</v>
      </c>
      <c r="K60" s="45">
        <v>0</v>
      </c>
      <c r="L60" s="45">
        <v>0</v>
      </c>
      <c r="M60" s="45">
        <v>0</v>
      </c>
      <c r="N60" s="45">
        <f t="shared" si="8"/>
        <v>4643996</v>
      </c>
      <c r="O60" s="46">
        <f t="shared" si="7"/>
        <v>3.4328846087033016</v>
      </c>
      <c r="P60" s="9"/>
    </row>
    <row r="61" spans="1:16">
      <c r="A61" s="11"/>
      <c r="B61" s="24">
        <v>335.69</v>
      </c>
      <c r="C61" s="19" t="s">
        <v>61</v>
      </c>
      <c r="D61" s="45">
        <v>0</v>
      </c>
      <c r="E61" s="45">
        <v>0</v>
      </c>
      <c r="F61" s="45">
        <v>0</v>
      </c>
      <c r="G61" s="45">
        <v>0</v>
      </c>
      <c r="H61" s="45">
        <v>0</v>
      </c>
      <c r="I61" s="45">
        <v>0</v>
      </c>
      <c r="J61" s="45">
        <v>174358</v>
      </c>
      <c r="K61" s="45">
        <v>0</v>
      </c>
      <c r="L61" s="45">
        <v>0</v>
      </c>
      <c r="M61" s="45">
        <v>0</v>
      </c>
      <c r="N61" s="45">
        <f t="shared" si="8"/>
        <v>174358</v>
      </c>
      <c r="O61" s="46">
        <f t="shared" si="7"/>
        <v>0.12888703922317982</v>
      </c>
      <c r="P61" s="9"/>
    </row>
    <row r="62" spans="1:16">
      <c r="A62" s="11"/>
      <c r="B62" s="24">
        <v>335.7</v>
      </c>
      <c r="C62" s="19" t="s">
        <v>62</v>
      </c>
      <c r="D62" s="45">
        <v>0</v>
      </c>
      <c r="E62" s="45">
        <v>3309329</v>
      </c>
      <c r="F62" s="45">
        <v>0</v>
      </c>
      <c r="G62" s="45">
        <v>0</v>
      </c>
      <c r="H62" s="45">
        <v>0</v>
      </c>
      <c r="I62" s="45">
        <v>0</v>
      </c>
      <c r="J62" s="45">
        <v>0</v>
      </c>
      <c r="K62" s="45">
        <v>0</v>
      </c>
      <c r="L62" s="45">
        <v>0</v>
      </c>
      <c r="M62" s="45">
        <v>0</v>
      </c>
      <c r="N62" s="45">
        <f t="shared" si="8"/>
        <v>3309329</v>
      </c>
      <c r="O62" s="46">
        <f t="shared" si="7"/>
        <v>2.4462864716583494</v>
      </c>
      <c r="P62" s="9"/>
    </row>
    <row r="63" spans="1:16">
      <c r="A63" s="11"/>
      <c r="B63" s="24">
        <v>337.1</v>
      </c>
      <c r="C63" s="19" t="s">
        <v>64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4608647</v>
      </c>
      <c r="N63" s="45">
        <f t="shared" ref="N63:N70" si="9">SUM(D63:M63)</f>
        <v>4608647</v>
      </c>
      <c r="O63" s="46">
        <f t="shared" si="7"/>
        <v>3.4067543023823972</v>
      </c>
      <c r="P63" s="9"/>
    </row>
    <row r="64" spans="1:16">
      <c r="A64" s="11"/>
      <c r="B64" s="24">
        <v>337.2</v>
      </c>
      <c r="C64" s="19" t="s">
        <v>65</v>
      </c>
      <c r="D64" s="45">
        <v>383454</v>
      </c>
      <c r="E64" s="45">
        <v>0</v>
      </c>
      <c r="F64" s="45">
        <v>0</v>
      </c>
      <c r="G64" s="45">
        <v>0</v>
      </c>
      <c r="H64" s="45">
        <v>0</v>
      </c>
      <c r="I64" s="45">
        <v>0</v>
      </c>
      <c r="J64" s="45">
        <v>0</v>
      </c>
      <c r="K64" s="45">
        <v>0</v>
      </c>
      <c r="L64" s="45">
        <v>0</v>
      </c>
      <c r="M64" s="45">
        <v>0</v>
      </c>
      <c r="N64" s="45">
        <f t="shared" si="9"/>
        <v>383454</v>
      </c>
      <c r="O64" s="46">
        <f t="shared" si="7"/>
        <v>0.28345272794070359</v>
      </c>
      <c r="P64" s="9"/>
    </row>
    <row r="65" spans="1:16">
      <c r="A65" s="11"/>
      <c r="B65" s="24">
        <v>337.3</v>
      </c>
      <c r="C65" s="19" t="s">
        <v>66</v>
      </c>
      <c r="D65" s="45">
        <v>96250</v>
      </c>
      <c r="E65" s="45">
        <v>-86079</v>
      </c>
      <c r="F65" s="45">
        <v>0</v>
      </c>
      <c r="G65" s="45">
        <v>0</v>
      </c>
      <c r="H65" s="45">
        <v>0</v>
      </c>
      <c r="I65" s="45">
        <v>84489</v>
      </c>
      <c r="J65" s="45">
        <v>0</v>
      </c>
      <c r="K65" s="45">
        <v>0</v>
      </c>
      <c r="L65" s="45">
        <v>0</v>
      </c>
      <c r="M65" s="45">
        <v>0</v>
      </c>
      <c r="N65" s="45">
        <f t="shared" si="9"/>
        <v>94660</v>
      </c>
      <c r="O65" s="46">
        <f t="shared" si="7"/>
        <v>6.9973543702418026E-2</v>
      </c>
      <c r="P65" s="9"/>
    </row>
    <row r="66" spans="1:16">
      <c r="A66" s="11"/>
      <c r="B66" s="24">
        <v>337.4</v>
      </c>
      <c r="C66" s="19" t="s">
        <v>172</v>
      </c>
      <c r="D66" s="45">
        <v>0</v>
      </c>
      <c r="E66" s="45">
        <v>3064384</v>
      </c>
      <c r="F66" s="45">
        <v>0</v>
      </c>
      <c r="G66" s="45">
        <v>0</v>
      </c>
      <c r="H66" s="45">
        <v>0</v>
      </c>
      <c r="I66" s="45">
        <v>0</v>
      </c>
      <c r="J66" s="45">
        <v>0</v>
      </c>
      <c r="K66" s="45">
        <v>0</v>
      </c>
      <c r="L66" s="45">
        <v>0</v>
      </c>
      <c r="M66" s="45">
        <v>0</v>
      </c>
      <c r="N66" s="45">
        <f t="shared" si="9"/>
        <v>3064384</v>
      </c>
      <c r="O66" s="46">
        <f t="shared" si="7"/>
        <v>2.2652208720155351</v>
      </c>
      <c r="P66" s="9"/>
    </row>
    <row r="67" spans="1:16">
      <c r="A67" s="11"/>
      <c r="B67" s="24">
        <v>337.5</v>
      </c>
      <c r="C67" s="19" t="s">
        <v>67</v>
      </c>
      <c r="D67" s="45">
        <v>139654</v>
      </c>
      <c r="E67" s="45">
        <v>5000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>
        <v>600000</v>
      </c>
      <c r="N67" s="45">
        <f t="shared" si="9"/>
        <v>744654</v>
      </c>
      <c r="O67" s="46">
        <f t="shared" si="7"/>
        <v>0.55045509414938087</v>
      </c>
      <c r="P67" s="9"/>
    </row>
    <row r="68" spans="1:16">
      <c r="A68" s="11"/>
      <c r="B68" s="24">
        <v>337.9</v>
      </c>
      <c r="C68" s="19" t="s">
        <v>69</v>
      </c>
      <c r="D68" s="45">
        <v>0</v>
      </c>
      <c r="E68" s="45">
        <v>63359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</v>
      </c>
      <c r="L68" s="45">
        <v>0</v>
      </c>
      <c r="M68" s="45">
        <v>0</v>
      </c>
      <c r="N68" s="45">
        <f t="shared" si="9"/>
        <v>63359</v>
      </c>
      <c r="O68" s="46">
        <f t="shared" si="7"/>
        <v>4.6835556258625649E-2</v>
      </c>
      <c r="P68" s="9"/>
    </row>
    <row r="69" spans="1:16" ht="15.75">
      <c r="A69" s="28" t="s">
        <v>75</v>
      </c>
      <c r="B69" s="29"/>
      <c r="C69" s="30"/>
      <c r="D69" s="31">
        <f t="shared" ref="D69:M69" si="10">SUM(D70:D123)</f>
        <v>110717130</v>
      </c>
      <c r="E69" s="31">
        <f t="shared" si="10"/>
        <v>51706642</v>
      </c>
      <c r="F69" s="31">
        <f t="shared" si="10"/>
        <v>408727</v>
      </c>
      <c r="G69" s="31">
        <f t="shared" si="10"/>
        <v>0</v>
      </c>
      <c r="H69" s="31">
        <f t="shared" si="10"/>
        <v>0</v>
      </c>
      <c r="I69" s="31">
        <f t="shared" si="10"/>
        <v>327374325</v>
      </c>
      <c r="J69" s="31">
        <f t="shared" si="10"/>
        <v>186830061</v>
      </c>
      <c r="K69" s="31">
        <f t="shared" si="10"/>
        <v>0</v>
      </c>
      <c r="L69" s="31">
        <f t="shared" si="10"/>
        <v>0</v>
      </c>
      <c r="M69" s="31">
        <f t="shared" si="10"/>
        <v>1242446</v>
      </c>
      <c r="N69" s="31">
        <f t="shared" si="9"/>
        <v>678279331</v>
      </c>
      <c r="O69" s="44">
        <f t="shared" ref="O69:O100" si="11">(N69/O$155)</f>
        <v>501.39032759534507</v>
      </c>
      <c r="P69" s="10"/>
    </row>
    <row r="70" spans="1:16">
      <c r="A70" s="11"/>
      <c r="B70" s="24">
        <v>341.1</v>
      </c>
      <c r="C70" s="19" t="s">
        <v>212</v>
      </c>
      <c r="D70" s="45">
        <v>6599286</v>
      </c>
      <c r="E70" s="45">
        <v>426</v>
      </c>
      <c r="F70" s="45">
        <v>0</v>
      </c>
      <c r="G70" s="45">
        <v>0</v>
      </c>
      <c r="H70" s="45">
        <v>0</v>
      </c>
      <c r="I70" s="45">
        <v>0</v>
      </c>
      <c r="J70" s="45">
        <v>0</v>
      </c>
      <c r="K70" s="45">
        <v>0</v>
      </c>
      <c r="L70" s="45">
        <v>0</v>
      </c>
      <c r="M70" s="45">
        <v>0</v>
      </c>
      <c r="N70" s="45">
        <f t="shared" si="9"/>
        <v>6599712</v>
      </c>
      <c r="O70" s="46">
        <f t="shared" si="11"/>
        <v>4.8785678856472918</v>
      </c>
      <c r="P70" s="9"/>
    </row>
    <row r="71" spans="1:16">
      <c r="A71" s="11"/>
      <c r="B71" s="24">
        <v>341.15</v>
      </c>
      <c r="C71" s="19" t="s">
        <v>213</v>
      </c>
      <c r="D71" s="45">
        <v>0</v>
      </c>
      <c r="E71" s="45">
        <v>2686367</v>
      </c>
      <c r="F71" s="45">
        <v>0</v>
      </c>
      <c r="G71" s="45">
        <v>0</v>
      </c>
      <c r="H71" s="45">
        <v>0</v>
      </c>
      <c r="I71" s="45">
        <v>0</v>
      </c>
      <c r="J71" s="45">
        <v>0</v>
      </c>
      <c r="K71" s="45">
        <v>0</v>
      </c>
      <c r="L71" s="45">
        <v>0</v>
      </c>
      <c r="M71" s="45">
        <v>0</v>
      </c>
      <c r="N71" s="45">
        <f t="shared" ref="N71:N123" si="12">SUM(D71:M71)</f>
        <v>2686367</v>
      </c>
      <c r="O71" s="46">
        <f t="shared" si="11"/>
        <v>1.9857872245429284</v>
      </c>
      <c r="P71" s="9"/>
    </row>
    <row r="72" spans="1:16">
      <c r="A72" s="11"/>
      <c r="B72" s="24">
        <v>341.16</v>
      </c>
      <c r="C72" s="19" t="s">
        <v>214</v>
      </c>
      <c r="D72" s="45">
        <v>0</v>
      </c>
      <c r="E72" s="45">
        <v>2125672</v>
      </c>
      <c r="F72" s="45">
        <v>0</v>
      </c>
      <c r="G72" s="45">
        <v>0</v>
      </c>
      <c r="H72" s="45">
        <v>0</v>
      </c>
      <c r="I72" s="45">
        <v>0</v>
      </c>
      <c r="J72" s="45">
        <v>0</v>
      </c>
      <c r="K72" s="45">
        <v>0</v>
      </c>
      <c r="L72" s="45">
        <v>0</v>
      </c>
      <c r="M72" s="45">
        <v>0</v>
      </c>
      <c r="N72" s="45">
        <f t="shared" si="12"/>
        <v>2125672</v>
      </c>
      <c r="O72" s="46">
        <f t="shared" si="11"/>
        <v>1.5713163172301536</v>
      </c>
      <c r="P72" s="9"/>
    </row>
    <row r="73" spans="1:16">
      <c r="A73" s="11"/>
      <c r="B73" s="24">
        <v>341.2</v>
      </c>
      <c r="C73" s="19" t="s">
        <v>215</v>
      </c>
      <c r="D73" s="45">
        <v>55</v>
      </c>
      <c r="E73" s="45">
        <v>0</v>
      </c>
      <c r="F73" s="45">
        <v>0</v>
      </c>
      <c r="G73" s="45">
        <v>0</v>
      </c>
      <c r="H73" s="45">
        <v>0</v>
      </c>
      <c r="I73" s="45">
        <v>0</v>
      </c>
      <c r="J73" s="45">
        <v>159168063</v>
      </c>
      <c r="K73" s="45">
        <v>0</v>
      </c>
      <c r="L73" s="45">
        <v>0</v>
      </c>
      <c r="M73" s="45">
        <v>0</v>
      </c>
      <c r="N73" s="45">
        <f t="shared" si="12"/>
        <v>159168118</v>
      </c>
      <c r="O73" s="46">
        <f t="shared" si="11"/>
        <v>117.65853856861007</v>
      </c>
      <c r="P73" s="9"/>
    </row>
    <row r="74" spans="1:16">
      <c r="A74" s="11"/>
      <c r="B74" s="24">
        <v>341.3</v>
      </c>
      <c r="C74" s="19" t="s">
        <v>216</v>
      </c>
      <c r="D74" s="45">
        <v>60828</v>
      </c>
      <c r="E74" s="45">
        <v>2751311</v>
      </c>
      <c r="F74" s="45">
        <v>0</v>
      </c>
      <c r="G74" s="45">
        <v>0</v>
      </c>
      <c r="H74" s="45">
        <v>0</v>
      </c>
      <c r="I74" s="45">
        <v>0</v>
      </c>
      <c r="J74" s="45">
        <v>0</v>
      </c>
      <c r="K74" s="45">
        <v>0</v>
      </c>
      <c r="L74" s="45">
        <v>0</v>
      </c>
      <c r="M74" s="45">
        <v>0</v>
      </c>
      <c r="N74" s="45">
        <f t="shared" si="12"/>
        <v>2812139</v>
      </c>
      <c r="O74" s="46">
        <f t="shared" si="11"/>
        <v>2.078759045148681</v>
      </c>
      <c r="P74" s="9"/>
    </row>
    <row r="75" spans="1:16">
      <c r="A75" s="11"/>
      <c r="B75" s="24">
        <v>341.52</v>
      </c>
      <c r="C75" s="19" t="s">
        <v>217</v>
      </c>
      <c r="D75" s="45">
        <v>1594452</v>
      </c>
      <c r="E75" s="45">
        <v>123795</v>
      </c>
      <c r="F75" s="45">
        <v>0</v>
      </c>
      <c r="G75" s="45">
        <v>0</v>
      </c>
      <c r="H75" s="45">
        <v>0</v>
      </c>
      <c r="I75" s="45">
        <v>0</v>
      </c>
      <c r="J75" s="45">
        <v>0</v>
      </c>
      <c r="K75" s="45">
        <v>0</v>
      </c>
      <c r="L75" s="45">
        <v>0</v>
      </c>
      <c r="M75" s="45">
        <v>0</v>
      </c>
      <c r="N75" s="45">
        <f t="shared" si="12"/>
        <v>1718247</v>
      </c>
      <c r="O75" s="46">
        <f t="shared" si="11"/>
        <v>1.2701440053459609</v>
      </c>
      <c r="P75" s="9"/>
    </row>
    <row r="76" spans="1:16">
      <c r="A76" s="11"/>
      <c r="B76" s="24">
        <v>341.55</v>
      </c>
      <c r="C76" s="19" t="s">
        <v>218</v>
      </c>
      <c r="D76" s="45">
        <v>18702</v>
      </c>
      <c r="E76" s="45">
        <v>0</v>
      </c>
      <c r="F76" s="45">
        <v>0</v>
      </c>
      <c r="G76" s="45">
        <v>0</v>
      </c>
      <c r="H76" s="45">
        <v>0</v>
      </c>
      <c r="I76" s="45">
        <v>0</v>
      </c>
      <c r="J76" s="45">
        <v>0</v>
      </c>
      <c r="K76" s="45">
        <v>0</v>
      </c>
      <c r="L76" s="45">
        <v>0</v>
      </c>
      <c r="M76" s="45">
        <v>0</v>
      </c>
      <c r="N76" s="45">
        <f t="shared" si="12"/>
        <v>18702</v>
      </c>
      <c r="O76" s="46">
        <f t="shared" si="11"/>
        <v>1.3824690622465899E-2</v>
      </c>
      <c r="P76" s="9"/>
    </row>
    <row r="77" spans="1:16">
      <c r="A77" s="11"/>
      <c r="B77" s="24">
        <v>341.9</v>
      </c>
      <c r="C77" s="19" t="s">
        <v>220</v>
      </c>
      <c r="D77" s="45">
        <v>48831460</v>
      </c>
      <c r="E77" s="45">
        <v>1944214</v>
      </c>
      <c r="F77" s="45">
        <v>0</v>
      </c>
      <c r="G77" s="45">
        <v>0</v>
      </c>
      <c r="H77" s="45">
        <v>0</v>
      </c>
      <c r="I77" s="45">
        <v>0</v>
      </c>
      <c r="J77" s="45">
        <v>5862356</v>
      </c>
      <c r="K77" s="45">
        <v>0</v>
      </c>
      <c r="L77" s="45">
        <v>0</v>
      </c>
      <c r="M77" s="45">
        <v>681329</v>
      </c>
      <c r="N77" s="45">
        <f t="shared" si="12"/>
        <v>57319359</v>
      </c>
      <c r="O77" s="46">
        <f t="shared" si="11"/>
        <v>42.370998013744853</v>
      </c>
      <c r="P77" s="9"/>
    </row>
    <row r="78" spans="1:16">
      <c r="A78" s="11"/>
      <c r="B78" s="24">
        <v>342.1</v>
      </c>
      <c r="C78" s="19" t="s">
        <v>87</v>
      </c>
      <c r="D78" s="45">
        <v>4791087</v>
      </c>
      <c r="E78" s="45">
        <v>9109499</v>
      </c>
      <c r="F78" s="45">
        <v>0</v>
      </c>
      <c r="G78" s="45">
        <v>0</v>
      </c>
      <c r="H78" s="45">
        <v>0</v>
      </c>
      <c r="I78" s="45">
        <v>0</v>
      </c>
      <c r="J78" s="45">
        <v>0</v>
      </c>
      <c r="K78" s="45">
        <v>0</v>
      </c>
      <c r="L78" s="45">
        <v>0</v>
      </c>
      <c r="M78" s="45">
        <v>0</v>
      </c>
      <c r="N78" s="45">
        <f t="shared" si="12"/>
        <v>13900586</v>
      </c>
      <c r="O78" s="46">
        <f t="shared" si="11"/>
        <v>10.275441178536026</v>
      </c>
      <c r="P78" s="9"/>
    </row>
    <row r="79" spans="1:16">
      <c r="A79" s="11"/>
      <c r="B79" s="24">
        <v>342.2</v>
      </c>
      <c r="C79" s="19" t="s">
        <v>88</v>
      </c>
      <c r="D79" s="45">
        <v>1990740</v>
      </c>
      <c r="E79" s="45">
        <v>0</v>
      </c>
      <c r="F79" s="45">
        <v>0</v>
      </c>
      <c r="G79" s="45">
        <v>0</v>
      </c>
      <c r="H79" s="45">
        <v>0</v>
      </c>
      <c r="I79" s="45">
        <v>0</v>
      </c>
      <c r="J79" s="45">
        <v>0</v>
      </c>
      <c r="K79" s="45">
        <v>0</v>
      </c>
      <c r="L79" s="45">
        <v>0</v>
      </c>
      <c r="M79" s="45">
        <v>0</v>
      </c>
      <c r="N79" s="45">
        <f t="shared" si="12"/>
        <v>1990740</v>
      </c>
      <c r="O79" s="46">
        <f t="shared" si="11"/>
        <v>1.4715733402720437</v>
      </c>
      <c r="P79" s="9"/>
    </row>
    <row r="80" spans="1:16">
      <c r="A80" s="11"/>
      <c r="B80" s="24">
        <v>342.3</v>
      </c>
      <c r="C80" s="19" t="s">
        <v>89</v>
      </c>
      <c r="D80" s="45">
        <v>308497</v>
      </c>
      <c r="E80" s="45">
        <v>0</v>
      </c>
      <c r="F80" s="45">
        <v>0</v>
      </c>
      <c r="G80" s="45">
        <v>0</v>
      </c>
      <c r="H80" s="45">
        <v>0</v>
      </c>
      <c r="I80" s="45">
        <v>0</v>
      </c>
      <c r="J80" s="45">
        <v>0</v>
      </c>
      <c r="K80" s="45">
        <v>0</v>
      </c>
      <c r="L80" s="45">
        <v>0</v>
      </c>
      <c r="M80" s="45">
        <v>0</v>
      </c>
      <c r="N80" s="45">
        <f t="shared" si="12"/>
        <v>308497</v>
      </c>
      <c r="O80" s="46">
        <f t="shared" si="11"/>
        <v>0.22804382327873288</v>
      </c>
      <c r="P80" s="9"/>
    </row>
    <row r="81" spans="1:16">
      <c r="A81" s="11"/>
      <c r="B81" s="24">
        <v>342.5</v>
      </c>
      <c r="C81" s="19" t="s">
        <v>90</v>
      </c>
      <c r="D81" s="45">
        <v>216657</v>
      </c>
      <c r="E81" s="45">
        <v>0</v>
      </c>
      <c r="F81" s="45">
        <v>0</v>
      </c>
      <c r="G81" s="45">
        <v>0</v>
      </c>
      <c r="H81" s="45">
        <v>0</v>
      </c>
      <c r="I81" s="45">
        <v>0</v>
      </c>
      <c r="J81" s="45">
        <v>0</v>
      </c>
      <c r="K81" s="45">
        <v>0</v>
      </c>
      <c r="L81" s="45">
        <v>0</v>
      </c>
      <c r="M81" s="45">
        <v>0</v>
      </c>
      <c r="N81" s="45">
        <f t="shared" si="12"/>
        <v>216657</v>
      </c>
      <c r="O81" s="46">
        <f t="shared" si="11"/>
        <v>0.16015484954505368</v>
      </c>
      <c r="P81" s="9"/>
    </row>
    <row r="82" spans="1:16">
      <c r="A82" s="11"/>
      <c r="B82" s="24">
        <v>342.6</v>
      </c>
      <c r="C82" s="19" t="s">
        <v>91</v>
      </c>
      <c r="D82" s="45">
        <v>16263764</v>
      </c>
      <c r="E82" s="45">
        <v>0</v>
      </c>
      <c r="F82" s="45">
        <v>0</v>
      </c>
      <c r="G82" s="45">
        <v>0</v>
      </c>
      <c r="H82" s="45">
        <v>0</v>
      </c>
      <c r="I82" s="45">
        <v>0</v>
      </c>
      <c r="J82" s="45">
        <v>0</v>
      </c>
      <c r="K82" s="45">
        <v>0</v>
      </c>
      <c r="L82" s="45">
        <v>0</v>
      </c>
      <c r="M82" s="45">
        <v>0</v>
      </c>
      <c r="N82" s="45">
        <f t="shared" si="12"/>
        <v>16263764</v>
      </c>
      <c r="O82" s="46">
        <f t="shared" si="11"/>
        <v>12.022324118104933</v>
      </c>
      <c r="P82" s="9"/>
    </row>
    <row r="83" spans="1:16">
      <c r="A83" s="11"/>
      <c r="B83" s="24">
        <v>342.9</v>
      </c>
      <c r="C83" s="19" t="s">
        <v>92</v>
      </c>
      <c r="D83" s="45">
        <v>971140</v>
      </c>
      <c r="E83" s="45">
        <v>2339505</v>
      </c>
      <c r="F83" s="45">
        <v>0</v>
      </c>
      <c r="G83" s="45">
        <v>0</v>
      </c>
      <c r="H83" s="45">
        <v>0</v>
      </c>
      <c r="I83" s="45">
        <v>0</v>
      </c>
      <c r="J83" s="45">
        <v>0</v>
      </c>
      <c r="K83" s="45">
        <v>0</v>
      </c>
      <c r="L83" s="45">
        <v>0</v>
      </c>
      <c r="M83" s="45">
        <v>0</v>
      </c>
      <c r="N83" s="45">
        <f t="shared" si="12"/>
        <v>3310645</v>
      </c>
      <c r="O83" s="46">
        <f t="shared" si="11"/>
        <v>2.4472592709770939</v>
      </c>
      <c r="P83" s="9"/>
    </row>
    <row r="84" spans="1:16">
      <c r="A84" s="11"/>
      <c r="B84" s="24">
        <v>343.4</v>
      </c>
      <c r="C84" s="19" t="s">
        <v>93</v>
      </c>
      <c r="D84" s="45">
        <v>0</v>
      </c>
      <c r="E84" s="45">
        <v>0</v>
      </c>
      <c r="F84" s="45">
        <v>0</v>
      </c>
      <c r="G84" s="45">
        <v>0</v>
      </c>
      <c r="H84" s="45">
        <v>0</v>
      </c>
      <c r="I84" s="45">
        <v>102022960</v>
      </c>
      <c r="J84" s="45">
        <v>0</v>
      </c>
      <c r="K84" s="45">
        <v>0</v>
      </c>
      <c r="L84" s="45">
        <v>0</v>
      </c>
      <c r="M84" s="45">
        <v>0</v>
      </c>
      <c r="N84" s="45">
        <f t="shared" si="12"/>
        <v>102022960</v>
      </c>
      <c r="O84" s="46">
        <f t="shared" si="11"/>
        <v>75.416311538242624</v>
      </c>
      <c r="P84" s="9"/>
    </row>
    <row r="85" spans="1:16">
      <c r="A85" s="11"/>
      <c r="B85" s="24">
        <v>343.6</v>
      </c>
      <c r="C85" s="19" t="s">
        <v>94</v>
      </c>
      <c r="D85" s="45">
        <v>0</v>
      </c>
      <c r="E85" s="45">
        <v>0</v>
      </c>
      <c r="F85" s="45">
        <v>0</v>
      </c>
      <c r="G85" s="45">
        <v>0</v>
      </c>
      <c r="H85" s="45">
        <v>0</v>
      </c>
      <c r="I85" s="45">
        <v>225351365</v>
      </c>
      <c r="J85" s="45">
        <v>0</v>
      </c>
      <c r="K85" s="45">
        <v>0</v>
      </c>
      <c r="L85" s="45">
        <v>0</v>
      </c>
      <c r="M85" s="45">
        <v>0</v>
      </c>
      <c r="N85" s="45">
        <f t="shared" si="12"/>
        <v>225351365</v>
      </c>
      <c r="O85" s="46">
        <f t="shared" si="11"/>
        <v>166.58180421748423</v>
      </c>
      <c r="P85" s="9"/>
    </row>
    <row r="86" spans="1:16">
      <c r="A86" s="11"/>
      <c r="B86" s="24">
        <v>343.7</v>
      </c>
      <c r="C86" s="19" t="s">
        <v>95</v>
      </c>
      <c r="D86" s="45">
        <v>2503242</v>
      </c>
      <c r="E86" s="45">
        <v>661418</v>
      </c>
      <c r="F86" s="45">
        <v>0</v>
      </c>
      <c r="G86" s="45">
        <v>0</v>
      </c>
      <c r="H86" s="45">
        <v>0</v>
      </c>
      <c r="I86" s="45">
        <v>0</v>
      </c>
      <c r="J86" s="45">
        <v>0</v>
      </c>
      <c r="K86" s="45">
        <v>0</v>
      </c>
      <c r="L86" s="45">
        <v>0</v>
      </c>
      <c r="M86" s="45">
        <v>91324</v>
      </c>
      <c r="N86" s="45">
        <f t="shared" si="12"/>
        <v>3255984</v>
      </c>
      <c r="O86" s="46">
        <f t="shared" si="11"/>
        <v>2.4068533564163728</v>
      </c>
      <c r="P86" s="9"/>
    </row>
    <row r="87" spans="1:16">
      <c r="A87" s="11"/>
      <c r="B87" s="24">
        <v>343.9</v>
      </c>
      <c r="C87" s="19" t="s">
        <v>96</v>
      </c>
      <c r="D87" s="45">
        <v>1448492</v>
      </c>
      <c r="E87" s="45">
        <v>135305</v>
      </c>
      <c r="F87" s="45">
        <v>0</v>
      </c>
      <c r="G87" s="45">
        <v>0</v>
      </c>
      <c r="H87" s="45">
        <v>0</v>
      </c>
      <c r="I87" s="45">
        <v>0</v>
      </c>
      <c r="J87" s="45">
        <v>0</v>
      </c>
      <c r="K87" s="45">
        <v>0</v>
      </c>
      <c r="L87" s="45">
        <v>0</v>
      </c>
      <c r="M87" s="45">
        <v>0</v>
      </c>
      <c r="N87" s="45">
        <f t="shared" si="12"/>
        <v>1583797</v>
      </c>
      <c r="O87" s="46">
        <f t="shared" si="11"/>
        <v>1.1707573272264797</v>
      </c>
      <c r="P87" s="9"/>
    </row>
    <row r="88" spans="1:16">
      <c r="A88" s="11"/>
      <c r="B88" s="24">
        <v>344.5</v>
      </c>
      <c r="C88" s="19" t="s">
        <v>221</v>
      </c>
      <c r="D88" s="45">
        <v>830995</v>
      </c>
      <c r="E88" s="45">
        <v>0</v>
      </c>
      <c r="F88" s="45">
        <v>0</v>
      </c>
      <c r="G88" s="45">
        <v>0</v>
      </c>
      <c r="H88" s="45">
        <v>0</v>
      </c>
      <c r="I88" s="45">
        <v>0</v>
      </c>
      <c r="J88" s="45">
        <v>523</v>
      </c>
      <c r="K88" s="45">
        <v>0</v>
      </c>
      <c r="L88" s="45">
        <v>0</v>
      </c>
      <c r="M88" s="45">
        <v>0</v>
      </c>
      <c r="N88" s="45">
        <f t="shared" si="12"/>
        <v>831518</v>
      </c>
      <c r="O88" s="46">
        <f t="shared" si="11"/>
        <v>0.61466576286020735</v>
      </c>
      <c r="P88" s="9"/>
    </row>
    <row r="89" spans="1:16">
      <c r="A89" s="11"/>
      <c r="B89" s="24">
        <v>344.9</v>
      </c>
      <c r="C89" s="19" t="s">
        <v>222</v>
      </c>
      <c r="D89" s="45">
        <v>982411</v>
      </c>
      <c r="E89" s="45">
        <v>3146678</v>
      </c>
      <c r="F89" s="45">
        <v>0</v>
      </c>
      <c r="G89" s="45">
        <v>0</v>
      </c>
      <c r="H89" s="45">
        <v>0</v>
      </c>
      <c r="I89" s="45">
        <v>0</v>
      </c>
      <c r="J89" s="45">
        <v>0</v>
      </c>
      <c r="K89" s="45">
        <v>0</v>
      </c>
      <c r="L89" s="45">
        <v>0</v>
      </c>
      <c r="M89" s="45">
        <v>0</v>
      </c>
      <c r="N89" s="45">
        <f t="shared" si="12"/>
        <v>4129089</v>
      </c>
      <c r="O89" s="46">
        <f t="shared" si="11"/>
        <v>3.0522606126418079</v>
      </c>
      <c r="P89" s="9"/>
    </row>
    <row r="90" spans="1:16">
      <c r="A90" s="11"/>
      <c r="B90" s="24">
        <v>345.1</v>
      </c>
      <c r="C90" s="19" t="s">
        <v>99</v>
      </c>
      <c r="D90" s="45">
        <v>0</v>
      </c>
      <c r="E90" s="45">
        <v>0</v>
      </c>
      <c r="F90" s="45">
        <v>0</v>
      </c>
      <c r="G90" s="45">
        <v>0</v>
      </c>
      <c r="H90" s="45">
        <v>0</v>
      </c>
      <c r="I90" s="45">
        <v>0</v>
      </c>
      <c r="J90" s="45">
        <v>0</v>
      </c>
      <c r="K90" s="45">
        <v>0</v>
      </c>
      <c r="L90" s="45">
        <v>0</v>
      </c>
      <c r="M90" s="45">
        <v>469793</v>
      </c>
      <c r="N90" s="45">
        <f t="shared" si="12"/>
        <v>469793</v>
      </c>
      <c r="O90" s="46">
        <f t="shared" si="11"/>
        <v>0.3472753118169245</v>
      </c>
      <c r="P90" s="9"/>
    </row>
    <row r="91" spans="1:16">
      <c r="A91" s="11"/>
      <c r="B91" s="24">
        <v>345.9</v>
      </c>
      <c r="C91" s="19" t="s">
        <v>100</v>
      </c>
      <c r="D91" s="45">
        <v>116510</v>
      </c>
      <c r="E91" s="45">
        <v>0</v>
      </c>
      <c r="F91" s="45">
        <v>0</v>
      </c>
      <c r="G91" s="45">
        <v>0</v>
      </c>
      <c r="H91" s="45">
        <v>0</v>
      </c>
      <c r="I91" s="45">
        <v>0</v>
      </c>
      <c r="J91" s="45">
        <v>0</v>
      </c>
      <c r="K91" s="45">
        <v>0</v>
      </c>
      <c r="L91" s="45">
        <v>0</v>
      </c>
      <c r="M91" s="45">
        <v>0</v>
      </c>
      <c r="N91" s="45">
        <f t="shared" si="12"/>
        <v>116510</v>
      </c>
      <c r="O91" s="46">
        <f t="shared" si="11"/>
        <v>8.6125264914100191E-2</v>
      </c>
      <c r="P91" s="9"/>
    </row>
    <row r="92" spans="1:16">
      <c r="A92" s="11"/>
      <c r="B92" s="24">
        <v>346.4</v>
      </c>
      <c r="C92" s="19" t="s">
        <v>101</v>
      </c>
      <c r="D92" s="45">
        <v>314794</v>
      </c>
      <c r="E92" s="45">
        <v>0</v>
      </c>
      <c r="F92" s="45">
        <v>0</v>
      </c>
      <c r="G92" s="45">
        <v>0</v>
      </c>
      <c r="H92" s="45">
        <v>0</v>
      </c>
      <c r="I92" s="45">
        <v>0</v>
      </c>
      <c r="J92" s="45">
        <v>0</v>
      </c>
      <c r="K92" s="45">
        <v>0</v>
      </c>
      <c r="L92" s="45">
        <v>0</v>
      </c>
      <c r="M92" s="45">
        <v>0</v>
      </c>
      <c r="N92" s="45">
        <f t="shared" si="12"/>
        <v>314794</v>
      </c>
      <c r="O92" s="46">
        <f t="shared" si="11"/>
        <v>0.2326986236663742</v>
      </c>
      <c r="P92" s="9"/>
    </row>
    <row r="93" spans="1:16">
      <c r="A93" s="11"/>
      <c r="B93" s="24">
        <v>346.9</v>
      </c>
      <c r="C93" s="19" t="s">
        <v>102</v>
      </c>
      <c r="D93" s="45">
        <v>43798</v>
      </c>
      <c r="E93" s="45">
        <v>1610</v>
      </c>
      <c r="F93" s="45">
        <v>0</v>
      </c>
      <c r="G93" s="45">
        <v>0</v>
      </c>
      <c r="H93" s="45">
        <v>0</v>
      </c>
      <c r="I93" s="45">
        <v>0</v>
      </c>
      <c r="J93" s="45">
        <v>21799119</v>
      </c>
      <c r="K93" s="45">
        <v>0</v>
      </c>
      <c r="L93" s="45">
        <v>0</v>
      </c>
      <c r="M93" s="45">
        <v>0</v>
      </c>
      <c r="N93" s="45">
        <f t="shared" si="12"/>
        <v>21844527</v>
      </c>
      <c r="O93" s="46">
        <f t="shared" si="11"/>
        <v>16.147675519682554</v>
      </c>
      <c r="P93" s="9"/>
    </row>
    <row r="94" spans="1:16">
      <c r="A94" s="11"/>
      <c r="B94" s="24">
        <v>347.1</v>
      </c>
      <c r="C94" s="19" t="s">
        <v>103</v>
      </c>
      <c r="D94" s="45">
        <v>0</v>
      </c>
      <c r="E94" s="45">
        <v>37484</v>
      </c>
      <c r="F94" s="45">
        <v>0</v>
      </c>
      <c r="G94" s="45">
        <v>0</v>
      </c>
      <c r="H94" s="45">
        <v>0</v>
      </c>
      <c r="I94" s="45">
        <v>0</v>
      </c>
      <c r="J94" s="45">
        <v>0</v>
      </c>
      <c r="K94" s="45">
        <v>0</v>
      </c>
      <c r="L94" s="45">
        <v>0</v>
      </c>
      <c r="M94" s="45">
        <v>0</v>
      </c>
      <c r="N94" s="45">
        <f t="shared" si="12"/>
        <v>37484</v>
      </c>
      <c r="O94" s="46">
        <f t="shared" si="11"/>
        <v>2.770851798163361E-2</v>
      </c>
      <c r="P94" s="9"/>
    </row>
    <row r="95" spans="1:16">
      <c r="A95" s="11"/>
      <c r="B95" s="24">
        <v>347.2</v>
      </c>
      <c r="C95" s="19" t="s">
        <v>104</v>
      </c>
      <c r="D95" s="45">
        <v>3330028</v>
      </c>
      <c r="E95" s="45">
        <v>0</v>
      </c>
      <c r="F95" s="45">
        <v>0</v>
      </c>
      <c r="G95" s="45">
        <v>0</v>
      </c>
      <c r="H95" s="45">
        <v>0</v>
      </c>
      <c r="I95" s="45">
        <v>0</v>
      </c>
      <c r="J95" s="45">
        <v>0</v>
      </c>
      <c r="K95" s="45">
        <v>0</v>
      </c>
      <c r="L95" s="45">
        <v>0</v>
      </c>
      <c r="M95" s="45">
        <v>0</v>
      </c>
      <c r="N95" s="45">
        <f t="shared" si="12"/>
        <v>3330028</v>
      </c>
      <c r="O95" s="46">
        <f t="shared" si="11"/>
        <v>2.4615873630707341</v>
      </c>
      <c r="P95" s="9"/>
    </row>
    <row r="96" spans="1:16">
      <c r="A96" s="11"/>
      <c r="B96" s="24">
        <v>347.4</v>
      </c>
      <c r="C96" s="19" t="s">
        <v>105</v>
      </c>
      <c r="D96" s="45">
        <v>31438</v>
      </c>
      <c r="E96" s="45">
        <v>1350</v>
      </c>
      <c r="F96" s="45">
        <v>408727</v>
      </c>
      <c r="G96" s="45">
        <v>0</v>
      </c>
      <c r="H96" s="45">
        <v>0</v>
      </c>
      <c r="I96" s="45">
        <v>0</v>
      </c>
      <c r="J96" s="45">
        <v>0</v>
      </c>
      <c r="K96" s="45">
        <v>0</v>
      </c>
      <c r="L96" s="45">
        <v>0</v>
      </c>
      <c r="M96" s="45">
        <v>0</v>
      </c>
      <c r="N96" s="45">
        <f t="shared" si="12"/>
        <v>441515</v>
      </c>
      <c r="O96" s="46">
        <f t="shared" si="11"/>
        <v>0.32637195381125178</v>
      </c>
      <c r="P96" s="9"/>
    </row>
    <row r="97" spans="1:16">
      <c r="A97" s="11"/>
      <c r="B97" s="24">
        <v>347.5</v>
      </c>
      <c r="C97" s="19" t="s">
        <v>106</v>
      </c>
      <c r="D97" s="45">
        <v>317589</v>
      </c>
      <c r="E97" s="45">
        <v>0</v>
      </c>
      <c r="F97" s="45">
        <v>0</v>
      </c>
      <c r="G97" s="45">
        <v>0</v>
      </c>
      <c r="H97" s="45">
        <v>0</v>
      </c>
      <c r="I97" s="45">
        <v>0</v>
      </c>
      <c r="J97" s="45">
        <v>0</v>
      </c>
      <c r="K97" s="45">
        <v>0</v>
      </c>
      <c r="L97" s="45">
        <v>0</v>
      </c>
      <c r="M97" s="45">
        <v>0</v>
      </c>
      <c r="N97" s="45">
        <f t="shared" si="12"/>
        <v>317589</v>
      </c>
      <c r="O97" s="46">
        <f t="shared" si="11"/>
        <v>0.23476471340489372</v>
      </c>
      <c r="P97" s="9"/>
    </row>
    <row r="98" spans="1:16">
      <c r="A98" s="11"/>
      <c r="B98" s="24">
        <v>347.9</v>
      </c>
      <c r="C98" s="19" t="s">
        <v>107</v>
      </c>
      <c r="D98" s="45">
        <v>43906</v>
      </c>
      <c r="E98" s="45">
        <v>0</v>
      </c>
      <c r="F98" s="45">
        <v>0</v>
      </c>
      <c r="G98" s="45">
        <v>0</v>
      </c>
      <c r="H98" s="45">
        <v>0</v>
      </c>
      <c r="I98" s="45">
        <v>0</v>
      </c>
      <c r="J98" s="45">
        <v>0</v>
      </c>
      <c r="K98" s="45">
        <v>0</v>
      </c>
      <c r="L98" s="45">
        <v>0</v>
      </c>
      <c r="M98" s="45">
        <v>0</v>
      </c>
      <c r="N98" s="45">
        <f t="shared" si="12"/>
        <v>43906</v>
      </c>
      <c r="O98" s="46">
        <f t="shared" si="11"/>
        <v>3.2455719520371497E-2</v>
      </c>
      <c r="P98" s="9"/>
    </row>
    <row r="99" spans="1:16">
      <c r="A99" s="11"/>
      <c r="B99" s="24">
        <v>348.11</v>
      </c>
      <c r="C99" s="19" t="s">
        <v>244</v>
      </c>
      <c r="D99" s="45">
        <v>0</v>
      </c>
      <c r="E99" s="45">
        <v>51573</v>
      </c>
      <c r="F99" s="45">
        <v>0</v>
      </c>
      <c r="G99" s="45">
        <v>0</v>
      </c>
      <c r="H99" s="45">
        <v>0</v>
      </c>
      <c r="I99" s="45">
        <v>0</v>
      </c>
      <c r="J99" s="45">
        <v>0</v>
      </c>
      <c r="K99" s="45">
        <v>0</v>
      </c>
      <c r="L99" s="45">
        <v>0</v>
      </c>
      <c r="M99" s="45">
        <v>0</v>
      </c>
      <c r="N99" s="45">
        <f>SUM(D99:M99)</f>
        <v>51573</v>
      </c>
      <c r="O99" s="46">
        <f t="shared" si="11"/>
        <v>3.8123236524031323E-2</v>
      </c>
      <c r="P99" s="9"/>
    </row>
    <row r="100" spans="1:16">
      <c r="A100" s="11"/>
      <c r="B100" s="24">
        <v>348.12</v>
      </c>
      <c r="C100" s="19" t="s">
        <v>245</v>
      </c>
      <c r="D100" s="45">
        <v>0</v>
      </c>
      <c r="E100" s="45">
        <v>94336</v>
      </c>
      <c r="F100" s="45">
        <v>0</v>
      </c>
      <c r="G100" s="45">
        <v>0</v>
      </c>
      <c r="H100" s="45">
        <v>0</v>
      </c>
      <c r="I100" s="45">
        <v>0</v>
      </c>
      <c r="J100" s="45">
        <v>0</v>
      </c>
      <c r="K100" s="45">
        <v>0</v>
      </c>
      <c r="L100" s="45">
        <v>0</v>
      </c>
      <c r="M100" s="45">
        <v>0</v>
      </c>
      <c r="N100" s="45">
        <f t="shared" ref="N100:N114" si="13">SUM(D100:M100)</f>
        <v>94336</v>
      </c>
      <c r="O100" s="46">
        <f t="shared" si="11"/>
        <v>6.9734039918775692E-2</v>
      </c>
      <c r="P100" s="9"/>
    </row>
    <row r="101" spans="1:16">
      <c r="A101" s="11"/>
      <c r="B101" s="24">
        <v>348.13</v>
      </c>
      <c r="C101" s="19" t="s">
        <v>246</v>
      </c>
      <c r="D101" s="45">
        <v>0</v>
      </c>
      <c r="E101" s="45">
        <v>203836</v>
      </c>
      <c r="F101" s="45">
        <v>0</v>
      </c>
      <c r="G101" s="45">
        <v>0</v>
      </c>
      <c r="H101" s="45">
        <v>0</v>
      </c>
      <c r="I101" s="45">
        <v>0</v>
      </c>
      <c r="J101" s="45">
        <v>0</v>
      </c>
      <c r="K101" s="45">
        <v>0</v>
      </c>
      <c r="L101" s="45">
        <v>0</v>
      </c>
      <c r="M101" s="45">
        <v>0</v>
      </c>
      <c r="N101" s="45">
        <f t="shared" si="13"/>
        <v>203836</v>
      </c>
      <c r="O101" s="46">
        <f t="shared" ref="O101:O132" si="14">(N101/O$155)</f>
        <v>0.15067744827937968</v>
      </c>
      <c r="P101" s="9"/>
    </row>
    <row r="102" spans="1:16">
      <c r="A102" s="11"/>
      <c r="B102" s="24">
        <v>348.22</v>
      </c>
      <c r="C102" s="19" t="s">
        <v>247</v>
      </c>
      <c r="D102" s="45">
        <v>0</v>
      </c>
      <c r="E102" s="45">
        <v>96169</v>
      </c>
      <c r="F102" s="45">
        <v>0</v>
      </c>
      <c r="G102" s="45">
        <v>0</v>
      </c>
      <c r="H102" s="45">
        <v>0</v>
      </c>
      <c r="I102" s="45">
        <v>0</v>
      </c>
      <c r="J102" s="45">
        <v>0</v>
      </c>
      <c r="K102" s="45">
        <v>0</v>
      </c>
      <c r="L102" s="45">
        <v>0</v>
      </c>
      <c r="M102" s="45">
        <v>0</v>
      </c>
      <c r="N102" s="45">
        <f t="shared" si="13"/>
        <v>96169</v>
      </c>
      <c r="O102" s="46">
        <f t="shared" si="14"/>
        <v>7.1089010398455943E-2</v>
      </c>
      <c r="P102" s="9"/>
    </row>
    <row r="103" spans="1:16">
      <c r="A103" s="11"/>
      <c r="B103" s="24">
        <v>348.23</v>
      </c>
      <c r="C103" s="19" t="s">
        <v>248</v>
      </c>
      <c r="D103" s="45">
        <v>0</v>
      </c>
      <c r="E103" s="45">
        <v>398182</v>
      </c>
      <c r="F103" s="45">
        <v>0</v>
      </c>
      <c r="G103" s="45">
        <v>0</v>
      </c>
      <c r="H103" s="45">
        <v>0</v>
      </c>
      <c r="I103" s="45">
        <v>0</v>
      </c>
      <c r="J103" s="45">
        <v>0</v>
      </c>
      <c r="K103" s="45">
        <v>0</v>
      </c>
      <c r="L103" s="45">
        <v>0</v>
      </c>
      <c r="M103" s="45">
        <v>0</v>
      </c>
      <c r="N103" s="45">
        <f t="shared" si="13"/>
        <v>398182</v>
      </c>
      <c r="O103" s="46">
        <f t="shared" si="14"/>
        <v>0.29433980116750702</v>
      </c>
      <c r="P103" s="9"/>
    </row>
    <row r="104" spans="1:16">
      <c r="A104" s="11"/>
      <c r="B104" s="24">
        <v>348.31</v>
      </c>
      <c r="C104" s="19" t="s">
        <v>249</v>
      </c>
      <c r="D104" s="45">
        <v>0</v>
      </c>
      <c r="E104" s="45">
        <v>6575137</v>
      </c>
      <c r="F104" s="45">
        <v>0</v>
      </c>
      <c r="G104" s="45">
        <v>0</v>
      </c>
      <c r="H104" s="45">
        <v>0</v>
      </c>
      <c r="I104" s="45">
        <v>0</v>
      </c>
      <c r="J104" s="45">
        <v>0</v>
      </c>
      <c r="K104" s="45">
        <v>0</v>
      </c>
      <c r="L104" s="45">
        <v>0</v>
      </c>
      <c r="M104" s="45">
        <v>0</v>
      </c>
      <c r="N104" s="45">
        <f t="shared" si="13"/>
        <v>6575137</v>
      </c>
      <c r="O104" s="46">
        <f t="shared" si="14"/>
        <v>4.8604018193417042</v>
      </c>
      <c r="P104" s="9"/>
    </row>
    <row r="105" spans="1:16">
      <c r="A105" s="11"/>
      <c r="B105" s="24">
        <v>348.32</v>
      </c>
      <c r="C105" s="19" t="s">
        <v>250</v>
      </c>
      <c r="D105" s="45">
        <v>0</v>
      </c>
      <c r="E105" s="45">
        <v>145372</v>
      </c>
      <c r="F105" s="45">
        <v>0</v>
      </c>
      <c r="G105" s="45">
        <v>0</v>
      </c>
      <c r="H105" s="45">
        <v>0</v>
      </c>
      <c r="I105" s="45">
        <v>0</v>
      </c>
      <c r="J105" s="45">
        <v>0</v>
      </c>
      <c r="K105" s="45">
        <v>0</v>
      </c>
      <c r="L105" s="45">
        <v>0</v>
      </c>
      <c r="M105" s="45">
        <v>0</v>
      </c>
      <c r="N105" s="45">
        <f t="shared" si="13"/>
        <v>145372</v>
      </c>
      <c r="O105" s="46">
        <f t="shared" si="14"/>
        <v>0.10746032109769611</v>
      </c>
      <c r="P105" s="9"/>
    </row>
    <row r="106" spans="1:16">
      <c r="A106" s="11"/>
      <c r="B106" s="24">
        <v>348.41</v>
      </c>
      <c r="C106" s="19" t="s">
        <v>251</v>
      </c>
      <c r="D106" s="45">
        <v>0</v>
      </c>
      <c r="E106" s="45">
        <v>3481259</v>
      </c>
      <c r="F106" s="45">
        <v>0</v>
      </c>
      <c r="G106" s="45">
        <v>0</v>
      </c>
      <c r="H106" s="45">
        <v>0</v>
      </c>
      <c r="I106" s="45">
        <v>0</v>
      </c>
      <c r="J106" s="45">
        <v>0</v>
      </c>
      <c r="K106" s="45">
        <v>0</v>
      </c>
      <c r="L106" s="45">
        <v>0</v>
      </c>
      <c r="M106" s="45">
        <v>0</v>
      </c>
      <c r="N106" s="45">
        <f t="shared" si="13"/>
        <v>3481259</v>
      </c>
      <c r="O106" s="46">
        <f t="shared" si="14"/>
        <v>2.5733787109226292</v>
      </c>
      <c r="P106" s="9"/>
    </row>
    <row r="107" spans="1:16">
      <c r="A107" s="11"/>
      <c r="B107" s="24">
        <v>348.42</v>
      </c>
      <c r="C107" s="19" t="s">
        <v>252</v>
      </c>
      <c r="D107" s="45">
        <v>0</v>
      </c>
      <c r="E107" s="45">
        <v>3100775</v>
      </c>
      <c r="F107" s="45">
        <v>0</v>
      </c>
      <c r="G107" s="45">
        <v>0</v>
      </c>
      <c r="H107" s="45">
        <v>0</v>
      </c>
      <c r="I107" s="45">
        <v>0</v>
      </c>
      <c r="J107" s="45">
        <v>0</v>
      </c>
      <c r="K107" s="45">
        <v>0</v>
      </c>
      <c r="L107" s="45">
        <v>0</v>
      </c>
      <c r="M107" s="45">
        <v>0</v>
      </c>
      <c r="N107" s="45">
        <f t="shared" si="13"/>
        <v>3100775</v>
      </c>
      <c r="O107" s="46">
        <f t="shared" si="14"/>
        <v>2.2921214343319805</v>
      </c>
      <c r="P107" s="9"/>
    </row>
    <row r="108" spans="1:16">
      <c r="A108" s="11"/>
      <c r="B108" s="24">
        <v>348.51</v>
      </c>
      <c r="C108" s="19" t="s">
        <v>254</v>
      </c>
      <c r="D108" s="45">
        <v>0</v>
      </c>
      <c r="E108" s="45">
        <v>8485</v>
      </c>
      <c r="F108" s="45">
        <v>0</v>
      </c>
      <c r="G108" s="45">
        <v>0</v>
      </c>
      <c r="H108" s="45">
        <v>0</v>
      </c>
      <c r="I108" s="45">
        <v>0</v>
      </c>
      <c r="J108" s="45">
        <v>0</v>
      </c>
      <c r="K108" s="45">
        <v>0</v>
      </c>
      <c r="L108" s="45">
        <v>0</v>
      </c>
      <c r="M108" s="45">
        <v>0</v>
      </c>
      <c r="N108" s="45">
        <f t="shared" si="13"/>
        <v>8485</v>
      </c>
      <c r="O108" s="46">
        <f t="shared" si="14"/>
        <v>6.2721901364358439E-3</v>
      </c>
      <c r="P108" s="9"/>
    </row>
    <row r="109" spans="1:16">
      <c r="A109" s="11"/>
      <c r="B109" s="24">
        <v>348.52</v>
      </c>
      <c r="C109" s="19" t="s">
        <v>255</v>
      </c>
      <c r="D109" s="45">
        <v>0</v>
      </c>
      <c r="E109" s="45">
        <v>1596366</v>
      </c>
      <c r="F109" s="45">
        <v>0</v>
      </c>
      <c r="G109" s="45">
        <v>0</v>
      </c>
      <c r="H109" s="45">
        <v>0</v>
      </c>
      <c r="I109" s="45">
        <v>0</v>
      </c>
      <c r="J109" s="45">
        <v>0</v>
      </c>
      <c r="K109" s="45">
        <v>0</v>
      </c>
      <c r="L109" s="45">
        <v>0</v>
      </c>
      <c r="M109" s="45">
        <v>0</v>
      </c>
      <c r="N109" s="45">
        <f t="shared" si="13"/>
        <v>1596366</v>
      </c>
      <c r="O109" s="46">
        <f t="shared" si="14"/>
        <v>1.1800484477715429</v>
      </c>
      <c r="P109" s="9"/>
    </row>
    <row r="110" spans="1:16">
      <c r="A110" s="11"/>
      <c r="B110" s="24">
        <v>348.53</v>
      </c>
      <c r="C110" s="19" t="s">
        <v>256</v>
      </c>
      <c r="D110" s="45">
        <v>0</v>
      </c>
      <c r="E110" s="45">
        <v>3648432</v>
      </c>
      <c r="F110" s="45">
        <v>0</v>
      </c>
      <c r="G110" s="45">
        <v>0</v>
      </c>
      <c r="H110" s="45">
        <v>0</v>
      </c>
      <c r="I110" s="45">
        <v>0</v>
      </c>
      <c r="J110" s="45">
        <v>0</v>
      </c>
      <c r="K110" s="45">
        <v>0</v>
      </c>
      <c r="L110" s="45">
        <v>0</v>
      </c>
      <c r="M110" s="45">
        <v>0</v>
      </c>
      <c r="N110" s="45">
        <f t="shared" si="13"/>
        <v>3648432</v>
      </c>
      <c r="O110" s="46">
        <f t="shared" si="14"/>
        <v>2.6969545319807775</v>
      </c>
      <c r="P110" s="9"/>
    </row>
    <row r="111" spans="1:16">
      <c r="A111" s="11"/>
      <c r="B111" s="24">
        <v>348.61</v>
      </c>
      <c r="C111" s="19" t="s">
        <v>257</v>
      </c>
      <c r="D111" s="45">
        <v>0</v>
      </c>
      <c r="E111" s="45">
        <v>45045</v>
      </c>
      <c r="F111" s="45">
        <v>0</v>
      </c>
      <c r="G111" s="45">
        <v>0</v>
      </c>
      <c r="H111" s="45">
        <v>0</v>
      </c>
      <c r="I111" s="45">
        <v>0</v>
      </c>
      <c r="J111" s="45">
        <v>0</v>
      </c>
      <c r="K111" s="45">
        <v>0</v>
      </c>
      <c r="L111" s="45">
        <v>0</v>
      </c>
      <c r="M111" s="45">
        <v>0</v>
      </c>
      <c r="N111" s="45">
        <f t="shared" si="13"/>
        <v>45045</v>
      </c>
      <c r="O111" s="46">
        <f t="shared" si="14"/>
        <v>3.3297678809163532E-2</v>
      </c>
      <c r="P111" s="9"/>
    </row>
    <row r="112" spans="1:16">
      <c r="A112" s="11"/>
      <c r="B112" s="24">
        <v>348.62</v>
      </c>
      <c r="C112" s="19" t="s">
        <v>258</v>
      </c>
      <c r="D112" s="45">
        <v>0</v>
      </c>
      <c r="E112" s="45">
        <v>14986</v>
      </c>
      <c r="F112" s="45">
        <v>0</v>
      </c>
      <c r="G112" s="45">
        <v>0</v>
      </c>
      <c r="H112" s="45">
        <v>0</v>
      </c>
      <c r="I112" s="45">
        <v>0</v>
      </c>
      <c r="J112" s="45">
        <v>0</v>
      </c>
      <c r="K112" s="45">
        <v>0</v>
      </c>
      <c r="L112" s="45">
        <v>0</v>
      </c>
      <c r="M112" s="45">
        <v>0</v>
      </c>
      <c r="N112" s="45">
        <f t="shared" si="13"/>
        <v>14986</v>
      </c>
      <c r="O112" s="46">
        <f t="shared" si="14"/>
        <v>1.1077789202666772E-2</v>
      </c>
      <c r="P112" s="9"/>
    </row>
    <row r="113" spans="1:16">
      <c r="A113" s="11"/>
      <c r="B113" s="24">
        <v>348.71</v>
      </c>
      <c r="C113" s="19" t="s">
        <v>259</v>
      </c>
      <c r="D113" s="45">
        <v>0</v>
      </c>
      <c r="E113" s="45">
        <v>679250</v>
      </c>
      <c r="F113" s="45">
        <v>0</v>
      </c>
      <c r="G113" s="45">
        <v>0</v>
      </c>
      <c r="H113" s="45">
        <v>0</v>
      </c>
      <c r="I113" s="45">
        <v>0</v>
      </c>
      <c r="J113" s="45">
        <v>0</v>
      </c>
      <c r="K113" s="45">
        <v>0</v>
      </c>
      <c r="L113" s="45">
        <v>0</v>
      </c>
      <c r="M113" s="45">
        <v>0</v>
      </c>
      <c r="N113" s="45">
        <f t="shared" si="13"/>
        <v>679250</v>
      </c>
      <c r="O113" s="46">
        <f t="shared" si="14"/>
        <v>0.50210785505881517</v>
      </c>
      <c r="P113" s="9"/>
    </row>
    <row r="114" spans="1:16">
      <c r="A114" s="11"/>
      <c r="B114" s="24">
        <v>348.72</v>
      </c>
      <c r="C114" s="19" t="s">
        <v>260</v>
      </c>
      <c r="D114" s="45">
        <v>0</v>
      </c>
      <c r="E114" s="45">
        <v>108537</v>
      </c>
      <c r="F114" s="45">
        <v>0</v>
      </c>
      <c r="G114" s="45">
        <v>0</v>
      </c>
      <c r="H114" s="45">
        <v>0</v>
      </c>
      <c r="I114" s="45">
        <v>0</v>
      </c>
      <c r="J114" s="45">
        <v>0</v>
      </c>
      <c r="K114" s="45">
        <v>0</v>
      </c>
      <c r="L114" s="45">
        <v>0</v>
      </c>
      <c r="M114" s="45">
        <v>0</v>
      </c>
      <c r="N114" s="45">
        <f t="shared" si="13"/>
        <v>108537</v>
      </c>
      <c r="O114" s="46">
        <f t="shared" si="14"/>
        <v>8.0231549892555945E-2</v>
      </c>
      <c r="P114" s="9"/>
    </row>
    <row r="115" spans="1:16">
      <c r="A115" s="11"/>
      <c r="B115" s="24">
        <v>348.88</v>
      </c>
      <c r="C115" s="19" t="s">
        <v>223</v>
      </c>
      <c r="D115" s="45">
        <v>80401</v>
      </c>
      <c r="E115" s="45">
        <v>0</v>
      </c>
      <c r="F115" s="45">
        <v>0</v>
      </c>
      <c r="G115" s="45">
        <v>0</v>
      </c>
      <c r="H115" s="45">
        <v>0</v>
      </c>
      <c r="I115" s="45">
        <v>0</v>
      </c>
      <c r="J115" s="45">
        <v>0</v>
      </c>
      <c r="K115" s="45">
        <v>0</v>
      </c>
      <c r="L115" s="45">
        <v>0</v>
      </c>
      <c r="M115" s="45">
        <v>0</v>
      </c>
      <c r="N115" s="45">
        <f t="shared" si="12"/>
        <v>80401</v>
      </c>
      <c r="O115" s="46">
        <f t="shared" si="14"/>
        <v>5.9433159594528967E-2</v>
      </c>
      <c r="P115" s="9"/>
    </row>
    <row r="116" spans="1:16">
      <c r="A116" s="11"/>
      <c r="B116" s="24">
        <v>348.92099999999999</v>
      </c>
      <c r="C116" s="19" t="s">
        <v>224</v>
      </c>
      <c r="D116" s="45">
        <v>0</v>
      </c>
      <c r="E116" s="45">
        <v>293736</v>
      </c>
      <c r="F116" s="45">
        <v>0</v>
      </c>
      <c r="G116" s="45">
        <v>0</v>
      </c>
      <c r="H116" s="45">
        <v>0</v>
      </c>
      <c r="I116" s="45">
        <v>0</v>
      </c>
      <c r="J116" s="45">
        <v>0</v>
      </c>
      <c r="K116" s="45">
        <v>0</v>
      </c>
      <c r="L116" s="45">
        <v>0</v>
      </c>
      <c r="M116" s="45">
        <v>0</v>
      </c>
      <c r="N116" s="45">
        <f t="shared" si="12"/>
        <v>293736</v>
      </c>
      <c r="O116" s="46">
        <f t="shared" si="14"/>
        <v>0.21713235614803994</v>
      </c>
      <c r="P116" s="9"/>
    </row>
    <row r="117" spans="1:16">
      <c r="A117" s="11"/>
      <c r="B117" s="24">
        <v>348.92200000000003</v>
      </c>
      <c r="C117" s="19" t="s">
        <v>225</v>
      </c>
      <c r="D117" s="45">
        <v>0</v>
      </c>
      <c r="E117" s="45">
        <v>293736</v>
      </c>
      <c r="F117" s="45">
        <v>0</v>
      </c>
      <c r="G117" s="45">
        <v>0</v>
      </c>
      <c r="H117" s="45">
        <v>0</v>
      </c>
      <c r="I117" s="45">
        <v>0</v>
      </c>
      <c r="J117" s="45">
        <v>0</v>
      </c>
      <c r="K117" s="45">
        <v>0</v>
      </c>
      <c r="L117" s="45">
        <v>0</v>
      </c>
      <c r="M117" s="45">
        <v>0</v>
      </c>
      <c r="N117" s="45">
        <f t="shared" si="12"/>
        <v>293736</v>
      </c>
      <c r="O117" s="46">
        <f t="shared" si="14"/>
        <v>0.21713235614803994</v>
      </c>
      <c r="P117" s="9"/>
    </row>
    <row r="118" spans="1:16">
      <c r="A118" s="11"/>
      <c r="B118" s="24">
        <v>348.923</v>
      </c>
      <c r="C118" s="19" t="s">
        <v>226</v>
      </c>
      <c r="D118" s="45">
        <v>0</v>
      </c>
      <c r="E118" s="45">
        <v>293736</v>
      </c>
      <c r="F118" s="45">
        <v>0</v>
      </c>
      <c r="G118" s="45">
        <v>0</v>
      </c>
      <c r="H118" s="45">
        <v>0</v>
      </c>
      <c r="I118" s="45">
        <v>0</v>
      </c>
      <c r="J118" s="45">
        <v>0</v>
      </c>
      <c r="K118" s="45">
        <v>0</v>
      </c>
      <c r="L118" s="45">
        <v>0</v>
      </c>
      <c r="M118" s="45">
        <v>0</v>
      </c>
      <c r="N118" s="45">
        <f t="shared" si="12"/>
        <v>293736</v>
      </c>
      <c r="O118" s="46">
        <f t="shared" si="14"/>
        <v>0.21713235614803994</v>
      </c>
      <c r="P118" s="9"/>
    </row>
    <row r="119" spans="1:16">
      <c r="A119" s="11"/>
      <c r="B119" s="24">
        <v>348.92399999999998</v>
      </c>
      <c r="C119" s="19" t="s">
        <v>227</v>
      </c>
      <c r="D119" s="45">
        <v>0</v>
      </c>
      <c r="E119" s="45">
        <v>293736</v>
      </c>
      <c r="F119" s="45">
        <v>0</v>
      </c>
      <c r="G119" s="45">
        <v>0</v>
      </c>
      <c r="H119" s="45">
        <v>0</v>
      </c>
      <c r="I119" s="45">
        <v>0</v>
      </c>
      <c r="J119" s="45">
        <v>0</v>
      </c>
      <c r="K119" s="45">
        <v>0</v>
      </c>
      <c r="L119" s="45">
        <v>0</v>
      </c>
      <c r="M119" s="45">
        <v>0</v>
      </c>
      <c r="N119" s="45">
        <f t="shared" si="12"/>
        <v>293736</v>
      </c>
      <c r="O119" s="46">
        <f t="shared" si="14"/>
        <v>0.21713235614803994</v>
      </c>
      <c r="P119" s="9"/>
    </row>
    <row r="120" spans="1:16">
      <c r="A120" s="11"/>
      <c r="B120" s="24">
        <v>348.93</v>
      </c>
      <c r="C120" s="19" t="s">
        <v>228</v>
      </c>
      <c r="D120" s="45">
        <v>2216</v>
      </c>
      <c r="E120" s="45">
        <v>2195208</v>
      </c>
      <c r="F120" s="45">
        <v>0</v>
      </c>
      <c r="G120" s="45">
        <v>0</v>
      </c>
      <c r="H120" s="45">
        <v>0</v>
      </c>
      <c r="I120" s="45">
        <v>0</v>
      </c>
      <c r="J120" s="45">
        <v>0</v>
      </c>
      <c r="K120" s="45">
        <v>0</v>
      </c>
      <c r="L120" s="45">
        <v>0</v>
      </c>
      <c r="M120" s="45">
        <v>0</v>
      </c>
      <c r="N120" s="45">
        <f t="shared" si="12"/>
        <v>2197424</v>
      </c>
      <c r="O120" s="46">
        <f t="shared" si="14"/>
        <v>1.624356056378008</v>
      </c>
      <c r="P120" s="9"/>
    </row>
    <row r="121" spans="1:16">
      <c r="A121" s="11"/>
      <c r="B121" s="24">
        <v>348.93200000000002</v>
      </c>
      <c r="C121" s="19" t="s">
        <v>229</v>
      </c>
      <c r="D121" s="45">
        <v>45872</v>
      </c>
      <c r="E121" s="45">
        <v>0</v>
      </c>
      <c r="F121" s="45">
        <v>0</v>
      </c>
      <c r="G121" s="45">
        <v>0</v>
      </c>
      <c r="H121" s="45">
        <v>0</v>
      </c>
      <c r="I121" s="45">
        <v>0</v>
      </c>
      <c r="J121" s="45">
        <v>0</v>
      </c>
      <c r="K121" s="45">
        <v>0</v>
      </c>
      <c r="L121" s="45">
        <v>0</v>
      </c>
      <c r="M121" s="45">
        <v>0</v>
      </c>
      <c r="N121" s="45">
        <f t="shared" si="12"/>
        <v>45872</v>
      </c>
      <c r="O121" s="46">
        <f t="shared" si="14"/>
        <v>3.3909004824818505E-2</v>
      </c>
      <c r="P121" s="9"/>
    </row>
    <row r="122" spans="1:16">
      <c r="A122" s="11"/>
      <c r="B122" s="24">
        <v>348.99</v>
      </c>
      <c r="C122" s="19" t="s">
        <v>231</v>
      </c>
      <c r="D122" s="45">
        <v>0</v>
      </c>
      <c r="E122" s="45">
        <v>2892731</v>
      </c>
      <c r="F122" s="45">
        <v>0</v>
      </c>
      <c r="G122" s="45">
        <v>0</v>
      </c>
      <c r="H122" s="45">
        <v>0</v>
      </c>
      <c r="I122" s="45">
        <v>0</v>
      </c>
      <c r="J122" s="45">
        <v>0</v>
      </c>
      <c r="K122" s="45">
        <v>0</v>
      </c>
      <c r="L122" s="45">
        <v>0</v>
      </c>
      <c r="M122" s="45">
        <v>0</v>
      </c>
      <c r="N122" s="45">
        <f t="shared" si="12"/>
        <v>2892731</v>
      </c>
      <c r="O122" s="46">
        <f t="shared" si="14"/>
        <v>2.1383333937020854</v>
      </c>
      <c r="P122" s="9"/>
    </row>
    <row r="123" spans="1:16">
      <c r="A123" s="11"/>
      <c r="B123" s="24">
        <v>349</v>
      </c>
      <c r="C123" s="19" t="s">
        <v>1</v>
      </c>
      <c r="D123" s="45">
        <v>18978770</v>
      </c>
      <c r="E123" s="45">
        <v>131385</v>
      </c>
      <c r="F123" s="45">
        <v>0</v>
      </c>
      <c r="G123" s="45">
        <v>0</v>
      </c>
      <c r="H123" s="45">
        <v>0</v>
      </c>
      <c r="I123" s="45">
        <v>0</v>
      </c>
      <c r="J123" s="45">
        <v>0</v>
      </c>
      <c r="K123" s="45">
        <v>0</v>
      </c>
      <c r="L123" s="45">
        <v>0</v>
      </c>
      <c r="M123" s="45">
        <v>0</v>
      </c>
      <c r="N123" s="45">
        <f t="shared" si="12"/>
        <v>19110155</v>
      </c>
      <c r="O123" s="46">
        <f t="shared" si="14"/>
        <v>14.126402557072495</v>
      </c>
      <c r="P123" s="9"/>
    </row>
    <row r="124" spans="1:16" ht="15.75">
      <c r="A124" s="28" t="s">
        <v>76</v>
      </c>
      <c r="B124" s="29"/>
      <c r="C124" s="30"/>
      <c r="D124" s="31">
        <f t="shared" ref="D124:M124" si="15">SUM(D125:D135)</f>
        <v>8007711</v>
      </c>
      <c r="E124" s="31">
        <f t="shared" si="15"/>
        <v>8471303</v>
      </c>
      <c r="F124" s="31">
        <f t="shared" si="15"/>
        <v>0</v>
      </c>
      <c r="G124" s="31">
        <f t="shared" si="15"/>
        <v>0</v>
      </c>
      <c r="H124" s="31">
        <f t="shared" si="15"/>
        <v>0</v>
      </c>
      <c r="I124" s="31">
        <f t="shared" si="15"/>
        <v>96</v>
      </c>
      <c r="J124" s="31">
        <f t="shared" si="15"/>
        <v>123</v>
      </c>
      <c r="K124" s="31">
        <f t="shared" si="15"/>
        <v>0</v>
      </c>
      <c r="L124" s="31">
        <f t="shared" si="15"/>
        <v>0</v>
      </c>
      <c r="M124" s="31">
        <f t="shared" si="15"/>
        <v>0</v>
      </c>
      <c r="N124" s="31">
        <f>SUM(D124:M124)</f>
        <v>16479233</v>
      </c>
      <c r="O124" s="44">
        <f t="shared" si="14"/>
        <v>12.181600787109966</v>
      </c>
      <c r="P124" s="10"/>
    </row>
    <row r="125" spans="1:16">
      <c r="A125" s="12"/>
      <c r="B125" s="38">
        <v>351.1</v>
      </c>
      <c r="C125" s="20" t="s">
        <v>134</v>
      </c>
      <c r="D125" s="45">
        <v>0</v>
      </c>
      <c r="E125" s="45">
        <v>294580</v>
      </c>
      <c r="F125" s="45">
        <v>0</v>
      </c>
      <c r="G125" s="45">
        <v>0</v>
      </c>
      <c r="H125" s="45">
        <v>0</v>
      </c>
      <c r="I125" s="45">
        <v>0</v>
      </c>
      <c r="J125" s="45">
        <v>0</v>
      </c>
      <c r="K125" s="45">
        <v>0</v>
      </c>
      <c r="L125" s="45">
        <v>0</v>
      </c>
      <c r="M125" s="45">
        <v>0</v>
      </c>
      <c r="N125" s="45">
        <f>SUM(D125:M125)</f>
        <v>294580</v>
      </c>
      <c r="O125" s="46">
        <f t="shared" si="14"/>
        <v>0.21775624872024404</v>
      </c>
      <c r="P125" s="9"/>
    </row>
    <row r="126" spans="1:16">
      <c r="A126" s="12"/>
      <c r="B126" s="38">
        <v>351.2</v>
      </c>
      <c r="C126" s="20" t="s">
        <v>136</v>
      </c>
      <c r="D126" s="45">
        <v>0</v>
      </c>
      <c r="E126" s="45">
        <v>203252</v>
      </c>
      <c r="F126" s="45">
        <v>0</v>
      </c>
      <c r="G126" s="45">
        <v>0</v>
      </c>
      <c r="H126" s="45">
        <v>0</v>
      </c>
      <c r="I126" s="45">
        <v>0</v>
      </c>
      <c r="J126" s="45">
        <v>0</v>
      </c>
      <c r="K126" s="45">
        <v>0</v>
      </c>
      <c r="L126" s="45">
        <v>0</v>
      </c>
      <c r="M126" s="45">
        <v>0</v>
      </c>
      <c r="N126" s="45">
        <f t="shared" ref="N126:N135" si="16">SUM(D126:M126)</f>
        <v>203252</v>
      </c>
      <c r="O126" s="46">
        <f t="shared" si="14"/>
        <v>0.15024575010145647</v>
      </c>
      <c r="P126" s="9"/>
    </row>
    <row r="127" spans="1:16">
      <c r="A127" s="12"/>
      <c r="B127" s="38">
        <v>351.5</v>
      </c>
      <c r="C127" s="20" t="s">
        <v>137</v>
      </c>
      <c r="D127" s="45">
        <v>415047</v>
      </c>
      <c r="E127" s="45">
        <v>3363790</v>
      </c>
      <c r="F127" s="45">
        <v>0</v>
      </c>
      <c r="G127" s="45">
        <v>0</v>
      </c>
      <c r="H127" s="45">
        <v>0</v>
      </c>
      <c r="I127" s="45">
        <v>0</v>
      </c>
      <c r="J127" s="45">
        <v>0</v>
      </c>
      <c r="K127" s="45">
        <v>0</v>
      </c>
      <c r="L127" s="45">
        <v>0</v>
      </c>
      <c r="M127" s="45">
        <v>0</v>
      </c>
      <c r="N127" s="45">
        <f t="shared" si="16"/>
        <v>3778837</v>
      </c>
      <c r="O127" s="46">
        <f t="shared" si="14"/>
        <v>2.7933511088507736</v>
      </c>
      <c r="P127" s="9"/>
    </row>
    <row r="128" spans="1:16">
      <c r="A128" s="12"/>
      <c r="B128" s="38">
        <v>351.6</v>
      </c>
      <c r="C128" s="20" t="s">
        <v>277</v>
      </c>
      <c r="D128" s="45">
        <v>0</v>
      </c>
      <c r="E128" s="45">
        <v>235</v>
      </c>
      <c r="F128" s="45">
        <v>0</v>
      </c>
      <c r="G128" s="45">
        <v>0</v>
      </c>
      <c r="H128" s="45">
        <v>0</v>
      </c>
      <c r="I128" s="45">
        <v>0</v>
      </c>
      <c r="J128" s="45">
        <v>0</v>
      </c>
      <c r="K128" s="45">
        <v>0</v>
      </c>
      <c r="L128" s="45">
        <v>0</v>
      </c>
      <c r="M128" s="45">
        <v>0</v>
      </c>
      <c r="N128" s="45">
        <f t="shared" si="16"/>
        <v>235</v>
      </c>
      <c r="O128" s="46">
        <f t="shared" si="14"/>
        <v>1.7371416406157021E-4</v>
      </c>
      <c r="P128" s="9"/>
    </row>
    <row r="129" spans="1:16">
      <c r="A129" s="12"/>
      <c r="B129" s="38">
        <v>351.7</v>
      </c>
      <c r="C129" s="20" t="s">
        <v>232</v>
      </c>
      <c r="D129" s="45">
        <v>0</v>
      </c>
      <c r="E129" s="45">
        <v>678671</v>
      </c>
      <c r="F129" s="45">
        <v>0</v>
      </c>
      <c r="G129" s="45">
        <v>0</v>
      </c>
      <c r="H129" s="45">
        <v>0</v>
      </c>
      <c r="I129" s="45">
        <v>0</v>
      </c>
      <c r="J129" s="45">
        <v>0</v>
      </c>
      <c r="K129" s="45">
        <v>0</v>
      </c>
      <c r="L129" s="45">
        <v>0</v>
      </c>
      <c r="M129" s="45">
        <v>0</v>
      </c>
      <c r="N129" s="45">
        <f t="shared" si="16"/>
        <v>678671</v>
      </c>
      <c r="O129" s="46">
        <f t="shared" si="14"/>
        <v>0.50167985292693584</v>
      </c>
      <c r="P129" s="9"/>
    </row>
    <row r="130" spans="1:16">
      <c r="A130" s="12"/>
      <c r="B130" s="38">
        <v>351.8</v>
      </c>
      <c r="C130" s="20" t="s">
        <v>233</v>
      </c>
      <c r="D130" s="45">
        <v>0</v>
      </c>
      <c r="E130" s="45">
        <v>1298341</v>
      </c>
      <c r="F130" s="45">
        <v>0</v>
      </c>
      <c r="G130" s="45">
        <v>0</v>
      </c>
      <c r="H130" s="45">
        <v>0</v>
      </c>
      <c r="I130" s="45">
        <v>0</v>
      </c>
      <c r="J130" s="45">
        <v>0</v>
      </c>
      <c r="K130" s="45">
        <v>0</v>
      </c>
      <c r="L130" s="45">
        <v>0</v>
      </c>
      <c r="M130" s="45">
        <v>0</v>
      </c>
      <c r="N130" s="45">
        <f t="shared" si="16"/>
        <v>1298341</v>
      </c>
      <c r="O130" s="46">
        <f t="shared" si="14"/>
        <v>0.95974562332707714</v>
      </c>
      <c r="P130" s="9"/>
    </row>
    <row r="131" spans="1:16">
      <c r="A131" s="12"/>
      <c r="B131" s="38">
        <v>351.9</v>
      </c>
      <c r="C131" s="20" t="s">
        <v>234</v>
      </c>
      <c r="D131" s="45">
        <v>5</v>
      </c>
      <c r="E131" s="45">
        <v>1338587</v>
      </c>
      <c r="F131" s="45">
        <v>0</v>
      </c>
      <c r="G131" s="45">
        <v>0</v>
      </c>
      <c r="H131" s="45">
        <v>0</v>
      </c>
      <c r="I131" s="45">
        <v>0</v>
      </c>
      <c r="J131" s="45">
        <v>0</v>
      </c>
      <c r="K131" s="45">
        <v>0</v>
      </c>
      <c r="L131" s="45">
        <v>0</v>
      </c>
      <c r="M131" s="45">
        <v>0</v>
      </c>
      <c r="N131" s="45">
        <f t="shared" si="16"/>
        <v>1338592</v>
      </c>
      <c r="O131" s="46">
        <f t="shared" si="14"/>
        <v>0.98949953318938466</v>
      </c>
      <c r="P131" s="9"/>
    </row>
    <row r="132" spans="1:16">
      <c r="A132" s="12"/>
      <c r="B132" s="38">
        <v>352</v>
      </c>
      <c r="C132" s="20" t="s">
        <v>138</v>
      </c>
      <c r="D132" s="45">
        <v>0</v>
      </c>
      <c r="E132" s="45">
        <v>332337</v>
      </c>
      <c r="F132" s="45">
        <v>0</v>
      </c>
      <c r="G132" s="45">
        <v>0</v>
      </c>
      <c r="H132" s="45">
        <v>0</v>
      </c>
      <c r="I132" s="45">
        <v>0</v>
      </c>
      <c r="J132" s="45">
        <v>0</v>
      </c>
      <c r="K132" s="45">
        <v>0</v>
      </c>
      <c r="L132" s="45">
        <v>0</v>
      </c>
      <c r="M132" s="45">
        <v>0</v>
      </c>
      <c r="N132" s="45">
        <f t="shared" si="16"/>
        <v>332337</v>
      </c>
      <c r="O132" s="46">
        <f t="shared" si="14"/>
        <v>0.24566657081587259</v>
      </c>
      <c r="P132" s="9"/>
    </row>
    <row r="133" spans="1:16">
      <c r="A133" s="12"/>
      <c r="B133" s="38">
        <v>353</v>
      </c>
      <c r="C133" s="20" t="s">
        <v>139</v>
      </c>
      <c r="D133" s="45">
        <v>0</v>
      </c>
      <c r="E133" s="45">
        <v>64800</v>
      </c>
      <c r="F133" s="45">
        <v>0</v>
      </c>
      <c r="G133" s="45">
        <v>0</v>
      </c>
      <c r="H133" s="45">
        <v>0</v>
      </c>
      <c r="I133" s="45">
        <v>0</v>
      </c>
      <c r="J133" s="45">
        <v>0</v>
      </c>
      <c r="K133" s="45">
        <v>0</v>
      </c>
      <c r="L133" s="45">
        <v>0</v>
      </c>
      <c r="M133" s="45">
        <v>0</v>
      </c>
      <c r="N133" s="45">
        <f t="shared" si="16"/>
        <v>64800</v>
      </c>
      <c r="O133" s="46">
        <f t="shared" ref="O133:O153" si="17">(N133/O$155)</f>
        <v>4.7900756728467019E-2</v>
      </c>
      <c r="P133" s="9"/>
    </row>
    <row r="134" spans="1:16">
      <c r="A134" s="12"/>
      <c r="B134" s="38">
        <v>354</v>
      </c>
      <c r="C134" s="20" t="s">
        <v>140</v>
      </c>
      <c r="D134" s="45">
        <v>7544728</v>
      </c>
      <c r="E134" s="45">
        <v>180593</v>
      </c>
      <c r="F134" s="45">
        <v>0</v>
      </c>
      <c r="G134" s="45">
        <v>0</v>
      </c>
      <c r="H134" s="45">
        <v>0</v>
      </c>
      <c r="I134" s="45">
        <v>96</v>
      </c>
      <c r="J134" s="45">
        <v>123</v>
      </c>
      <c r="K134" s="45">
        <v>0</v>
      </c>
      <c r="L134" s="45">
        <v>0</v>
      </c>
      <c r="M134" s="45">
        <v>0</v>
      </c>
      <c r="N134" s="45">
        <f t="shared" si="16"/>
        <v>7725540</v>
      </c>
      <c r="O134" s="46">
        <f t="shared" si="17"/>
        <v>5.7107903107413751</v>
      </c>
      <c r="P134" s="9"/>
    </row>
    <row r="135" spans="1:16">
      <c r="A135" s="12"/>
      <c r="B135" s="38">
        <v>359</v>
      </c>
      <c r="C135" s="20" t="s">
        <v>141</v>
      </c>
      <c r="D135" s="45">
        <v>47931</v>
      </c>
      <c r="E135" s="45">
        <v>716117</v>
      </c>
      <c r="F135" s="45">
        <v>0</v>
      </c>
      <c r="G135" s="45">
        <v>0</v>
      </c>
      <c r="H135" s="45">
        <v>0</v>
      </c>
      <c r="I135" s="45">
        <v>0</v>
      </c>
      <c r="J135" s="45">
        <v>0</v>
      </c>
      <c r="K135" s="45">
        <v>0</v>
      </c>
      <c r="L135" s="45">
        <v>0</v>
      </c>
      <c r="M135" s="45">
        <v>0</v>
      </c>
      <c r="N135" s="45">
        <f t="shared" si="16"/>
        <v>764048</v>
      </c>
      <c r="O135" s="46">
        <f t="shared" si="17"/>
        <v>0.56479131754431744</v>
      </c>
      <c r="P135" s="9"/>
    </row>
    <row r="136" spans="1:16" ht="15.75">
      <c r="A136" s="28" t="s">
        <v>5</v>
      </c>
      <c r="B136" s="29"/>
      <c r="C136" s="30"/>
      <c r="D136" s="31">
        <f t="shared" ref="D136:M136" si="18">SUM(D137:D144)</f>
        <v>11194928</v>
      </c>
      <c r="E136" s="31">
        <f t="shared" si="18"/>
        <v>17433096</v>
      </c>
      <c r="F136" s="31">
        <f t="shared" si="18"/>
        <v>582379</v>
      </c>
      <c r="G136" s="31">
        <f t="shared" si="18"/>
        <v>1205569</v>
      </c>
      <c r="H136" s="31">
        <f t="shared" si="18"/>
        <v>0</v>
      </c>
      <c r="I136" s="31">
        <f t="shared" si="18"/>
        <v>3117465</v>
      </c>
      <c r="J136" s="31">
        <f t="shared" si="18"/>
        <v>1840246</v>
      </c>
      <c r="K136" s="31">
        <f t="shared" si="18"/>
        <v>0</v>
      </c>
      <c r="L136" s="31">
        <f t="shared" si="18"/>
        <v>0</v>
      </c>
      <c r="M136" s="31">
        <f t="shared" si="18"/>
        <v>556211</v>
      </c>
      <c r="N136" s="31">
        <f>SUM(D136:M136)</f>
        <v>35929894</v>
      </c>
      <c r="O136" s="44">
        <f t="shared" si="17"/>
        <v>26.559708515024798</v>
      </c>
      <c r="P136" s="10"/>
    </row>
    <row r="137" spans="1:16">
      <c r="A137" s="11"/>
      <c r="B137" s="24">
        <v>361.1</v>
      </c>
      <c r="C137" s="19" t="s">
        <v>142</v>
      </c>
      <c r="D137" s="45">
        <v>6454812</v>
      </c>
      <c r="E137" s="45">
        <v>3525796</v>
      </c>
      <c r="F137" s="45">
        <v>353533</v>
      </c>
      <c r="G137" s="45">
        <v>372769</v>
      </c>
      <c r="H137" s="45">
        <v>0</v>
      </c>
      <c r="I137" s="45">
        <v>0</v>
      </c>
      <c r="J137" s="45">
        <v>0</v>
      </c>
      <c r="K137" s="45">
        <v>0</v>
      </c>
      <c r="L137" s="45">
        <v>0</v>
      </c>
      <c r="M137" s="45">
        <v>81906</v>
      </c>
      <c r="N137" s="45">
        <f>SUM(D137:M137)</f>
        <v>10788816</v>
      </c>
      <c r="O137" s="46">
        <f t="shared" si="17"/>
        <v>7.9751921389535898</v>
      </c>
      <c r="P137" s="9"/>
    </row>
    <row r="138" spans="1:16">
      <c r="A138" s="11"/>
      <c r="B138" s="24">
        <v>361.4</v>
      </c>
      <c r="C138" s="19" t="s">
        <v>261</v>
      </c>
      <c r="D138" s="45">
        <v>0</v>
      </c>
      <c r="E138" s="45">
        <v>0</v>
      </c>
      <c r="F138" s="45">
        <v>0</v>
      </c>
      <c r="G138" s="45">
        <v>0</v>
      </c>
      <c r="H138" s="45">
        <v>0</v>
      </c>
      <c r="I138" s="45">
        <v>0</v>
      </c>
      <c r="J138" s="45">
        <v>0</v>
      </c>
      <c r="K138" s="45">
        <v>0</v>
      </c>
      <c r="L138" s="45">
        <v>0</v>
      </c>
      <c r="M138" s="45">
        <v>474305</v>
      </c>
      <c r="N138" s="45">
        <f t="shared" ref="N138:N144" si="19">SUM(D138:M138)</f>
        <v>474305</v>
      </c>
      <c r="O138" s="46">
        <f t="shared" si="17"/>
        <v>0.35061062376690666</v>
      </c>
      <c r="P138" s="9"/>
    </row>
    <row r="139" spans="1:16">
      <c r="A139" s="11"/>
      <c r="B139" s="24">
        <v>362</v>
      </c>
      <c r="C139" s="19" t="s">
        <v>145</v>
      </c>
      <c r="D139" s="45">
        <v>1357083</v>
      </c>
      <c r="E139" s="45">
        <v>7935</v>
      </c>
      <c r="F139" s="45">
        <v>228564</v>
      </c>
      <c r="G139" s="45">
        <v>188321</v>
      </c>
      <c r="H139" s="45">
        <v>0</v>
      </c>
      <c r="I139" s="45">
        <v>263718</v>
      </c>
      <c r="J139" s="45">
        <v>0</v>
      </c>
      <c r="K139" s="45">
        <v>0</v>
      </c>
      <c r="L139" s="45">
        <v>0</v>
      </c>
      <c r="M139" s="45">
        <v>0</v>
      </c>
      <c r="N139" s="45">
        <f t="shared" si="19"/>
        <v>2045621</v>
      </c>
      <c r="O139" s="46">
        <f t="shared" si="17"/>
        <v>1.5121418808586951</v>
      </c>
      <c r="P139" s="9"/>
    </row>
    <row r="140" spans="1:16">
      <c r="A140" s="11"/>
      <c r="B140" s="24">
        <v>364</v>
      </c>
      <c r="C140" s="19" t="s">
        <v>237</v>
      </c>
      <c r="D140" s="45">
        <v>930132</v>
      </c>
      <c r="E140" s="45">
        <v>84297</v>
      </c>
      <c r="F140" s="45">
        <v>0</v>
      </c>
      <c r="G140" s="45">
        <v>418300</v>
      </c>
      <c r="H140" s="45">
        <v>0</v>
      </c>
      <c r="I140" s="45">
        <v>1067699</v>
      </c>
      <c r="J140" s="45">
        <v>496568</v>
      </c>
      <c r="K140" s="45">
        <v>0</v>
      </c>
      <c r="L140" s="45">
        <v>0</v>
      </c>
      <c r="M140" s="45">
        <v>0</v>
      </c>
      <c r="N140" s="45">
        <f t="shared" si="19"/>
        <v>2996996</v>
      </c>
      <c r="O140" s="46">
        <f t="shared" si="17"/>
        <v>2.2154070418547644</v>
      </c>
      <c r="P140" s="9"/>
    </row>
    <row r="141" spans="1:16">
      <c r="A141" s="11"/>
      <c r="B141" s="24">
        <v>365</v>
      </c>
      <c r="C141" s="19" t="s">
        <v>238</v>
      </c>
      <c r="D141" s="45">
        <v>112420</v>
      </c>
      <c r="E141" s="45">
        <v>20953</v>
      </c>
      <c r="F141" s="45">
        <v>0</v>
      </c>
      <c r="G141" s="45">
        <v>0</v>
      </c>
      <c r="H141" s="45">
        <v>0</v>
      </c>
      <c r="I141" s="45">
        <v>23343</v>
      </c>
      <c r="J141" s="45">
        <v>10641</v>
      </c>
      <c r="K141" s="45">
        <v>0</v>
      </c>
      <c r="L141" s="45">
        <v>0</v>
      </c>
      <c r="M141" s="45">
        <v>0</v>
      </c>
      <c r="N141" s="45">
        <f t="shared" si="19"/>
        <v>167357</v>
      </c>
      <c r="O141" s="46">
        <f t="shared" si="17"/>
        <v>0.12371183555256259</v>
      </c>
      <c r="P141" s="9"/>
    </row>
    <row r="142" spans="1:16">
      <c r="A142" s="11"/>
      <c r="B142" s="24">
        <v>366</v>
      </c>
      <c r="C142" s="19" t="s">
        <v>148</v>
      </c>
      <c r="D142" s="45">
        <v>72705</v>
      </c>
      <c r="E142" s="45">
        <v>2639766</v>
      </c>
      <c r="F142" s="45">
        <v>0</v>
      </c>
      <c r="G142" s="45">
        <v>226179</v>
      </c>
      <c r="H142" s="45">
        <v>0</v>
      </c>
      <c r="I142" s="45">
        <v>0</v>
      </c>
      <c r="J142" s="45">
        <v>0</v>
      </c>
      <c r="K142" s="45">
        <v>0</v>
      </c>
      <c r="L142" s="45">
        <v>0</v>
      </c>
      <c r="M142" s="45">
        <v>0</v>
      </c>
      <c r="N142" s="45">
        <f t="shared" si="19"/>
        <v>2938650</v>
      </c>
      <c r="O142" s="46">
        <f t="shared" si="17"/>
        <v>2.1722771413597162</v>
      </c>
      <c r="P142" s="9"/>
    </row>
    <row r="143" spans="1:16">
      <c r="A143" s="11"/>
      <c r="B143" s="24">
        <v>369.3</v>
      </c>
      <c r="C143" s="19" t="s">
        <v>150</v>
      </c>
      <c r="D143" s="45">
        <v>166449</v>
      </c>
      <c r="E143" s="45">
        <v>872850</v>
      </c>
      <c r="F143" s="45">
        <v>0</v>
      </c>
      <c r="G143" s="45">
        <v>0</v>
      </c>
      <c r="H143" s="45">
        <v>0</v>
      </c>
      <c r="I143" s="45">
        <v>1104</v>
      </c>
      <c r="J143" s="45">
        <v>0</v>
      </c>
      <c r="K143" s="45">
        <v>0</v>
      </c>
      <c r="L143" s="45">
        <v>0</v>
      </c>
      <c r="M143" s="45">
        <v>0</v>
      </c>
      <c r="N143" s="45">
        <f t="shared" si="19"/>
        <v>1040403</v>
      </c>
      <c r="O143" s="46">
        <f t="shared" si="17"/>
        <v>0.76907547843468016</v>
      </c>
      <c r="P143" s="9"/>
    </row>
    <row r="144" spans="1:16">
      <c r="A144" s="11"/>
      <c r="B144" s="24">
        <v>369.9</v>
      </c>
      <c r="C144" s="19" t="s">
        <v>151</v>
      </c>
      <c r="D144" s="45">
        <v>2101327</v>
      </c>
      <c r="E144" s="45">
        <v>10281499</v>
      </c>
      <c r="F144" s="45">
        <v>282</v>
      </c>
      <c r="G144" s="45">
        <v>0</v>
      </c>
      <c r="H144" s="45">
        <v>0</v>
      </c>
      <c r="I144" s="45">
        <v>1761601</v>
      </c>
      <c r="J144" s="45">
        <v>1333037</v>
      </c>
      <c r="K144" s="45">
        <v>0</v>
      </c>
      <c r="L144" s="45">
        <v>0</v>
      </c>
      <c r="M144" s="45">
        <v>0</v>
      </c>
      <c r="N144" s="45">
        <f t="shared" si="19"/>
        <v>15477746</v>
      </c>
      <c r="O144" s="46">
        <f t="shared" si="17"/>
        <v>11.441292374243881</v>
      </c>
      <c r="P144" s="9"/>
    </row>
    <row r="145" spans="1:119" ht="15.75">
      <c r="A145" s="28" t="s">
        <v>77</v>
      </c>
      <c r="B145" s="29"/>
      <c r="C145" s="30"/>
      <c r="D145" s="31">
        <f t="shared" ref="D145:M145" si="20">SUM(D146:D152)</f>
        <v>648550070</v>
      </c>
      <c r="E145" s="31">
        <f t="shared" si="20"/>
        <v>96471673</v>
      </c>
      <c r="F145" s="31">
        <f t="shared" si="20"/>
        <v>120923978</v>
      </c>
      <c r="G145" s="31">
        <f t="shared" si="20"/>
        <v>28274016</v>
      </c>
      <c r="H145" s="31">
        <f t="shared" si="20"/>
        <v>0</v>
      </c>
      <c r="I145" s="31">
        <f t="shared" si="20"/>
        <v>46828545</v>
      </c>
      <c r="J145" s="31">
        <f t="shared" si="20"/>
        <v>4834976</v>
      </c>
      <c r="K145" s="31">
        <f t="shared" si="20"/>
        <v>0</v>
      </c>
      <c r="L145" s="31">
        <f t="shared" si="20"/>
        <v>0</v>
      </c>
      <c r="M145" s="31">
        <f t="shared" si="20"/>
        <v>0</v>
      </c>
      <c r="N145" s="31">
        <f>SUM(D145:M145)</f>
        <v>945883258</v>
      </c>
      <c r="O145" s="44">
        <f t="shared" si="17"/>
        <v>699.20561473746614</v>
      </c>
      <c r="P145" s="9"/>
    </row>
    <row r="146" spans="1:119">
      <c r="A146" s="11"/>
      <c r="B146" s="24">
        <v>381</v>
      </c>
      <c r="C146" s="19" t="s">
        <v>152</v>
      </c>
      <c r="D146" s="45">
        <v>648475126</v>
      </c>
      <c r="E146" s="45">
        <v>83471673</v>
      </c>
      <c r="F146" s="45">
        <v>69123652</v>
      </c>
      <c r="G146" s="45">
        <v>13774016</v>
      </c>
      <c r="H146" s="45">
        <v>0</v>
      </c>
      <c r="I146" s="45">
        <v>5305494</v>
      </c>
      <c r="J146" s="45">
        <v>2999964</v>
      </c>
      <c r="K146" s="45">
        <v>0</v>
      </c>
      <c r="L146" s="45">
        <v>0</v>
      </c>
      <c r="M146" s="45">
        <v>0</v>
      </c>
      <c r="N146" s="45">
        <f>SUM(D146:M146)</f>
        <v>823149925</v>
      </c>
      <c r="O146" s="46">
        <f t="shared" si="17"/>
        <v>608.48000476050731</v>
      </c>
      <c r="P146" s="9"/>
    </row>
    <row r="147" spans="1:119">
      <c r="A147" s="11"/>
      <c r="B147" s="24">
        <v>383</v>
      </c>
      <c r="C147" s="19" t="s">
        <v>199</v>
      </c>
      <c r="D147" s="45">
        <v>74944</v>
      </c>
      <c r="E147" s="45">
        <v>0</v>
      </c>
      <c r="F147" s="45">
        <v>0</v>
      </c>
      <c r="G147" s="45">
        <v>0</v>
      </c>
      <c r="H147" s="45">
        <v>0</v>
      </c>
      <c r="I147" s="45">
        <v>0</v>
      </c>
      <c r="J147" s="45">
        <v>0</v>
      </c>
      <c r="K147" s="45">
        <v>0</v>
      </c>
      <c r="L147" s="45">
        <v>0</v>
      </c>
      <c r="M147" s="45">
        <v>0</v>
      </c>
      <c r="N147" s="45">
        <f t="shared" ref="N147:N152" si="21">SUM(D147:M147)</f>
        <v>74944</v>
      </c>
      <c r="O147" s="46">
        <f t="shared" si="17"/>
        <v>5.539929494225667E-2</v>
      </c>
      <c r="P147" s="9"/>
    </row>
    <row r="148" spans="1:119">
      <c r="A148" s="11"/>
      <c r="B148" s="24">
        <v>384</v>
      </c>
      <c r="C148" s="19" t="s">
        <v>153</v>
      </c>
      <c r="D148" s="45">
        <v>0</v>
      </c>
      <c r="E148" s="45">
        <v>13000000</v>
      </c>
      <c r="F148" s="45">
        <v>30882610</v>
      </c>
      <c r="G148" s="45">
        <v>14500000</v>
      </c>
      <c r="H148" s="45">
        <v>0</v>
      </c>
      <c r="I148" s="45">
        <v>0</v>
      </c>
      <c r="J148" s="45">
        <v>0</v>
      </c>
      <c r="K148" s="45">
        <v>0</v>
      </c>
      <c r="L148" s="45">
        <v>0</v>
      </c>
      <c r="M148" s="45">
        <v>0</v>
      </c>
      <c r="N148" s="45">
        <f t="shared" si="21"/>
        <v>58382610</v>
      </c>
      <c r="O148" s="46">
        <f t="shared" si="17"/>
        <v>43.156962944181572</v>
      </c>
      <c r="P148" s="9"/>
    </row>
    <row r="149" spans="1:119">
      <c r="A149" s="11"/>
      <c r="B149" s="24">
        <v>385</v>
      </c>
      <c r="C149" s="19" t="s">
        <v>195</v>
      </c>
      <c r="D149" s="45">
        <v>0</v>
      </c>
      <c r="E149" s="45">
        <v>0</v>
      </c>
      <c r="F149" s="45">
        <v>20917716</v>
      </c>
      <c r="G149" s="45">
        <v>0</v>
      </c>
      <c r="H149" s="45">
        <v>0</v>
      </c>
      <c r="I149" s="45">
        <v>0</v>
      </c>
      <c r="J149" s="45">
        <v>0</v>
      </c>
      <c r="K149" s="45">
        <v>0</v>
      </c>
      <c r="L149" s="45">
        <v>0</v>
      </c>
      <c r="M149" s="45">
        <v>0</v>
      </c>
      <c r="N149" s="45">
        <f t="shared" si="21"/>
        <v>20917716</v>
      </c>
      <c r="O149" s="46">
        <f t="shared" si="17"/>
        <v>15.462568293690776</v>
      </c>
      <c r="P149" s="9"/>
    </row>
    <row r="150" spans="1:119">
      <c r="A150" s="11"/>
      <c r="B150" s="24">
        <v>389.1</v>
      </c>
      <c r="C150" s="19" t="s">
        <v>239</v>
      </c>
      <c r="D150" s="45">
        <v>0</v>
      </c>
      <c r="E150" s="45">
        <v>0</v>
      </c>
      <c r="F150" s="45">
        <v>0</v>
      </c>
      <c r="G150" s="45">
        <v>0</v>
      </c>
      <c r="H150" s="45">
        <v>0</v>
      </c>
      <c r="I150" s="45">
        <v>9452643</v>
      </c>
      <c r="J150" s="45">
        <v>1835012</v>
      </c>
      <c r="K150" s="45">
        <v>0</v>
      </c>
      <c r="L150" s="45">
        <v>0</v>
      </c>
      <c r="M150" s="45">
        <v>0</v>
      </c>
      <c r="N150" s="45">
        <f t="shared" si="21"/>
        <v>11287655</v>
      </c>
      <c r="O150" s="46">
        <f t="shared" si="17"/>
        <v>8.3439385214485249</v>
      </c>
      <c r="P150" s="9"/>
    </row>
    <row r="151" spans="1:119">
      <c r="A151" s="11"/>
      <c r="B151" s="24">
        <v>389.4</v>
      </c>
      <c r="C151" s="19" t="s">
        <v>240</v>
      </c>
      <c r="D151" s="45">
        <v>0</v>
      </c>
      <c r="E151" s="45">
        <v>0</v>
      </c>
      <c r="F151" s="45">
        <v>0</v>
      </c>
      <c r="G151" s="45">
        <v>0</v>
      </c>
      <c r="H151" s="45">
        <v>0</v>
      </c>
      <c r="I151" s="45">
        <v>29836572</v>
      </c>
      <c r="J151" s="45">
        <v>0</v>
      </c>
      <c r="K151" s="45">
        <v>0</v>
      </c>
      <c r="L151" s="45">
        <v>0</v>
      </c>
      <c r="M151" s="45">
        <v>0</v>
      </c>
      <c r="N151" s="45">
        <f t="shared" si="21"/>
        <v>29836572</v>
      </c>
      <c r="O151" s="46">
        <f t="shared" si="17"/>
        <v>22.055468780607882</v>
      </c>
      <c r="P151" s="9"/>
    </row>
    <row r="152" spans="1:119" ht="15.75" thickBot="1">
      <c r="A152" s="11"/>
      <c r="B152" s="24">
        <v>389.9</v>
      </c>
      <c r="C152" s="19" t="s">
        <v>241</v>
      </c>
      <c r="D152" s="45">
        <v>0</v>
      </c>
      <c r="E152" s="45">
        <v>0</v>
      </c>
      <c r="F152" s="45">
        <v>0</v>
      </c>
      <c r="G152" s="45">
        <v>0</v>
      </c>
      <c r="H152" s="45">
        <v>0</v>
      </c>
      <c r="I152" s="45">
        <v>2233836</v>
      </c>
      <c r="J152" s="45">
        <v>0</v>
      </c>
      <c r="K152" s="45">
        <v>0</v>
      </c>
      <c r="L152" s="45">
        <v>0</v>
      </c>
      <c r="M152" s="45">
        <v>0</v>
      </c>
      <c r="N152" s="45">
        <f t="shared" si="21"/>
        <v>2233836</v>
      </c>
      <c r="O152" s="46">
        <f t="shared" si="17"/>
        <v>1.6512721420878373</v>
      </c>
      <c r="P152" s="9"/>
    </row>
    <row r="153" spans="1:119" ht="16.5" thickBot="1">
      <c r="A153" s="13" t="s">
        <v>114</v>
      </c>
      <c r="B153" s="22"/>
      <c r="C153" s="21"/>
      <c r="D153" s="14">
        <f t="shared" ref="D153:M153" si="22">SUM(D5,D13,D27,D69,D124,D136,D145)</f>
        <v>1412833104</v>
      </c>
      <c r="E153" s="14">
        <f t="shared" si="22"/>
        <v>846211605</v>
      </c>
      <c r="F153" s="14">
        <f t="shared" si="22"/>
        <v>127344647</v>
      </c>
      <c r="G153" s="14">
        <f t="shared" si="22"/>
        <v>30415084</v>
      </c>
      <c r="H153" s="14">
        <f t="shared" si="22"/>
        <v>0</v>
      </c>
      <c r="I153" s="14">
        <f t="shared" si="22"/>
        <v>377852610</v>
      </c>
      <c r="J153" s="14">
        <f t="shared" si="22"/>
        <v>193679764</v>
      </c>
      <c r="K153" s="14">
        <f t="shared" si="22"/>
        <v>0</v>
      </c>
      <c r="L153" s="14">
        <f t="shared" si="22"/>
        <v>0</v>
      </c>
      <c r="M153" s="14">
        <f t="shared" si="22"/>
        <v>7007304</v>
      </c>
      <c r="N153" s="14">
        <f>SUM(D153:M153)</f>
        <v>2995344118</v>
      </c>
      <c r="O153" s="37">
        <f t="shared" si="17"/>
        <v>2214.1859554685589</v>
      </c>
      <c r="P153" s="6"/>
      <c r="Q153" s="2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</row>
    <row r="154" spans="1:119">
      <c r="A154" s="15"/>
      <c r="B154" s="17"/>
      <c r="C154" s="17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8"/>
    </row>
    <row r="155" spans="1:119">
      <c r="A155" s="39"/>
      <c r="B155" s="40"/>
      <c r="C155" s="40"/>
      <c r="D155" s="41"/>
      <c r="E155" s="41"/>
      <c r="F155" s="41"/>
      <c r="G155" s="41"/>
      <c r="H155" s="41"/>
      <c r="I155" s="41"/>
      <c r="J155" s="41"/>
      <c r="K155" s="41"/>
      <c r="L155" s="48" t="s">
        <v>281</v>
      </c>
      <c r="M155" s="48"/>
      <c r="N155" s="48"/>
      <c r="O155" s="42">
        <v>1352797</v>
      </c>
    </row>
    <row r="156" spans="1:119">
      <c r="A156" s="49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1"/>
    </row>
    <row r="157" spans="1:119" ht="15.75" customHeight="1" thickBot="1">
      <c r="A157" s="52" t="s">
        <v>178</v>
      </c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4"/>
    </row>
  </sheetData>
  <mergeCells count="10">
    <mergeCell ref="L155:N155"/>
    <mergeCell ref="A156:O156"/>
    <mergeCell ref="A157:O157"/>
    <mergeCell ref="A1:O1"/>
    <mergeCell ref="A2:O2"/>
    <mergeCell ref="A3:C4"/>
    <mergeCell ref="D3:H3"/>
    <mergeCell ref="I3:J3"/>
    <mergeCell ref="K3:L3"/>
    <mergeCell ref="O3:O4"/>
  </mergeCells>
  <printOptions horizontalCentered="1"/>
  <pageMargins left="0.5" right="0.5" top="0.5" bottom="0.5" header="0.3" footer="0.3"/>
  <pageSetup paperSize="5" scale="55" fitToHeight="0" orientation="landscape" r:id="rId1"/>
  <headerFooter>
    <oddFooter>&amp;L&amp;14Office of Economic and Demographic Research&amp;R&amp;14Page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EC159"/>
  <sheetViews>
    <sheetView workbookViewId="0">
      <selection sqref="A1:O1"/>
    </sheetView>
  </sheetViews>
  <sheetFormatPr defaultColWidth="9.77734375" defaultRowHeight="15"/>
  <cols>
    <col min="1" max="1" width="1.77734375" style="3" customWidth="1"/>
    <col min="2" max="2" width="6.77734375" style="3" customWidth="1"/>
    <col min="3" max="3" width="60.77734375" style="3" customWidth="1"/>
    <col min="4" max="5" width="16.77734375" style="4" customWidth="1"/>
    <col min="6" max="7" width="15.77734375" style="4" customWidth="1"/>
    <col min="8" max="8" width="13.77734375" style="4" customWidth="1"/>
    <col min="9" max="10" width="15.77734375" style="4" customWidth="1"/>
    <col min="11" max="13" width="13.77734375" style="4" customWidth="1"/>
    <col min="14" max="14" width="16.77734375" style="4" customWidth="1"/>
    <col min="15" max="15" width="13.77734375" style="3" customWidth="1"/>
    <col min="16" max="16" width="9.77734375" style="3" customWidth="1"/>
    <col min="17" max="17" width="9.77734375" style="3"/>
  </cols>
  <sheetData>
    <row r="1" spans="1:133" ht="27.75">
      <c r="A1" s="55" t="s">
        <v>165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7"/>
      <c r="P1" s="7"/>
      <c r="Q1"/>
    </row>
    <row r="2" spans="1:133" ht="24" thickBot="1">
      <c r="A2" s="58" t="s">
        <v>263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60"/>
      <c r="P2" s="7"/>
      <c r="Q2"/>
    </row>
    <row r="3" spans="1:133" ht="18" customHeight="1">
      <c r="A3" s="61" t="s">
        <v>158</v>
      </c>
      <c r="B3" s="62"/>
      <c r="C3" s="63"/>
      <c r="D3" s="67" t="s">
        <v>71</v>
      </c>
      <c r="E3" s="68"/>
      <c r="F3" s="68"/>
      <c r="G3" s="68"/>
      <c r="H3" s="69"/>
      <c r="I3" s="67" t="s">
        <v>72</v>
      </c>
      <c r="J3" s="69"/>
      <c r="K3" s="67" t="s">
        <v>74</v>
      </c>
      <c r="L3" s="69"/>
      <c r="M3" s="35"/>
      <c r="N3" s="36"/>
      <c r="O3" s="70" t="s">
        <v>163</v>
      </c>
      <c r="P3" s="5"/>
      <c r="Q3"/>
    </row>
    <row r="4" spans="1:133" ht="32.25" customHeight="1" thickBot="1">
      <c r="A4" s="64"/>
      <c r="B4" s="65"/>
      <c r="C4" s="66"/>
      <c r="D4" s="33" t="s">
        <v>6</v>
      </c>
      <c r="E4" s="33" t="s">
        <v>159</v>
      </c>
      <c r="F4" s="33" t="s">
        <v>160</v>
      </c>
      <c r="G4" s="33" t="s">
        <v>161</v>
      </c>
      <c r="H4" s="33" t="s">
        <v>7</v>
      </c>
      <c r="I4" s="33" t="s">
        <v>8</v>
      </c>
      <c r="J4" s="34" t="s">
        <v>162</v>
      </c>
      <c r="K4" s="34" t="s">
        <v>9</v>
      </c>
      <c r="L4" s="34" t="s">
        <v>10</v>
      </c>
      <c r="M4" s="34" t="s">
        <v>11</v>
      </c>
      <c r="N4" s="34" t="s">
        <v>73</v>
      </c>
      <c r="O4" s="71"/>
      <c r="P4" s="8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</row>
    <row r="5" spans="1:133" ht="15.75">
      <c r="A5" s="23" t="s">
        <v>2</v>
      </c>
      <c r="B5" s="25"/>
      <c r="C5" s="25"/>
      <c r="D5" s="26">
        <f t="shared" ref="D5:M5" si="0">SUM(D6:D12)</f>
        <v>556151567</v>
      </c>
      <c r="E5" s="26">
        <f t="shared" si="0"/>
        <v>345798965</v>
      </c>
      <c r="F5" s="26">
        <f t="shared" si="0"/>
        <v>5048784</v>
      </c>
      <c r="G5" s="26">
        <f t="shared" si="0"/>
        <v>0</v>
      </c>
      <c r="H5" s="26">
        <f t="shared" si="0"/>
        <v>0</v>
      </c>
      <c r="I5" s="26">
        <f t="shared" si="0"/>
        <v>0</v>
      </c>
      <c r="J5" s="26">
        <f t="shared" si="0"/>
        <v>0</v>
      </c>
      <c r="K5" s="26">
        <f t="shared" si="0"/>
        <v>0</v>
      </c>
      <c r="L5" s="26">
        <f t="shared" si="0"/>
        <v>0</v>
      </c>
      <c r="M5" s="26">
        <f t="shared" si="0"/>
        <v>0</v>
      </c>
      <c r="N5" s="27">
        <f>SUM(D5:M5)</f>
        <v>906999316</v>
      </c>
      <c r="O5" s="32">
        <f t="shared" ref="O5:O36" si="1">(N5/O$157)</f>
        <v>684.23704946501982</v>
      </c>
      <c r="P5" s="6"/>
    </row>
    <row r="6" spans="1:133">
      <c r="A6" s="11"/>
      <c r="B6" s="24">
        <v>311</v>
      </c>
      <c r="C6" s="19" t="s">
        <v>3</v>
      </c>
      <c r="D6" s="45">
        <v>554604971</v>
      </c>
      <c r="E6" s="45">
        <v>35477981</v>
      </c>
      <c r="F6" s="45">
        <v>5048784</v>
      </c>
      <c r="G6" s="45">
        <v>0</v>
      </c>
      <c r="H6" s="45">
        <v>0</v>
      </c>
      <c r="I6" s="45">
        <v>0</v>
      </c>
      <c r="J6" s="45">
        <v>0</v>
      </c>
      <c r="K6" s="45">
        <v>0</v>
      </c>
      <c r="L6" s="45">
        <v>0</v>
      </c>
      <c r="M6" s="45">
        <v>0</v>
      </c>
      <c r="N6" s="45">
        <f>SUM(D6:M6)</f>
        <v>595131736</v>
      </c>
      <c r="O6" s="46">
        <f t="shared" si="1"/>
        <v>448.96525928982629</v>
      </c>
      <c r="P6" s="9"/>
    </row>
    <row r="7" spans="1:133">
      <c r="A7" s="11"/>
      <c r="B7" s="24">
        <v>312.10000000000002</v>
      </c>
      <c r="C7" s="19" t="s">
        <v>12</v>
      </c>
      <c r="D7" s="45">
        <v>0</v>
      </c>
      <c r="E7" s="45">
        <v>27035374</v>
      </c>
      <c r="F7" s="45">
        <v>0</v>
      </c>
      <c r="G7" s="45">
        <v>0</v>
      </c>
      <c r="H7" s="45">
        <v>0</v>
      </c>
      <c r="I7" s="45">
        <v>0</v>
      </c>
      <c r="J7" s="45">
        <v>0</v>
      </c>
      <c r="K7" s="45">
        <v>0</v>
      </c>
      <c r="L7" s="45">
        <v>0</v>
      </c>
      <c r="M7" s="45">
        <v>0</v>
      </c>
      <c r="N7" s="45">
        <f t="shared" ref="N7:N12" si="2">SUM(D7:M7)</f>
        <v>27035374</v>
      </c>
      <c r="O7" s="46">
        <f t="shared" si="1"/>
        <v>20.395389732513657</v>
      </c>
      <c r="P7" s="9"/>
    </row>
    <row r="8" spans="1:133">
      <c r="A8" s="11"/>
      <c r="B8" s="24">
        <v>312.3</v>
      </c>
      <c r="C8" s="19" t="s">
        <v>13</v>
      </c>
      <c r="D8" s="45">
        <v>0</v>
      </c>
      <c r="E8" s="45">
        <v>6892000</v>
      </c>
      <c r="F8" s="45">
        <v>0</v>
      </c>
      <c r="G8" s="45">
        <v>0</v>
      </c>
      <c r="H8" s="45">
        <v>0</v>
      </c>
      <c r="I8" s="45">
        <v>0</v>
      </c>
      <c r="J8" s="45">
        <v>0</v>
      </c>
      <c r="K8" s="45">
        <v>0</v>
      </c>
      <c r="L8" s="45">
        <v>0</v>
      </c>
      <c r="M8" s="45">
        <v>0</v>
      </c>
      <c r="N8" s="45">
        <f t="shared" si="2"/>
        <v>6892000</v>
      </c>
      <c r="O8" s="46">
        <f t="shared" si="1"/>
        <v>5.1993002218679916</v>
      </c>
      <c r="P8" s="9"/>
    </row>
    <row r="9" spans="1:133">
      <c r="A9" s="11"/>
      <c r="B9" s="24">
        <v>312.41000000000003</v>
      </c>
      <c r="C9" s="19" t="s">
        <v>14</v>
      </c>
      <c r="D9" s="45">
        <v>0</v>
      </c>
      <c r="E9" s="45">
        <v>26069571</v>
      </c>
      <c r="F9" s="45">
        <v>0</v>
      </c>
      <c r="G9" s="45">
        <v>0</v>
      </c>
      <c r="H9" s="45">
        <v>0</v>
      </c>
      <c r="I9" s="45">
        <v>0</v>
      </c>
      <c r="J9" s="45">
        <v>0</v>
      </c>
      <c r="K9" s="45">
        <v>0</v>
      </c>
      <c r="L9" s="45">
        <v>0</v>
      </c>
      <c r="M9" s="45">
        <v>0</v>
      </c>
      <c r="N9" s="45">
        <f t="shared" si="2"/>
        <v>26069571</v>
      </c>
      <c r="O9" s="46">
        <f t="shared" si="1"/>
        <v>19.666791393543726</v>
      </c>
      <c r="P9" s="9"/>
    </row>
    <row r="10" spans="1:133">
      <c r="A10" s="11"/>
      <c r="B10" s="24">
        <v>312.60000000000002</v>
      </c>
      <c r="C10" s="19" t="s">
        <v>15</v>
      </c>
      <c r="D10" s="45">
        <v>0</v>
      </c>
      <c r="E10" s="45">
        <v>226410253</v>
      </c>
      <c r="F10" s="45">
        <v>0</v>
      </c>
      <c r="G10" s="45">
        <v>0</v>
      </c>
      <c r="H10" s="45">
        <v>0</v>
      </c>
      <c r="I10" s="45">
        <v>0</v>
      </c>
      <c r="J10" s="45">
        <v>0</v>
      </c>
      <c r="K10" s="45">
        <v>0</v>
      </c>
      <c r="L10" s="45">
        <v>0</v>
      </c>
      <c r="M10" s="45">
        <v>0</v>
      </c>
      <c r="N10" s="45">
        <f t="shared" si="2"/>
        <v>226410253</v>
      </c>
      <c r="O10" s="46">
        <f t="shared" si="1"/>
        <v>170.80308744284503</v>
      </c>
      <c r="P10" s="9"/>
    </row>
    <row r="11" spans="1:133">
      <c r="A11" s="11"/>
      <c r="B11" s="24">
        <v>315</v>
      </c>
      <c r="C11" s="19" t="s">
        <v>202</v>
      </c>
      <c r="D11" s="45">
        <v>0</v>
      </c>
      <c r="E11" s="45">
        <v>23287823</v>
      </c>
      <c r="F11" s="45">
        <v>0</v>
      </c>
      <c r="G11" s="45">
        <v>0</v>
      </c>
      <c r="H11" s="45">
        <v>0</v>
      </c>
      <c r="I11" s="45">
        <v>0</v>
      </c>
      <c r="J11" s="45">
        <v>0</v>
      </c>
      <c r="K11" s="45">
        <v>0</v>
      </c>
      <c r="L11" s="45">
        <v>0</v>
      </c>
      <c r="M11" s="45">
        <v>0</v>
      </c>
      <c r="N11" s="45">
        <f t="shared" si="2"/>
        <v>23287823</v>
      </c>
      <c r="O11" s="46">
        <f t="shared" si="1"/>
        <v>17.568250622565657</v>
      </c>
      <c r="P11" s="9"/>
    </row>
    <row r="12" spans="1:133">
      <c r="A12" s="11"/>
      <c r="B12" s="24">
        <v>316</v>
      </c>
      <c r="C12" s="19" t="s">
        <v>203</v>
      </c>
      <c r="D12" s="45">
        <v>1546596</v>
      </c>
      <c r="E12" s="45">
        <v>625963</v>
      </c>
      <c r="F12" s="45">
        <v>0</v>
      </c>
      <c r="G12" s="45">
        <v>0</v>
      </c>
      <c r="H12" s="45">
        <v>0</v>
      </c>
      <c r="I12" s="45">
        <v>0</v>
      </c>
      <c r="J12" s="45">
        <v>0</v>
      </c>
      <c r="K12" s="45">
        <v>0</v>
      </c>
      <c r="L12" s="45">
        <v>0</v>
      </c>
      <c r="M12" s="45">
        <v>0</v>
      </c>
      <c r="N12" s="45">
        <f t="shared" si="2"/>
        <v>2172559</v>
      </c>
      <c r="O12" s="46">
        <f t="shared" si="1"/>
        <v>1.6389707618574145</v>
      </c>
      <c r="P12" s="9"/>
    </row>
    <row r="13" spans="1:133" ht="15.75">
      <c r="A13" s="28" t="s">
        <v>18</v>
      </c>
      <c r="B13" s="29"/>
      <c r="C13" s="30"/>
      <c r="D13" s="31">
        <f t="shared" ref="D13:M13" si="3">SUM(D14:D26)</f>
        <v>2308334</v>
      </c>
      <c r="E13" s="31">
        <f t="shared" si="3"/>
        <v>47841954</v>
      </c>
      <c r="F13" s="31">
        <f t="shared" si="3"/>
        <v>0</v>
      </c>
      <c r="G13" s="31">
        <f t="shared" si="3"/>
        <v>0</v>
      </c>
      <c r="H13" s="31">
        <f t="shared" si="3"/>
        <v>0</v>
      </c>
      <c r="I13" s="31">
        <f t="shared" si="3"/>
        <v>702031</v>
      </c>
      <c r="J13" s="31">
        <f t="shared" si="3"/>
        <v>0</v>
      </c>
      <c r="K13" s="31">
        <f t="shared" si="3"/>
        <v>0</v>
      </c>
      <c r="L13" s="31">
        <f t="shared" si="3"/>
        <v>0</v>
      </c>
      <c r="M13" s="31">
        <f t="shared" si="3"/>
        <v>0</v>
      </c>
      <c r="N13" s="43">
        <f>SUM(D13:M13)</f>
        <v>50852319</v>
      </c>
      <c r="O13" s="44">
        <f t="shared" si="1"/>
        <v>38.362808104933528</v>
      </c>
      <c r="P13" s="10"/>
    </row>
    <row r="14" spans="1:133">
      <c r="A14" s="11"/>
      <c r="B14" s="24">
        <v>322</v>
      </c>
      <c r="C14" s="19" t="s">
        <v>0</v>
      </c>
      <c r="D14" s="45">
        <v>0</v>
      </c>
      <c r="E14" s="45">
        <v>7849313</v>
      </c>
      <c r="F14" s="45">
        <v>0</v>
      </c>
      <c r="G14" s="45">
        <v>0</v>
      </c>
      <c r="H14" s="45">
        <v>0</v>
      </c>
      <c r="I14" s="45">
        <v>0</v>
      </c>
      <c r="J14" s="45">
        <v>0</v>
      </c>
      <c r="K14" s="45">
        <v>0</v>
      </c>
      <c r="L14" s="45">
        <v>0</v>
      </c>
      <c r="M14" s="45">
        <v>0</v>
      </c>
      <c r="N14" s="45">
        <f>SUM(D14:M14)</f>
        <v>7849313</v>
      </c>
      <c r="O14" s="46">
        <f t="shared" si="1"/>
        <v>5.9214937351148151</v>
      </c>
      <c r="P14" s="9"/>
    </row>
    <row r="15" spans="1:133">
      <c r="A15" s="11"/>
      <c r="B15" s="24">
        <v>323.3</v>
      </c>
      <c r="C15" s="19" t="s">
        <v>19</v>
      </c>
      <c r="D15" s="45">
        <v>3158</v>
      </c>
      <c r="E15" s="45">
        <v>0</v>
      </c>
      <c r="F15" s="45">
        <v>0</v>
      </c>
      <c r="G15" s="45">
        <v>0</v>
      </c>
      <c r="H15" s="45">
        <v>0</v>
      </c>
      <c r="I15" s="45">
        <v>0</v>
      </c>
      <c r="J15" s="45">
        <v>0</v>
      </c>
      <c r="K15" s="45">
        <v>0</v>
      </c>
      <c r="L15" s="45">
        <v>0</v>
      </c>
      <c r="M15" s="45">
        <v>0</v>
      </c>
      <c r="N15" s="45">
        <f t="shared" ref="N15:N24" si="4">SUM(D15:M15)</f>
        <v>3158</v>
      </c>
      <c r="O15" s="46">
        <f t="shared" si="1"/>
        <v>2.3823839379946482E-3</v>
      </c>
      <c r="P15" s="9"/>
    </row>
    <row r="16" spans="1:133">
      <c r="A16" s="11"/>
      <c r="B16" s="24">
        <v>323.60000000000002</v>
      </c>
      <c r="C16" s="19" t="s">
        <v>20</v>
      </c>
      <c r="D16" s="45">
        <v>7092</v>
      </c>
      <c r="E16" s="45">
        <v>0</v>
      </c>
      <c r="F16" s="45">
        <v>0</v>
      </c>
      <c r="G16" s="45">
        <v>0</v>
      </c>
      <c r="H16" s="45">
        <v>0</v>
      </c>
      <c r="I16" s="45">
        <v>0</v>
      </c>
      <c r="J16" s="45">
        <v>0</v>
      </c>
      <c r="K16" s="45">
        <v>0</v>
      </c>
      <c r="L16" s="45">
        <v>0</v>
      </c>
      <c r="M16" s="45">
        <v>0</v>
      </c>
      <c r="N16" s="45">
        <f t="shared" si="4"/>
        <v>7092</v>
      </c>
      <c r="O16" s="46">
        <f t="shared" si="1"/>
        <v>5.350179508631427E-3</v>
      </c>
      <c r="P16" s="9"/>
    </row>
    <row r="17" spans="1:16">
      <c r="A17" s="11"/>
      <c r="B17" s="24">
        <v>324.11</v>
      </c>
      <c r="C17" s="19" t="s">
        <v>21</v>
      </c>
      <c r="D17" s="45">
        <v>0</v>
      </c>
      <c r="E17" s="45">
        <v>177193</v>
      </c>
      <c r="F17" s="45">
        <v>0</v>
      </c>
      <c r="G17" s="45">
        <v>0</v>
      </c>
      <c r="H17" s="45">
        <v>0</v>
      </c>
      <c r="I17" s="45">
        <v>0</v>
      </c>
      <c r="J17" s="45">
        <v>0</v>
      </c>
      <c r="K17" s="45">
        <v>0</v>
      </c>
      <c r="L17" s="45">
        <v>0</v>
      </c>
      <c r="M17" s="45">
        <v>0</v>
      </c>
      <c r="N17" s="45">
        <f t="shared" si="4"/>
        <v>177193</v>
      </c>
      <c r="O17" s="46">
        <f t="shared" si="1"/>
        <v>0.13367376729736724</v>
      </c>
      <c r="P17" s="9"/>
    </row>
    <row r="18" spans="1:16">
      <c r="A18" s="11"/>
      <c r="B18" s="24">
        <v>324.12</v>
      </c>
      <c r="C18" s="19" t="s">
        <v>180</v>
      </c>
      <c r="D18" s="45">
        <v>0</v>
      </c>
      <c r="E18" s="45">
        <v>43849</v>
      </c>
      <c r="F18" s="45">
        <v>0</v>
      </c>
      <c r="G18" s="45">
        <v>0</v>
      </c>
      <c r="H18" s="45">
        <v>0</v>
      </c>
      <c r="I18" s="45">
        <v>0</v>
      </c>
      <c r="J18" s="45">
        <v>0</v>
      </c>
      <c r="K18" s="45">
        <v>0</v>
      </c>
      <c r="L18" s="45">
        <v>0</v>
      </c>
      <c r="M18" s="45">
        <v>0</v>
      </c>
      <c r="N18" s="45">
        <f t="shared" si="4"/>
        <v>43849</v>
      </c>
      <c r="O18" s="46">
        <f t="shared" si="1"/>
        <v>3.3079529226449439E-2</v>
      </c>
      <c r="P18" s="9"/>
    </row>
    <row r="19" spans="1:16">
      <c r="A19" s="11"/>
      <c r="B19" s="24">
        <v>324.20999999999998</v>
      </c>
      <c r="C19" s="19" t="s">
        <v>22</v>
      </c>
      <c r="D19" s="45">
        <v>0</v>
      </c>
      <c r="E19" s="45">
        <v>20621235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5">
        <v>0</v>
      </c>
      <c r="L19" s="45">
        <v>0</v>
      </c>
      <c r="M19" s="45">
        <v>0</v>
      </c>
      <c r="N19" s="45">
        <f t="shared" si="4"/>
        <v>20621235</v>
      </c>
      <c r="O19" s="46">
        <f t="shared" si="1"/>
        <v>15.556586144905976</v>
      </c>
      <c r="P19" s="9"/>
    </row>
    <row r="20" spans="1:16">
      <c r="A20" s="11"/>
      <c r="B20" s="24">
        <v>324.31</v>
      </c>
      <c r="C20" s="19" t="s">
        <v>23</v>
      </c>
      <c r="D20" s="45">
        <v>0</v>
      </c>
      <c r="E20" s="45">
        <v>2387808</v>
      </c>
      <c r="F20" s="45">
        <v>0</v>
      </c>
      <c r="G20" s="45">
        <v>0</v>
      </c>
      <c r="H20" s="45">
        <v>0</v>
      </c>
      <c r="I20" s="45">
        <v>0</v>
      </c>
      <c r="J20" s="45">
        <v>0</v>
      </c>
      <c r="K20" s="45">
        <v>0</v>
      </c>
      <c r="L20" s="45">
        <v>0</v>
      </c>
      <c r="M20" s="45">
        <v>0</v>
      </c>
      <c r="N20" s="45">
        <f t="shared" si="4"/>
        <v>2387808</v>
      </c>
      <c r="O20" s="46">
        <f t="shared" si="1"/>
        <v>1.8013538398401283</v>
      </c>
      <c r="P20" s="9"/>
    </row>
    <row r="21" spans="1:16">
      <c r="A21" s="11"/>
      <c r="B21" s="24">
        <v>324.32</v>
      </c>
      <c r="C21" s="19" t="s">
        <v>167</v>
      </c>
      <c r="D21" s="45">
        <v>0</v>
      </c>
      <c r="E21" s="45">
        <v>600991</v>
      </c>
      <c r="F21" s="45">
        <v>0</v>
      </c>
      <c r="G21" s="45">
        <v>0</v>
      </c>
      <c r="H21" s="45">
        <v>0</v>
      </c>
      <c r="I21" s="45">
        <v>0</v>
      </c>
      <c r="J21" s="45">
        <v>0</v>
      </c>
      <c r="K21" s="45">
        <v>0</v>
      </c>
      <c r="L21" s="45">
        <v>0</v>
      </c>
      <c r="M21" s="45">
        <v>0</v>
      </c>
      <c r="N21" s="45">
        <f t="shared" si="4"/>
        <v>600991</v>
      </c>
      <c r="O21" s="46">
        <f t="shared" si="1"/>
        <v>0.45338546715621963</v>
      </c>
      <c r="P21" s="9"/>
    </row>
    <row r="22" spans="1:16">
      <c r="A22" s="11"/>
      <c r="B22" s="24">
        <v>324.61</v>
      </c>
      <c r="C22" s="19" t="s">
        <v>24</v>
      </c>
      <c r="D22" s="45">
        <v>0</v>
      </c>
      <c r="E22" s="45">
        <v>1450496</v>
      </c>
      <c r="F22" s="45">
        <v>0</v>
      </c>
      <c r="G22" s="45">
        <v>0</v>
      </c>
      <c r="H22" s="45">
        <v>0</v>
      </c>
      <c r="I22" s="45">
        <v>0</v>
      </c>
      <c r="J22" s="45">
        <v>0</v>
      </c>
      <c r="K22" s="45">
        <v>0</v>
      </c>
      <c r="L22" s="45">
        <v>0</v>
      </c>
      <c r="M22" s="45">
        <v>0</v>
      </c>
      <c r="N22" s="45">
        <f t="shared" si="4"/>
        <v>1450496</v>
      </c>
      <c r="O22" s="46">
        <f t="shared" si="1"/>
        <v>1.0942490096660815</v>
      </c>
      <c r="P22" s="9"/>
    </row>
    <row r="23" spans="1:16">
      <c r="A23" s="11"/>
      <c r="B23" s="24">
        <v>325.10000000000002</v>
      </c>
      <c r="C23" s="19" t="s">
        <v>25</v>
      </c>
      <c r="D23" s="45">
        <v>0</v>
      </c>
      <c r="E23" s="45">
        <v>6200205</v>
      </c>
      <c r="F23" s="45">
        <v>0</v>
      </c>
      <c r="G23" s="45">
        <v>0</v>
      </c>
      <c r="H23" s="45">
        <v>0</v>
      </c>
      <c r="I23" s="45">
        <v>702031</v>
      </c>
      <c r="J23" s="45">
        <v>0</v>
      </c>
      <c r="K23" s="45">
        <v>0</v>
      </c>
      <c r="L23" s="45">
        <v>0</v>
      </c>
      <c r="M23" s="45">
        <v>0</v>
      </c>
      <c r="N23" s="45">
        <f t="shared" si="4"/>
        <v>6902236</v>
      </c>
      <c r="O23" s="46">
        <f t="shared" si="1"/>
        <v>5.207022223764544</v>
      </c>
      <c r="P23" s="9"/>
    </row>
    <row r="24" spans="1:16">
      <c r="A24" s="11"/>
      <c r="B24" s="24">
        <v>325.2</v>
      </c>
      <c r="C24" s="19" t="s">
        <v>26</v>
      </c>
      <c r="D24" s="45">
        <v>0</v>
      </c>
      <c r="E24" s="45">
        <v>7864383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5">
        <v>0</v>
      </c>
      <c r="L24" s="45">
        <v>0</v>
      </c>
      <c r="M24" s="45">
        <v>0</v>
      </c>
      <c r="N24" s="45">
        <f t="shared" si="4"/>
        <v>7864383</v>
      </c>
      <c r="O24" s="46">
        <f t="shared" si="1"/>
        <v>5.9328624893724404</v>
      </c>
      <c r="P24" s="9"/>
    </row>
    <row r="25" spans="1:16">
      <c r="A25" s="11"/>
      <c r="B25" s="24">
        <v>329</v>
      </c>
      <c r="C25" s="19" t="s">
        <v>27</v>
      </c>
      <c r="D25" s="45">
        <v>621685</v>
      </c>
      <c r="E25" s="45">
        <v>544451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f>SUM(D25:M25)</f>
        <v>1166136</v>
      </c>
      <c r="O25" s="46">
        <f t="shared" si="1"/>
        <v>0.87972883974582872</v>
      </c>
      <c r="P25" s="9"/>
    </row>
    <row r="26" spans="1:16">
      <c r="A26" s="11"/>
      <c r="B26" s="24">
        <v>367</v>
      </c>
      <c r="C26" s="19" t="s">
        <v>149</v>
      </c>
      <c r="D26" s="45">
        <v>1676399</v>
      </c>
      <c r="E26" s="45">
        <v>102030</v>
      </c>
      <c r="F26" s="45">
        <v>0</v>
      </c>
      <c r="G26" s="45">
        <v>0</v>
      </c>
      <c r="H26" s="45">
        <v>0</v>
      </c>
      <c r="I26" s="45">
        <v>0</v>
      </c>
      <c r="J26" s="45">
        <v>0</v>
      </c>
      <c r="K26" s="45">
        <v>0</v>
      </c>
      <c r="L26" s="45">
        <v>0</v>
      </c>
      <c r="M26" s="45">
        <v>0</v>
      </c>
      <c r="N26" s="45">
        <f>SUM(D26:M26)</f>
        <v>1778429</v>
      </c>
      <c r="O26" s="46">
        <f t="shared" si="1"/>
        <v>1.3416404953970502</v>
      </c>
      <c r="P26" s="9"/>
    </row>
    <row r="27" spans="1:16" ht="15.75">
      <c r="A27" s="28" t="s">
        <v>30</v>
      </c>
      <c r="B27" s="29"/>
      <c r="C27" s="30"/>
      <c r="D27" s="31">
        <f t="shared" ref="D27:M27" si="5">SUM(D28:D70)</f>
        <v>33886171</v>
      </c>
      <c r="E27" s="31">
        <f t="shared" si="5"/>
        <v>226358109</v>
      </c>
      <c r="F27" s="31">
        <f t="shared" si="5"/>
        <v>0</v>
      </c>
      <c r="G27" s="31">
        <f t="shared" si="5"/>
        <v>930498</v>
      </c>
      <c r="H27" s="31">
        <f t="shared" si="5"/>
        <v>0</v>
      </c>
      <c r="I27" s="31">
        <f t="shared" si="5"/>
        <v>20000</v>
      </c>
      <c r="J27" s="31">
        <f t="shared" si="5"/>
        <v>162886</v>
      </c>
      <c r="K27" s="31">
        <f t="shared" si="5"/>
        <v>0</v>
      </c>
      <c r="L27" s="31">
        <f t="shared" si="5"/>
        <v>0</v>
      </c>
      <c r="M27" s="31">
        <f t="shared" si="5"/>
        <v>3977008</v>
      </c>
      <c r="N27" s="43">
        <f>SUM(D27:M27)</f>
        <v>265334672</v>
      </c>
      <c r="O27" s="44">
        <f t="shared" si="1"/>
        <v>200.16753032485065</v>
      </c>
      <c r="P27" s="10"/>
    </row>
    <row r="28" spans="1:16">
      <c r="A28" s="11"/>
      <c r="B28" s="24">
        <v>331.1</v>
      </c>
      <c r="C28" s="19" t="s">
        <v>28</v>
      </c>
      <c r="D28" s="45">
        <v>0</v>
      </c>
      <c r="E28" s="45">
        <v>3317355</v>
      </c>
      <c r="F28" s="45">
        <v>0</v>
      </c>
      <c r="G28" s="45">
        <v>0</v>
      </c>
      <c r="H28" s="45">
        <v>0</v>
      </c>
      <c r="I28" s="45">
        <v>0</v>
      </c>
      <c r="J28" s="45">
        <v>0</v>
      </c>
      <c r="K28" s="45">
        <v>0</v>
      </c>
      <c r="L28" s="45">
        <v>0</v>
      </c>
      <c r="M28" s="45">
        <v>0</v>
      </c>
      <c r="N28" s="45">
        <f>SUM(D28:M28)</f>
        <v>3317355</v>
      </c>
      <c r="O28" s="46">
        <f t="shared" si="1"/>
        <v>2.5026007817055849</v>
      </c>
      <c r="P28" s="9"/>
    </row>
    <row r="29" spans="1:16">
      <c r="A29" s="11"/>
      <c r="B29" s="24">
        <v>331.2</v>
      </c>
      <c r="C29" s="19" t="s">
        <v>29</v>
      </c>
      <c r="D29" s="45">
        <v>1495083</v>
      </c>
      <c r="E29" s="45">
        <v>4530686</v>
      </c>
      <c r="F29" s="45">
        <v>0</v>
      </c>
      <c r="G29" s="45">
        <v>0</v>
      </c>
      <c r="H29" s="45">
        <v>0</v>
      </c>
      <c r="I29" s="45">
        <v>0</v>
      </c>
      <c r="J29" s="45">
        <v>0</v>
      </c>
      <c r="K29" s="45">
        <v>0</v>
      </c>
      <c r="L29" s="45">
        <v>0</v>
      </c>
      <c r="M29" s="45">
        <v>0</v>
      </c>
      <c r="N29" s="45">
        <f>SUM(D29:M29)</f>
        <v>6025769</v>
      </c>
      <c r="O29" s="46">
        <f t="shared" si="1"/>
        <v>4.5458186446061033</v>
      </c>
      <c r="P29" s="9"/>
    </row>
    <row r="30" spans="1:16">
      <c r="A30" s="11"/>
      <c r="B30" s="24">
        <v>331.39</v>
      </c>
      <c r="C30" s="19" t="s">
        <v>35</v>
      </c>
      <c r="D30" s="45">
        <v>0</v>
      </c>
      <c r="E30" s="45">
        <v>6148602</v>
      </c>
      <c r="F30" s="45">
        <v>0</v>
      </c>
      <c r="G30" s="45">
        <v>930498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f t="shared" ref="N30:N38" si="6">SUM(D30:M30)</f>
        <v>7079100</v>
      </c>
      <c r="O30" s="46">
        <f t="shared" si="1"/>
        <v>5.3404477946351854</v>
      </c>
      <c r="P30" s="9"/>
    </row>
    <row r="31" spans="1:16">
      <c r="A31" s="11"/>
      <c r="B31" s="24">
        <v>331.49</v>
      </c>
      <c r="C31" s="19" t="s">
        <v>36</v>
      </c>
      <c r="D31" s="45">
        <v>0</v>
      </c>
      <c r="E31" s="45">
        <v>3779206</v>
      </c>
      <c r="F31" s="45">
        <v>0</v>
      </c>
      <c r="G31" s="45">
        <v>0</v>
      </c>
      <c r="H31" s="45">
        <v>0</v>
      </c>
      <c r="I31" s="45">
        <v>0</v>
      </c>
      <c r="J31" s="45">
        <v>0</v>
      </c>
      <c r="K31" s="45">
        <v>0</v>
      </c>
      <c r="L31" s="45">
        <v>0</v>
      </c>
      <c r="M31" s="45">
        <v>0</v>
      </c>
      <c r="N31" s="45">
        <f t="shared" si="6"/>
        <v>3779206</v>
      </c>
      <c r="O31" s="46">
        <f t="shared" si="1"/>
        <v>2.8510195290604821</v>
      </c>
      <c r="P31" s="9"/>
    </row>
    <row r="32" spans="1:16">
      <c r="A32" s="11"/>
      <c r="B32" s="24">
        <v>331.5</v>
      </c>
      <c r="C32" s="19" t="s">
        <v>31</v>
      </c>
      <c r="D32" s="45">
        <v>180</v>
      </c>
      <c r="E32" s="45">
        <v>8329615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45">
        <f t="shared" si="6"/>
        <v>8329795</v>
      </c>
      <c r="O32" s="46">
        <f t="shared" si="1"/>
        <v>6.283967642428161</v>
      </c>
      <c r="P32" s="9"/>
    </row>
    <row r="33" spans="1:16">
      <c r="A33" s="11"/>
      <c r="B33" s="24">
        <v>331.61</v>
      </c>
      <c r="C33" s="19" t="s">
        <v>37</v>
      </c>
      <c r="D33" s="45">
        <v>0</v>
      </c>
      <c r="E33" s="45">
        <v>3211208</v>
      </c>
      <c r="F33" s="45">
        <v>0</v>
      </c>
      <c r="G33" s="45">
        <v>0</v>
      </c>
      <c r="H33" s="45">
        <v>0</v>
      </c>
      <c r="I33" s="45">
        <v>0</v>
      </c>
      <c r="J33" s="45">
        <v>0</v>
      </c>
      <c r="K33" s="45">
        <v>0</v>
      </c>
      <c r="L33" s="45">
        <v>0</v>
      </c>
      <c r="M33" s="45">
        <v>0</v>
      </c>
      <c r="N33" s="45">
        <f t="shared" si="6"/>
        <v>3211208</v>
      </c>
      <c r="O33" s="46">
        <f t="shared" si="1"/>
        <v>2.4225238634451927</v>
      </c>
      <c r="P33" s="9"/>
    </row>
    <row r="34" spans="1:16">
      <c r="A34" s="11"/>
      <c r="B34" s="24">
        <v>331.65</v>
      </c>
      <c r="C34" s="19" t="s">
        <v>38</v>
      </c>
      <c r="D34" s="45">
        <v>1063074</v>
      </c>
      <c r="E34" s="45">
        <v>0</v>
      </c>
      <c r="F34" s="45">
        <v>0</v>
      </c>
      <c r="G34" s="45">
        <v>0</v>
      </c>
      <c r="H34" s="45">
        <v>0</v>
      </c>
      <c r="I34" s="45">
        <v>0</v>
      </c>
      <c r="J34" s="45">
        <v>0</v>
      </c>
      <c r="K34" s="45">
        <v>0</v>
      </c>
      <c r="L34" s="45">
        <v>0</v>
      </c>
      <c r="M34" s="45">
        <v>0</v>
      </c>
      <c r="N34" s="45">
        <f t="shared" si="6"/>
        <v>1063074</v>
      </c>
      <c r="O34" s="46">
        <f t="shared" si="1"/>
        <v>0.80197923448376274</v>
      </c>
      <c r="P34" s="9"/>
    </row>
    <row r="35" spans="1:16">
      <c r="A35" s="11"/>
      <c r="B35" s="24">
        <v>331.69</v>
      </c>
      <c r="C35" s="19" t="s">
        <v>39</v>
      </c>
      <c r="D35" s="45">
        <v>162</v>
      </c>
      <c r="E35" s="45">
        <v>46664293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f t="shared" si="6"/>
        <v>46664455</v>
      </c>
      <c r="O35" s="46">
        <f t="shared" si="1"/>
        <v>35.203498438022187</v>
      </c>
      <c r="P35" s="9"/>
    </row>
    <row r="36" spans="1:16">
      <c r="A36" s="11"/>
      <c r="B36" s="24">
        <v>333</v>
      </c>
      <c r="C36" s="19" t="s">
        <v>4</v>
      </c>
      <c r="D36" s="45">
        <v>770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f t="shared" si="6"/>
        <v>770</v>
      </c>
      <c r="O36" s="46">
        <f t="shared" si="1"/>
        <v>5.8088525403922711E-4</v>
      </c>
      <c r="P36" s="9"/>
    </row>
    <row r="37" spans="1:16">
      <c r="A37" s="11"/>
      <c r="B37" s="24">
        <v>334.1</v>
      </c>
      <c r="C37" s="19" t="s">
        <v>189</v>
      </c>
      <c r="D37" s="45">
        <v>0</v>
      </c>
      <c r="E37" s="45">
        <v>431310</v>
      </c>
      <c r="F37" s="45">
        <v>0</v>
      </c>
      <c r="G37" s="45">
        <v>0</v>
      </c>
      <c r="H37" s="45">
        <v>0</v>
      </c>
      <c r="I37" s="45">
        <v>0</v>
      </c>
      <c r="J37" s="45">
        <v>0</v>
      </c>
      <c r="K37" s="45">
        <v>0</v>
      </c>
      <c r="L37" s="45">
        <v>0</v>
      </c>
      <c r="M37" s="45">
        <v>0</v>
      </c>
      <c r="N37" s="45">
        <f t="shared" si="6"/>
        <v>431310</v>
      </c>
      <c r="O37" s="46">
        <f t="shared" ref="O37:O68" si="7">(N37/O$157)</f>
        <v>0.32537872586968708</v>
      </c>
      <c r="P37" s="9"/>
    </row>
    <row r="38" spans="1:16">
      <c r="A38" s="11"/>
      <c r="B38" s="24">
        <v>334.2</v>
      </c>
      <c r="C38" s="19" t="s">
        <v>33</v>
      </c>
      <c r="D38" s="45">
        <v>0</v>
      </c>
      <c r="E38" s="45">
        <v>2227567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5">
        <v>0</v>
      </c>
      <c r="L38" s="45">
        <v>0</v>
      </c>
      <c r="M38" s="45">
        <v>0</v>
      </c>
      <c r="N38" s="45">
        <f t="shared" si="6"/>
        <v>2227567</v>
      </c>
      <c r="O38" s="46">
        <f t="shared" si="7"/>
        <v>1.6804686008888299</v>
      </c>
      <c r="P38" s="9"/>
    </row>
    <row r="39" spans="1:16">
      <c r="A39" s="11"/>
      <c r="B39" s="24">
        <v>334.39</v>
      </c>
      <c r="C39" s="19" t="s">
        <v>40</v>
      </c>
      <c r="D39" s="45">
        <v>0</v>
      </c>
      <c r="E39" s="45">
        <v>1857378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f t="shared" ref="N39:N63" si="8">SUM(D39:M39)</f>
        <v>1857378</v>
      </c>
      <c r="O39" s="46">
        <f t="shared" si="7"/>
        <v>1.4011993394504825</v>
      </c>
      <c r="P39" s="9"/>
    </row>
    <row r="40" spans="1:16">
      <c r="A40" s="11"/>
      <c r="B40" s="24">
        <v>334.49</v>
      </c>
      <c r="C40" s="19" t="s">
        <v>41</v>
      </c>
      <c r="D40" s="45">
        <v>0</v>
      </c>
      <c r="E40" s="45">
        <v>135231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5">
        <v>0</v>
      </c>
      <c r="L40" s="45">
        <v>0</v>
      </c>
      <c r="M40" s="45">
        <v>0</v>
      </c>
      <c r="N40" s="45">
        <f t="shared" si="8"/>
        <v>135231</v>
      </c>
      <c r="O40" s="46">
        <f t="shared" si="7"/>
        <v>0.1020177841415308</v>
      </c>
      <c r="P40" s="9"/>
    </row>
    <row r="41" spans="1:16">
      <c r="A41" s="11"/>
      <c r="B41" s="24">
        <v>334.5</v>
      </c>
      <c r="C41" s="19" t="s">
        <v>42</v>
      </c>
      <c r="D41" s="45">
        <v>0</v>
      </c>
      <c r="E41" s="45">
        <v>20000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f t="shared" si="8"/>
        <v>20000</v>
      </c>
      <c r="O41" s="46">
        <f t="shared" si="7"/>
        <v>1.5087928676343561E-2</v>
      </c>
      <c r="P41" s="9"/>
    </row>
    <row r="42" spans="1:16">
      <c r="A42" s="11"/>
      <c r="B42" s="24">
        <v>334.61</v>
      </c>
      <c r="C42" s="19" t="s">
        <v>43</v>
      </c>
      <c r="D42" s="45">
        <v>0</v>
      </c>
      <c r="E42" s="45">
        <v>188399</v>
      </c>
      <c r="F42" s="45">
        <v>0</v>
      </c>
      <c r="G42" s="45">
        <v>0</v>
      </c>
      <c r="H42" s="45">
        <v>0</v>
      </c>
      <c r="I42" s="45">
        <v>20000</v>
      </c>
      <c r="J42" s="45">
        <v>0</v>
      </c>
      <c r="K42" s="45">
        <v>0</v>
      </c>
      <c r="L42" s="45">
        <v>0</v>
      </c>
      <c r="M42" s="45">
        <v>0</v>
      </c>
      <c r="N42" s="45">
        <f t="shared" si="8"/>
        <v>208399</v>
      </c>
      <c r="O42" s="46">
        <f t="shared" si="7"/>
        <v>0.1572154624110661</v>
      </c>
      <c r="P42" s="9"/>
    </row>
    <row r="43" spans="1:16">
      <c r="A43" s="11"/>
      <c r="B43" s="24">
        <v>334.69</v>
      </c>
      <c r="C43" s="19" t="s">
        <v>44</v>
      </c>
      <c r="D43" s="45">
        <v>0</v>
      </c>
      <c r="E43" s="45">
        <v>3660439</v>
      </c>
      <c r="F43" s="45">
        <v>0</v>
      </c>
      <c r="G43" s="45">
        <v>0</v>
      </c>
      <c r="H43" s="45">
        <v>0</v>
      </c>
      <c r="I43" s="45">
        <v>0</v>
      </c>
      <c r="J43" s="45">
        <v>0</v>
      </c>
      <c r="K43" s="45">
        <v>0</v>
      </c>
      <c r="L43" s="45">
        <v>0</v>
      </c>
      <c r="M43" s="45">
        <v>0</v>
      </c>
      <c r="N43" s="45">
        <f t="shared" si="8"/>
        <v>3660439</v>
      </c>
      <c r="O43" s="46">
        <f t="shared" si="7"/>
        <v>2.7614221278053175</v>
      </c>
      <c r="P43" s="9"/>
    </row>
    <row r="44" spans="1:16">
      <c r="A44" s="11"/>
      <c r="B44" s="24">
        <v>334.7</v>
      </c>
      <c r="C44" s="19" t="s">
        <v>45</v>
      </c>
      <c r="D44" s="45">
        <v>0</v>
      </c>
      <c r="E44" s="45">
        <v>1233292</v>
      </c>
      <c r="F44" s="45">
        <v>0</v>
      </c>
      <c r="G44" s="45">
        <v>0</v>
      </c>
      <c r="H44" s="45">
        <v>0</v>
      </c>
      <c r="I44" s="45">
        <v>0</v>
      </c>
      <c r="J44" s="45">
        <v>0</v>
      </c>
      <c r="K44" s="45">
        <v>0</v>
      </c>
      <c r="L44" s="45">
        <v>0</v>
      </c>
      <c r="M44" s="45">
        <v>0</v>
      </c>
      <c r="N44" s="45">
        <f t="shared" si="8"/>
        <v>1233292</v>
      </c>
      <c r="O44" s="46">
        <f t="shared" si="7"/>
        <v>0.93039108665525516</v>
      </c>
      <c r="P44" s="9"/>
    </row>
    <row r="45" spans="1:16">
      <c r="A45" s="11"/>
      <c r="B45" s="24">
        <v>334.82</v>
      </c>
      <c r="C45" s="19" t="s">
        <v>264</v>
      </c>
      <c r="D45" s="45">
        <v>0</v>
      </c>
      <c r="E45" s="45">
        <v>1812043</v>
      </c>
      <c r="F45" s="45">
        <v>0</v>
      </c>
      <c r="G45" s="45">
        <v>0</v>
      </c>
      <c r="H45" s="45">
        <v>0</v>
      </c>
      <c r="I45" s="45">
        <v>0</v>
      </c>
      <c r="J45" s="45">
        <v>0</v>
      </c>
      <c r="K45" s="45">
        <v>0</v>
      </c>
      <c r="L45" s="45">
        <v>0</v>
      </c>
      <c r="M45" s="45">
        <v>0</v>
      </c>
      <c r="N45" s="45">
        <f>SUM(D45:M45)</f>
        <v>1812043</v>
      </c>
      <c r="O45" s="46">
        <f t="shared" si="7"/>
        <v>1.3669987771233807</v>
      </c>
      <c r="P45" s="9"/>
    </row>
    <row r="46" spans="1:16">
      <c r="A46" s="11"/>
      <c r="B46" s="24">
        <v>334.89</v>
      </c>
      <c r="C46" s="19" t="s">
        <v>46</v>
      </c>
      <c r="D46" s="45">
        <v>0</v>
      </c>
      <c r="E46" s="45">
        <v>212829</v>
      </c>
      <c r="F46" s="45">
        <v>0</v>
      </c>
      <c r="G46" s="45">
        <v>0</v>
      </c>
      <c r="H46" s="45">
        <v>0</v>
      </c>
      <c r="I46" s="45">
        <v>0</v>
      </c>
      <c r="J46" s="45">
        <v>0</v>
      </c>
      <c r="K46" s="45">
        <v>0</v>
      </c>
      <c r="L46" s="45">
        <v>0</v>
      </c>
      <c r="M46" s="45">
        <v>0</v>
      </c>
      <c r="N46" s="45">
        <f t="shared" si="8"/>
        <v>212829</v>
      </c>
      <c r="O46" s="46">
        <f t="shared" si="7"/>
        <v>0.16055743861287619</v>
      </c>
      <c r="P46" s="9"/>
    </row>
    <row r="47" spans="1:16">
      <c r="A47" s="11"/>
      <c r="B47" s="24">
        <v>334.9</v>
      </c>
      <c r="C47" s="19" t="s">
        <v>47</v>
      </c>
      <c r="D47" s="45">
        <v>0</v>
      </c>
      <c r="E47" s="45">
        <v>1726802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f t="shared" si="8"/>
        <v>1726802</v>
      </c>
      <c r="O47" s="46">
        <f t="shared" si="7"/>
        <v>1.3026932707083707</v>
      </c>
      <c r="P47" s="9"/>
    </row>
    <row r="48" spans="1:16">
      <c r="A48" s="11"/>
      <c r="B48" s="24">
        <v>335.12</v>
      </c>
      <c r="C48" s="19" t="s">
        <v>204</v>
      </c>
      <c r="D48" s="45">
        <v>25555596</v>
      </c>
      <c r="E48" s="45">
        <v>6752474</v>
      </c>
      <c r="F48" s="45">
        <v>0</v>
      </c>
      <c r="G48" s="45">
        <v>0</v>
      </c>
      <c r="H48" s="45">
        <v>0</v>
      </c>
      <c r="I48" s="45">
        <v>0</v>
      </c>
      <c r="J48" s="45">
        <v>0</v>
      </c>
      <c r="K48" s="45">
        <v>0</v>
      </c>
      <c r="L48" s="45">
        <v>0</v>
      </c>
      <c r="M48" s="45">
        <v>0</v>
      </c>
      <c r="N48" s="45">
        <f t="shared" si="8"/>
        <v>32308070</v>
      </c>
      <c r="O48" s="46">
        <f t="shared" si="7"/>
        <v>24.373092791515756</v>
      </c>
      <c r="P48" s="9"/>
    </row>
    <row r="49" spans="1:16">
      <c r="A49" s="11"/>
      <c r="B49" s="24">
        <v>335.13</v>
      </c>
      <c r="C49" s="19" t="s">
        <v>205</v>
      </c>
      <c r="D49" s="45">
        <v>322128</v>
      </c>
      <c r="E49" s="45">
        <v>0</v>
      </c>
      <c r="F49" s="45">
        <v>0</v>
      </c>
      <c r="G49" s="45">
        <v>0</v>
      </c>
      <c r="H49" s="45">
        <v>0</v>
      </c>
      <c r="I49" s="45">
        <v>0</v>
      </c>
      <c r="J49" s="45">
        <v>0</v>
      </c>
      <c r="K49" s="45">
        <v>0</v>
      </c>
      <c r="L49" s="45">
        <v>0</v>
      </c>
      <c r="M49" s="45">
        <v>0</v>
      </c>
      <c r="N49" s="45">
        <f t="shared" si="8"/>
        <v>322128</v>
      </c>
      <c r="O49" s="46">
        <f t="shared" si="7"/>
        <v>0.24301221443265994</v>
      </c>
      <c r="P49" s="9"/>
    </row>
    <row r="50" spans="1:16">
      <c r="A50" s="11"/>
      <c r="B50" s="24">
        <v>335.14</v>
      </c>
      <c r="C50" s="19" t="s">
        <v>206</v>
      </c>
      <c r="D50" s="45">
        <v>415162</v>
      </c>
      <c r="E50" s="45">
        <v>0</v>
      </c>
      <c r="F50" s="45">
        <v>0</v>
      </c>
      <c r="G50" s="45">
        <v>0</v>
      </c>
      <c r="H50" s="45">
        <v>0</v>
      </c>
      <c r="I50" s="45">
        <v>0</v>
      </c>
      <c r="J50" s="45">
        <v>0</v>
      </c>
      <c r="K50" s="45">
        <v>0</v>
      </c>
      <c r="L50" s="45">
        <v>0</v>
      </c>
      <c r="M50" s="45">
        <v>0</v>
      </c>
      <c r="N50" s="45">
        <f t="shared" si="8"/>
        <v>415162</v>
      </c>
      <c r="O50" s="46">
        <f t="shared" si="7"/>
        <v>0.31319673225640726</v>
      </c>
      <c r="P50" s="9"/>
    </row>
    <row r="51" spans="1:16">
      <c r="A51" s="11"/>
      <c r="B51" s="24">
        <v>335.15</v>
      </c>
      <c r="C51" s="19" t="s">
        <v>207</v>
      </c>
      <c r="D51" s="45">
        <v>812789</v>
      </c>
      <c r="E51" s="45">
        <v>0</v>
      </c>
      <c r="F51" s="45">
        <v>0</v>
      </c>
      <c r="G51" s="45">
        <v>0</v>
      </c>
      <c r="H51" s="45">
        <v>0</v>
      </c>
      <c r="I51" s="45">
        <v>0</v>
      </c>
      <c r="J51" s="45">
        <v>0</v>
      </c>
      <c r="K51" s="45">
        <v>0</v>
      </c>
      <c r="L51" s="45">
        <v>0</v>
      </c>
      <c r="M51" s="45">
        <v>0</v>
      </c>
      <c r="N51" s="45">
        <f t="shared" si="8"/>
        <v>812789</v>
      </c>
      <c r="O51" s="46">
        <f t="shared" si="7"/>
        <v>0.61316512304583037</v>
      </c>
      <c r="P51" s="9"/>
    </row>
    <row r="52" spans="1:16">
      <c r="A52" s="11"/>
      <c r="B52" s="24">
        <v>335.16</v>
      </c>
      <c r="C52" s="19" t="s">
        <v>208</v>
      </c>
      <c r="D52" s="45">
        <v>3454283</v>
      </c>
      <c r="E52" s="45">
        <v>0</v>
      </c>
      <c r="F52" s="45">
        <v>0</v>
      </c>
      <c r="G52" s="45">
        <v>0</v>
      </c>
      <c r="H52" s="45">
        <v>0</v>
      </c>
      <c r="I52" s="45">
        <v>0</v>
      </c>
      <c r="J52" s="45">
        <v>0</v>
      </c>
      <c r="K52" s="45">
        <v>0</v>
      </c>
      <c r="L52" s="45">
        <v>0</v>
      </c>
      <c r="M52" s="45">
        <v>0</v>
      </c>
      <c r="N52" s="45">
        <f t="shared" si="8"/>
        <v>3454283</v>
      </c>
      <c r="O52" s="46">
        <f t="shared" si="7"/>
        <v>2.6058987765953034</v>
      </c>
      <c r="P52" s="9"/>
    </row>
    <row r="53" spans="1:16">
      <c r="A53" s="11"/>
      <c r="B53" s="24">
        <v>335.17</v>
      </c>
      <c r="C53" s="19" t="s">
        <v>209</v>
      </c>
      <c r="D53" s="45">
        <v>79661</v>
      </c>
      <c r="E53" s="45">
        <v>0</v>
      </c>
      <c r="F53" s="45">
        <v>0</v>
      </c>
      <c r="G53" s="45">
        <v>0</v>
      </c>
      <c r="H53" s="45">
        <v>0</v>
      </c>
      <c r="I53" s="45">
        <v>0</v>
      </c>
      <c r="J53" s="45">
        <v>0</v>
      </c>
      <c r="K53" s="45">
        <v>0</v>
      </c>
      <c r="L53" s="45">
        <v>0</v>
      </c>
      <c r="M53" s="45">
        <v>0</v>
      </c>
      <c r="N53" s="45">
        <f t="shared" si="8"/>
        <v>79661</v>
      </c>
      <c r="O53" s="46">
        <f t="shared" si="7"/>
        <v>6.009597431431022E-2</v>
      </c>
      <c r="P53" s="9"/>
    </row>
    <row r="54" spans="1:16">
      <c r="A54" s="11"/>
      <c r="B54" s="24">
        <v>335.18</v>
      </c>
      <c r="C54" s="19" t="s">
        <v>210</v>
      </c>
      <c r="D54" s="45">
        <v>0</v>
      </c>
      <c r="E54" s="45">
        <v>95715790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f t="shared" si="8"/>
        <v>95715790</v>
      </c>
      <c r="O54" s="46">
        <f t="shared" si="7"/>
        <v>72.207650635993915</v>
      </c>
      <c r="P54" s="9"/>
    </row>
    <row r="55" spans="1:16">
      <c r="A55" s="11"/>
      <c r="B55" s="24">
        <v>335.21</v>
      </c>
      <c r="C55" s="19" t="s">
        <v>55</v>
      </c>
      <c r="D55" s="45">
        <v>132835</v>
      </c>
      <c r="E55" s="45">
        <v>140350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f t="shared" si="8"/>
        <v>273185</v>
      </c>
      <c r="O55" s="46">
        <f t="shared" si="7"/>
        <v>0.20608978977234579</v>
      </c>
      <c r="P55" s="9"/>
    </row>
    <row r="56" spans="1:16">
      <c r="A56" s="11"/>
      <c r="B56" s="24">
        <v>335.22</v>
      </c>
      <c r="C56" s="19" t="s">
        <v>56</v>
      </c>
      <c r="D56" s="45">
        <v>0</v>
      </c>
      <c r="E56" s="45">
        <v>6768642</v>
      </c>
      <c r="F56" s="45">
        <v>0</v>
      </c>
      <c r="G56" s="45">
        <v>0</v>
      </c>
      <c r="H56" s="45">
        <v>0</v>
      </c>
      <c r="I56" s="45">
        <v>0</v>
      </c>
      <c r="J56" s="45">
        <v>0</v>
      </c>
      <c r="K56" s="45">
        <v>0</v>
      </c>
      <c r="L56" s="45">
        <v>0</v>
      </c>
      <c r="M56" s="45">
        <v>0</v>
      </c>
      <c r="N56" s="45">
        <f t="shared" si="8"/>
        <v>6768642</v>
      </c>
      <c r="O56" s="46">
        <f t="shared" si="7"/>
        <v>5.1062393865851714</v>
      </c>
      <c r="P56" s="9"/>
    </row>
    <row r="57" spans="1:16">
      <c r="A57" s="11"/>
      <c r="B57" s="24">
        <v>335.23</v>
      </c>
      <c r="C57" s="19" t="s">
        <v>171</v>
      </c>
      <c r="D57" s="45">
        <v>0</v>
      </c>
      <c r="E57" s="45">
        <v>105806</v>
      </c>
      <c r="F57" s="45">
        <v>0</v>
      </c>
      <c r="G57" s="45">
        <v>0</v>
      </c>
      <c r="H57" s="45">
        <v>0</v>
      </c>
      <c r="I57" s="45">
        <v>0</v>
      </c>
      <c r="J57" s="45">
        <v>0</v>
      </c>
      <c r="K57" s="45">
        <v>0</v>
      </c>
      <c r="L57" s="45">
        <v>0</v>
      </c>
      <c r="M57" s="45">
        <v>0</v>
      </c>
      <c r="N57" s="45">
        <f t="shared" si="8"/>
        <v>105806</v>
      </c>
      <c r="O57" s="46">
        <f t="shared" si="7"/>
        <v>7.9819669076460348E-2</v>
      </c>
      <c r="P57" s="9"/>
    </row>
    <row r="58" spans="1:16">
      <c r="A58" s="11"/>
      <c r="B58" s="24">
        <v>335.29</v>
      </c>
      <c r="C58" s="19" t="s">
        <v>57</v>
      </c>
      <c r="D58" s="45">
        <v>32822</v>
      </c>
      <c r="E58" s="45">
        <v>0</v>
      </c>
      <c r="F58" s="45">
        <v>0</v>
      </c>
      <c r="G58" s="45">
        <v>0</v>
      </c>
      <c r="H58" s="45">
        <v>0</v>
      </c>
      <c r="I58" s="45">
        <v>0</v>
      </c>
      <c r="J58" s="45">
        <v>0</v>
      </c>
      <c r="K58" s="45">
        <v>0</v>
      </c>
      <c r="L58" s="45">
        <v>0</v>
      </c>
      <c r="M58" s="45">
        <v>0</v>
      </c>
      <c r="N58" s="45">
        <f t="shared" si="8"/>
        <v>32822</v>
      </c>
      <c r="O58" s="46">
        <f t="shared" si="7"/>
        <v>2.4760799750747419E-2</v>
      </c>
      <c r="P58" s="9"/>
    </row>
    <row r="59" spans="1:16">
      <c r="A59" s="11"/>
      <c r="B59" s="24">
        <v>335.39</v>
      </c>
      <c r="C59" s="19" t="s">
        <v>58</v>
      </c>
      <c r="D59" s="45">
        <v>0</v>
      </c>
      <c r="E59" s="45">
        <v>2179075</v>
      </c>
      <c r="F59" s="45">
        <v>0</v>
      </c>
      <c r="G59" s="45">
        <v>0</v>
      </c>
      <c r="H59" s="45">
        <v>0</v>
      </c>
      <c r="I59" s="45">
        <v>0</v>
      </c>
      <c r="J59" s="45">
        <v>0</v>
      </c>
      <c r="K59" s="45">
        <v>0</v>
      </c>
      <c r="L59" s="45">
        <v>0</v>
      </c>
      <c r="M59" s="45">
        <v>0</v>
      </c>
      <c r="N59" s="45">
        <f t="shared" si="8"/>
        <v>2179075</v>
      </c>
      <c r="O59" s="46">
        <f t="shared" si="7"/>
        <v>1.6438864090201672</v>
      </c>
      <c r="P59" s="9"/>
    </row>
    <row r="60" spans="1:16">
      <c r="A60" s="11"/>
      <c r="B60" s="24">
        <v>335.49</v>
      </c>
      <c r="C60" s="19" t="s">
        <v>59</v>
      </c>
      <c r="D60" s="45">
        <v>0</v>
      </c>
      <c r="E60" s="45">
        <v>17051941</v>
      </c>
      <c r="F60" s="45">
        <v>0</v>
      </c>
      <c r="G60" s="45">
        <v>0</v>
      </c>
      <c r="H60" s="45">
        <v>0</v>
      </c>
      <c r="I60" s="45">
        <v>0</v>
      </c>
      <c r="J60" s="45">
        <v>0</v>
      </c>
      <c r="K60" s="45">
        <v>0</v>
      </c>
      <c r="L60" s="45">
        <v>0</v>
      </c>
      <c r="M60" s="45">
        <v>0</v>
      </c>
      <c r="N60" s="45">
        <f t="shared" si="8"/>
        <v>17051941</v>
      </c>
      <c r="O60" s="46">
        <f t="shared" si="7"/>
        <v>12.863923480060926</v>
      </c>
      <c r="P60" s="9"/>
    </row>
    <row r="61" spans="1:16">
      <c r="A61" s="11"/>
      <c r="B61" s="24">
        <v>335.5</v>
      </c>
      <c r="C61" s="19" t="s">
        <v>60</v>
      </c>
      <c r="D61" s="45">
        <v>0</v>
      </c>
      <c r="E61" s="45">
        <v>3870085</v>
      </c>
      <c r="F61" s="45">
        <v>0</v>
      </c>
      <c r="G61" s="45">
        <v>0</v>
      </c>
      <c r="H61" s="45">
        <v>0</v>
      </c>
      <c r="I61" s="45">
        <v>0</v>
      </c>
      <c r="J61" s="45">
        <v>0</v>
      </c>
      <c r="K61" s="45">
        <v>0</v>
      </c>
      <c r="L61" s="45">
        <v>0</v>
      </c>
      <c r="M61" s="45">
        <v>0</v>
      </c>
      <c r="N61" s="45">
        <f t="shared" si="8"/>
        <v>3870085</v>
      </c>
      <c r="O61" s="46">
        <f t="shared" si="7"/>
        <v>2.9195783225693535</v>
      </c>
      <c r="P61" s="9"/>
    </row>
    <row r="62" spans="1:16">
      <c r="A62" s="11"/>
      <c r="B62" s="24">
        <v>335.69</v>
      </c>
      <c r="C62" s="19" t="s">
        <v>61</v>
      </c>
      <c r="D62" s="45">
        <v>0</v>
      </c>
      <c r="E62" s="45">
        <v>0</v>
      </c>
      <c r="F62" s="45">
        <v>0</v>
      </c>
      <c r="G62" s="45">
        <v>0</v>
      </c>
      <c r="H62" s="45">
        <v>0</v>
      </c>
      <c r="I62" s="45">
        <v>0</v>
      </c>
      <c r="J62" s="45">
        <v>162886</v>
      </c>
      <c r="K62" s="45">
        <v>0</v>
      </c>
      <c r="L62" s="45">
        <v>0</v>
      </c>
      <c r="M62" s="45">
        <v>0</v>
      </c>
      <c r="N62" s="45">
        <f t="shared" si="8"/>
        <v>162886</v>
      </c>
      <c r="O62" s="46">
        <f t="shared" si="7"/>
        <v>0.12288061751874486</v>
      </c>
      <c r="P62" s="9"/>
    </row>
    <row r="63" spans="1:16">
      <c r="A63" s="11"/>
      <c r="B63" s="24">
        <v>335.7</v>
      </c>
      <c r="C63" s="19" t="s">
        <v>62</v>
      </c>
      <c r="D63" s="45">
        <v>0</v>
      </c>
      <c r="E63" s="45">
        <v>2286214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0</v>
      </c>
      <c r="N63" s="45">
        <f t="shared" si="8"/>
        <v>2286214</v>
      </c>
      <c r="O63" s="46">
        <f t="shared" si="7"/>
        <v>1.7247116885429059</v>
      </c>
      <c r="P63" s="9"/>
    </row>
    <row r="64" spans="1:16">
      <c r="A64" s="11"/>
      <c r="B64" s="24">
        <v>337.1</v>
      </c>
      <c r="C64" s="19" t="s">
        <v>64</v>
      </c>
      <c r="D64" s="45">
        <v>0</v>
      </c>
      <c r="E64" s="45">
        <v>0</v>
      </c>
      <c r="F64" s="45">
        <v>0</v>
      </c>
      <c r="G64" s="45">
        <v>0</v>
      </c>
      <c r="H64" s="45">
        <v>0</v>
      </c>
      <c r="I64" s="45">
        <v>0</v>
      </c>
      <c r="J64" s="45">
        <v>0</v>
      </c>
      <c r="K64" s="45">
        <v>0</v>
      </c>
      <c r="L64" s="45">
        <v>0</v>
      </c>
      <c r="M64" s="45">
        <v>3577008</v>
      </c>
      <c r="N64" s="45">
        <f t="shared" ref="N64:N72" si="9">SUM(D64:M64)</f>
        <v>3577008</v>
      </c>
      <c r="O64" s="46">
        <f t="shared" si="7"/>
        <v>2.6984820789355166</v>
      </c>
      <c r="P64" s="9"/>
    </row>
    <row r="65" spans="1:16">
      <c r="A65" s="11"/>
      <c r="B65" s="24">
        <v>337.2</v>
      </c>
      <c r="C65" s="19" t="s">
        <v>65</v>
      </c>
      <c r="D65" s="45">
        <v>383500</v>
      </c>
      <c r="E65" s="45">
        <v>5000</v>
      </c>
      <c r="F65" s="45">
        <v>0</v>
      </c>
      <c r="G65" s="45">
        <v>0</v>
      </c>
      <c r="H65" s="45">
        <v>0</v>
      </c>
      <c r="I65" s="45">
        <v>0</v>
      </c>
      <c r="J65" s="45">
        <v>0</v>
      </c>
      <c r="K65" s="45">
        <v>0</v>
      </c>
      <c r="L65" s="45">
        <v>0</v>
      </c>
      <c r="M65" s="45">
        <v>0</v>
      </c>
      <c r="N65" s="45">
        <f t="shared" si="9"/>
        <v>388500</v>
      </c>
      <c r="O65" s="46">
        <f t="shared" si="7"/>
        <v>0.2930830145379737</v>
      </c>
      <c r="P65" s="9"/>
    </row>
    <row r="66" spans="1:16">
      <c r="A66" s="11"/>
      <c r="B66" s="24">
        <v>337.3</v>
      </c>
      <c r="C66" s="19" t="s">
        <v>66</v>
      </c>
      <c r="D66" s="45">
        <v>0</v>
      </c>
      <c r="E66" s="45">
        <v>1463433</v>
      </c>
      <c r="F66" s="45">
        <v>0</v>
      </c>
      <c r="G66" s="45">
        <v>0</v>
      </c>
      <c r="H66" s="45">
        <v>0</v>
      </c>
      <c r="I66" s="45">
        <v>0</v>
      </c>
      <c r="J66" s="45">
        <v>0</v>
      </c>
      <c r="K66" s="45">
        <v>0</v>
      </c>
      <c r="L66" s="45">
        <v>0</v>
      </c>
      <c r="M66" s="45">
        <v>0</v>
      </c>
      <c r="N66" s="45">
        <f t="shared" si="9"/>
        <v>1463433</v>
      </c>
      <c r="O66" s="46">
        <f t="shared" si="7"/>
        <v>1.1040086363303743</v>
      </c>
      <c r="P66" s="9"/>
    </row>
    <row r="67" spans="1:16">
      <c r="A67" s="11"/>
      <c r="B67" s="24">
        <v>337.4</v>
      </c>
      <c r="C67" s="19" t="s">
        <v>172</v>
      </c>
      <c r="D67" s="45">
        <v>35000</v>
      </c>
      <c r="E67" s="45">
        <v>0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>
        <v>0</v>
      </c>
      <c r="N67" s="45">
        <f t="shared" si="9"/>
        <v>35000</v>
      </c>
      <c r="O67" s="46">
        <f t="shared" si="7"/>
        <v>2.6403875183601232E-2</v>
      </c>
      <c r="P67" s="9"/>
    </row>
    <row r="68" spans="1:16">
      <c r="A68" s="11"/>
      <c r="B68" s="24">
        <v>337.5</v>
      </c>
      <c r="C68" s="19" t="s">
        <v>67</v>
      </c>
      <c r="D68" s="45">
        <v>103126</v>
      </c>
      <c r="E68" s="45">
        <v>0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</v>
      </c>
      <c r="L68" s="45">
        <v>0</v>
      </c>
      <c r="M68" s="45">
        <v>400000</v>
      </c>
      <c r="N68" s="45">
        <f t="shared" si="9"/>
        <v>503126</v>
      </c>
      <c r="O68" s="46">
        <f t="shared" si="7"/>
        <v>0.37955646016070155</v>
      </c>
      <c r="P68" s="9"/>
    </row>
    <row r="69" spans="1:16">
      <c r="A69" s="11"/>
      <c r="B69" s="24">
        <v>337.7</v>
      </c>
      <c r="C69" s="19" t="s">
        <v>68</v>
      </c>
      <c r="D69" s="45">
        <v>0</v>
      </c>
      <c r="E69" s="45">
        <v>472500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5">
        <v>0</v>
      </c>
      <c r="L69" s="45">
        <v>0</v>
      </c>
      <c r="M69" s="45">
        <v>0</v>
      </c>
      <c r="N69" s="45">
        <f t="shared" si="9"/>
        <v>472500</v>
      </c>
      <c r="O69" s="46">
        <f t="shared" ref="O69:O100" si="10">(N69/O$157)</f>
        <v>0.35645231497861662</v>
      </c>
      <c r="P69" s="9"/>
    </row>
    <row r="70" spans="1:16">
      <c r="A70" s="11"/>
      <c r="B70" s="24">
        <v>337.9</v>
      </c>
      <c r="C70" s="19" t="s">
        <v>69</v>
      </c>
      <c r="D70" s="45">
        <v>0</v>
      </c>
      <c r="E70" s="45">
        <v>60544</v>
      </c>
      <c r="F70" s="45">
        <v>0</v>
      </c>
      <c r="G70" s="45">
        <v>0</v>
      </c>
      <c r="H70" s="45">
        <v>0</v>
      </c>
      <c r="I70" s="45">
        <v>0</v>
      </c>
      <c r="J70" s="45">
        <v>0</v>
      </c>
      <c r="K70" s="45">
        <v>0</v>
      </c>
      <c r="L70" s="45">
        <v>0</v>
      </c>
      <c r="M70" s="45">
        <v>0</v>
      </c>
      <c r="N70" s="45">
        <f t="shared" si="9"/>
        <v>60544</v>
      </c>
      <c r="O70" s="46">
        <f t="shared" si="10"/>
        <v>4.5674177689027227E-2</v>
      </c>
      <c r="P70" s="9"/>
    </row>
    <row r="71" spans="1:16" ht="15.75">
      <c r="A71" s="28" t="s">
        <v>75</v>
      </c>
      <c r="B71" s="29"/>
      <c r="C71" s="30"/>
      <c r="D71" s="31">
        <f t="shared" ref="D71:M71" si="11">SUM(D72:D125)</f>
        <v>108586733</v>
      </c>
      <c r="E71" s="31">
        <f t="shared" si="11"/>
        <v>46468797</v>
      </c>
      <c r="F71" s="31">
        <f t="shared" si="11"/>
        <v>544557</v>
      </c>
      <c r="G71" s="31">
        <f t="shared" si="11"/>
        <v>0</v>
      </c>
      <c r="H71" s="31">
        <f t="shared" si="11"/>
        <v>0</v>
      </c>
      <c r="I71" s="31">
        <f t="shared" si="11"/>
        <v>314197611</v>
      </c>
      <c r="J71" s="31">
        <f t="shared" si="11"/>
        <v>157254394</v>
      </c>
      <c r="K71" s="31">
        <f t="shared" si="11"/>
        <v>0</v>
      </c>
      <c r="L71" s="31">
        <f t="shared" si="11"/>
        <v>0</v>
      </c>
      <c r="M71" s="31">
        <f t="shared" si="11"/>
        <v>1123932</v>
      </c>
      <c r="N71" s="31">
        <f t="shared" si="9"/>
        <v>628176024</v>
      </c>
      <c r="O71" s="44">
        <f t="shared" si="10"/>
        <v>473.89375231505403</v>
      </c>
      <c r="P71" s="10"/>
    </row>
    <row r="72" spans="1:16">
      <c r="A72" s="11"/>
      <c r="B72" s="24">
        <v>341.1</v>
      </c>
      <c r="C72" s="19" t="s">
        <v>212</v>
      </c>
      <c r="D72" s="45">
        <v>6000794</v>
      </c>
      <c r="E72" s="45">
        <v>0</v>
      </c>
      <c r="F72" s="45">
        <v>0</v>
      </c>
      <c r="G72" s="45">
        <v>0</v>
      </c>
      <c r="H72" s="45">
        <v>0</v>
      </c>
      <c r="I72" s="45">
        <v>0</v>
      </c>
      <c r="J72" s="45">
        <v>0</v>
      </c>
      <c r="K72" s="45">
        <v>0</v>
      </c>
      <c r="L72" s="45">
        <v>0</v>
      </c>
      <c r="M72" s="45">
        <v>0</v>
      </c>
      <c r="N72" s="45">
        <f t="shared" si="9"/>
        <v>6000794</v>
      </c>
      <c r="O72" s="46">
        <f t="shared" si="10"/>
        <v>4.5269775936715195</v>
      </c>
      <c r="P72" s="9"/>
    </row>
    <row r="73" spans="1:16">
      <c r="A73" s="11"/>
      <c r="B73" s="24">
        <v>341.15</v>
      </c>
      <c r="C73" s="19" t="s">
        <v>213</v>
      </c>
      <c r="D73" s="45">
        <v>0</v>
      </c>
      <c r="E73" s="45">
        <v>2398048</v>
      </c>
      <c r="F73" s="45">
        <v>0</v>
      </c>
      <c r="G73" s="45">
        <v>0</v>
      </c>
      <c r="H73" s="45">
        <v>0</v>
      </c>
      <c r="I73" s="45">
        <v>0</v>
      </c>
      <c r="J73" s="45">
        <v>0</v>
      </c>
      <c r="K73" s="45">
        <v>0</v>
      </c>
      <c r="L73" s="45">
        <v>0</v>
      </c>
      <c r="M73" s="45">
        <v>0</v>
      </c>
      <c r="N73" s="45">
        <f t="shared" ref="N73:N125" si="12">SUM(D73:M73)</f>
        <v>2398048</v>
      </c>
      <c r="O73" s="46">
        <f t="shared" si="10"/>
        <v>1.8090788593224163</v>
      </c>
      <c r="P73" s="9"/>
    </row>
    <row r="74" spans="1:16">
      <c r="A74" s="11"/>
      <c r="B74" s="24">
        <v>341.16</v>
      </c>
      <c r="C74" s="19" t="s">
        <v>214</v>
      </c>
      <c r="D74" s="45">
        <v>0</v>
      </c>
      <c r="E74" s="45">
        <v>1876278</v>
      </c>
      <c r="F74" s="45">
        <v>0</v>
      </c>
      <c r="G74" s="45">
        <v>0</v>
      </c>
      <c r="H74" s="45">
        <v>0</v>
      </c>
      <c r="I74" s="45">
        <v>0</v>
      </c>
      <c r="J74" s="45">
        <v>0</v>
      </c>
      <c r="K74" s="45">
        <v>0</v>
      </c>
      <c r="L74" s="45">
        <v>0</v>
      </c>
      <c r="M74" s="45">
        <v>0</v>
      </c>
      <c r="N74" s="45">
        <f t="shared" si="12"/>
        <v>1876278</v>
      </c>
      <c r="O74" s="46">
        <f t="shared" si="10"/>
        <v>1.4154574320496272</v>
      </c>
      <c r="P74" s="9"/>
    </row>
    <row r="75" spans="1:16">
      <c r="A75" s="11"/>
      <c r="B75" s="24">
        <v>341.2</v>
      </c>
      <c r="C75" s="19" t="s">
        <v>215</v>
      </c>
      <c r="D75" s="45">
        <v>0</v>
      </c>
      <c r="E75" s="45">
        <v>0</v>
      </c>
      <c r="F75" s="45">
        <v>0</v>
      </c>
      <c r="G75" s="45">
        <v>0</v>
      </c>
      <c r="H75" s="45">
        <v>0</v>
      </c>
      <c r="I75" s="45">
        <v>0</v>
      </c>
      <c r="J75" s="45">
        <v>128882298</v>
      </c>
      <c r="K75" s="45">
        <v>0</v>
      </c>
      <c r="L75" s="45">
        <v>0</v>
      </c>
      <c r="M75" s="45">
        <v>0</v>
      </c>
      <c r="N75" s="45">
        <f t="shared" si="12"/>
        <v>128882298</v>
      </c>
      <c r="O75" s="46">
        <f t="shared" si="10"/>
        <v>97.228345993362822</v>
      </c>
      <c r="P75" s="9"/>
    </row>
    <row r="76" spans="1:16">
      <c r="A76" s="11"/>
      <c r="B76" s="24">
        <v>341.3</v>
      </c>
      <c r="C76" s="19" t="s">
        <v>216</v>
      </c>
      <c r="D76" s="45">
        <v>49077</v>
      </c>
      <c r="E76" s="45">
        <v>2583143</v>
      </c>
      <c r="F76" s="45">
        <v>0</v>
      </c>
      <c r="G76" s="45">
        <v>0</v>
      </c>
      <c r="H76" s="45">
        <v>0</v>
      </c>
      <c r="I76" s="45">
        <v>0</v>
      </c>
      <c r="J76" s="45">
        <v>0</v>
      </c>
      <c r="K76" s="45">
        <v>0</v>
      </c>
      <c r="L76" s="45">
        <v>0</v>
      </c>
      <c r="M76" s="45">
        <v>0</v>
      </c>
      <c r="N76" s="45">
        <f t="shared" si="12"/>
        <v>2632220</v>
      </c>
      <c r="O76" s="46">
        <f t="shared" si="10"/>
        <v>1.9857373810222525</v>
      </c>
      <c r="P76" s="9"/>
    </row>
    <row r="77" spans="1:16">
      <c r="A77" s="11"/>
      <c r="B77" s="24">
        <v>341.52</v>
      </c>
      <c r="C77" s="19" t="s">
        <v>217</v>
      </c>
      <c r="D77" s="45">
        <v>1706136</v>
      </c>
      <c r="E77" s="45">
        <v>131728</v>
      </c>
      <c r="F77" s="45">
        <v>0</v>
      </c>
      <c r="G77" s="45">
        <v>0</v>
      </c>
      <c r="H77" s="45">
        <v>0</v>
      </c>
      <c r="I77" s="45">
        <v>0</v>
      </c>
      <c r="J77" s="45">
        <v>0</v>
      </c>
      <c r="K77" s="45">
        <v>0</v>
      </c>
      <c r="L77" s="45">
        <v>0</v>
      </c>
      <c r="M77" s="45">
        <v>0</v>
      </c>
      <c r="N77" s="45">
        <f t="shared" si="12"/>
        <v>1837864</v>
      </c>
      <c r="O77" s="46">
        <f t="shared" si="10"/>
        <v>1.3864780474409741</v>
      </c>
      <c r="P77" s="9"/>
    </row>
    <row r="78" spans="1:16">
      <c r="A78" s="11"/>
      <c r="B78" s="24">
        <v>341.55</v>
      </c>
      <c r="C78" s="19" t="s">
        <v>218</v>
      </c>
      <c r="D78" s="45">
        <v>7400</v>
      </c>
      <c r="E78" s="45">
        <v>0</v>
      </c>
      <c r="F78" s="45">
        <v>0</v>
      </c>
      <c r="G78" s="45">
        <v>0</v>
      </c>
      <c r="H78" s="45">
        <v>0</v>
      </c>
      <c r="I78" s="45">
        <v>0</v>
      </c>
      <c r="J78" s="45">
        <v>0</v>
      </c>
      <c r="K78" s="45">
        <v>0</v>
      </c>
      <c r="L78" s="45">
        <v>0</v>
      </c>
      <c r="M78" s="45">
        <v>0</v>
      </c>
      <c r="N78" s="45">
        <f t="shared" si="12"/>
        <v>7400</v>
      </c>
      <c r="O78" s="46">
        <f t="shared" si="10"/>
        <v>5.5825336102471174E-3</v>
      </c>
      <c r="P78" s="9"/>
    </row>
    <row r="79" spans="1:16">
      <c r="A79" s="11"/>
      <c r="B79" s="24">
        <v>341.9</v>
      </c>
      <c r="C79" s="19" t="s">
        <v>220</v>
      </c>
      <c r="D79" s="45">
        <v>53472295</v>
      </c>
      <c r="E79" s="45">
        <v>1760490</v>
      </c>
      <c r="F79" s="45">
        <v>0</v>
      </c>
      <c r="G79" s="45">
        <v>0</v>
      </c>
      <c r="H79" s="45">
        <v>0</v>
      </c>
      <c r="I79" s="45">
        <v>0</v>
      </c>
      <c r="J79" s="45">
        <v>6775570</v>
      </c>
      <c r="K79" s="45">
        <v>0</v>
      </c>
      <c r="L79" s="45">
        <v>0</v>
      </c>
      <c r="M79" s="45">
        <v>394911</v>
      </c>
      <c r="N79" s="45">
        <f t="shared" si="12"/>
        <v>62403266</v>
      </c>
      <c r="O79" s="46">
        <f t="shared" si="10"/>
        <v>47.076801328944761</v>
      </c>
      <c r="P79" s="9"/>
    </row>
    <row r="80" spans="1:16">
      <c r="A80" s="11"/>
      <c r="B80" s="24">
        <v>342.1</v>
      </c>
      <c r="C80" s="19" t="s">
        <v>87</v>
      </c>
      <c r="D80" s="45">
        <v>4823970</v>
      </c>
      <c r="E80" s="45">
        <v>9024916</v>
      </c>
      <c r="F80" s="45">
        <v>0</v>
      </c>
      <c r="G80" s="45">
        <v>0</v>
      </c>
      <c r="H80" s="45">
        <v>0</v>
      </c>
      <c r="I80" s="45">
        <v>0</v>
      </c>
      <c r="J80" s="45">
        <v>0</v>
      </c>
      <c r="K80" s="45">
        <v>0</v>
      </c>
      <c r="L80" s="45">
        <v>0</v>
      </c>
      <c r="M80" s="45">
        <v>0</v>
      </c>
      <c r="N80" s="45">
        <f t="shared" si="12"/>
        <v>13848886</v>
      </c>
      <c r="O80" s="46">
        <f t="shared" si="10"/>
        <v>10.447550210740644</v>
      </c>
      <c r="P80" s="9"/>
    </row>
    <row r="81" spans="1:16">
      <c r="A81" s="11"/>
      <c r="B81" s="24">
        <v>342.2</v>
      </c>
      <c r="C81" s="19" t="s">
        <v>88</v>
      </c>
      <c r="D81" s="45">
        <v>1341842</v>
      </c>
      <c r="E81" s="45">
        <v>0</v>
      </c>
      <c r="F81" s="45">
        <v>0</v>
      </c>
      <c r="G81" s="45">
        <v>0</v>
      </c>
      <c r="H81" s="45">
        <v>0</v>
      </c>
      <c r="I81" s="45">
        <v>0</v>
      </c>
      <c r="J81" s="45">
        <v>0</v>
      </c>
      <c r="K81" s="45">
        <v>0</v>
      </c>
      <c r="L81" s="45">
        <v>0</v>
      </c>
      <c r="M81" s="45">
        <v>0</v>
      </c>
      <c r="N81" s="45">
        <f t="shared" si="12"/>
        <v>1341842</v>
      </c>
      <c r="O81" s="46">
        <f t="shared" si="10"/>
        <v>1.0122808195461099</v>
      </c>
      <c r="P81" s="9"/>
    </row>
    <row r="82" spans="1:16">
      <c r="A82" s="11"/>
      <c r="B82" s="24">
        <v>342.3</v>
      </c>
      <c r="C82" s="19" t="s">
        <v>89</v>
      </c>
      <c r="D82" s="45">
        <v>393932</v>
      </c>
      <c r="E82" s="45">
        <v>0</v>
      </c>
      <c r="F82" s="45">
        <v>0</v>
      </c>
      <c r="G82" s="45">
        <v>0</v>
      </c>
      <c r="H82" s="45">
        <v>0</v>
      </c>
      <c r="I82" s="45">
        <v>0</v>
      </c>
      <c r="J82" s="45">
        <v>0</v>
      </c>
      <c r="K82" s="45">
        <v>0</v>
      </c>
      <c r="L82" s="45">
        <v>0</v>
      </c>
      <c r="M82" s="45">
        <v>0</v>
      </c>
      <c r="N82" s="45">
        <f t="shared" si="12"/>
        <v>393932</v>
      </c>
      <c r="O82" s="46">
        <f t="shared" si="10"/>
        <v>0.29718089596646857</v>
      </c>
      <c r="P82" s="9"/>
    </row>
    <row r="83" spans="1:16">
      <c r="A83" s="11"/>
      <c r="B83" s="24">
        <v>342.5</v>
      </c>
      <c r="C83" s="19" t="s">
        <v>90</v>
      </c>
      <c r="D83" s="45">
        <v>215487</v>
      </c>
      <c r="E83" s="45">
        <v>0</v>
      </c>
      <c r="F83" s="45">
        <v>0</v>
      </c>
      <c r="G83" s="45">
        <v>0</v>
      </c>
      <c r="H83" s="45">
        <v>0</v>
      </c>
      <c r="I83" s="45">
        <v>0</v>
      </c>
      <c r="J83" s="45">
        <v>0</v>
      </c>
      <c r="K83" s="45">
        <v>0</v>
      </c>
      <c r="L83" s="45">
        <v>0</v>
      </c>
      <c r="M83" s="45">
        <v>0</v>
      </c>
      <c r="N83" s="45">
        <f t="shared" si="12"/>
        <v>215487</v>
      </c>
      <c r="O83" s="46">
        <f t="shared" si="10"/>
        <v>0.16256262433396224</v>
      </c>
      <c r="P83" s="9"/>
    </row>
    <row r="84" spans="1:16">
      <c r="A84" s="11"/>
      <c r="B84" s="24">
        <v>342.6</v>
      </c>
      <c r="C84" s="19" t="s">
        <v>91</v>
      </c>
      <c r="D84" s="45">
        <v>11326692</v>
      </c>
      <c r="E84" s="45">
        <v>0</v>
      </c>
      <c r="F84" s="45">
        <v>0</v>
      </c>
      <c r="G84" s="45">
        <v>0</v>
      </c>
      <c r="H84" s="45">
        <v>0</v>
      </c>
      <c r="I84" s="45">
        <v>0</v>
      </c>
      <c r="J84" s="45">
        <v>0</v>
      </c>
      <c r="K84" s="45">
        <v>0</v>
      </c>
      <c r="L84" s="45">
        <v>0</v>
      </c>
      <c r="M84" s="45">
        <v>0</v>
      </c>
      <c r="N84" s="45">
        <f t="shared" si="12"/>
        <v>11326692</v>
      </c>
      <c r="O84" s="46">
        <f t="shared" si="10"/>
        <v>8.5448160517455598</v>
      </c>
      <c r="P84" s="9"/>
    </row>
    <row r="85" spans="1:16">
      <c r="A85" s="11"/>
      <c r="B85" s="24">
        <v>342.9</v>
      </c>
      <c r="C85" s="19" t="s">
        <v>92</v>
      </c>
      <c r="D85" s="45">
        <v>953678</v>
      </c>
      <c r="E85" s="45">
        <v>373766</v>
      </c>
      <c r="F85" s="45">
        <v>0</v>
      </c>
      <c r="G85" s="45">
        <v>0</v>
      </c>
      <c r="H85" s="45">
        <v>0</v>
      </c>
      <c r="I85" s="45">
        <v>0</v>
      </c>
      <c r="J85" s="45">
        <v>0</v>
      </c>
      <c r="K85" s="45">
        <v>0</v>
      </c>
      <c r="L85" s="45">
        <v>0</v>
      </c>
      <c r="M85" s="45">
        <v>0</v>
      </c>
      <c r="N85" s="45">
        <f t="shared" si="12"/>
        <v>1327444</v>
      </c>
      <c r="O85" s="46">
        <f t="shared" si="10"/>
        <v>1.0014190196920101</v>
      </c>
      <c r="P85" s="9"/>
    </row>
    <row r="86" spans="1:16">
      <c r="A86" s="11"/>
      <c r="B86" s="24">
        <v>343.4</v>
      </c>
      <c r="C86" s="19" t="s">
        <v>93</v>
      </c>
      <c r="D86" s="45">
        <v>0</v>
      </c>
      <c r="E86" s="45">
        <v>0</v>
      </c>
      <c r="F86" s="45">
        <v>0</v>
      </c>
      <c r="G86" s="45">
        <v>0</v>
      </c>
      <c r="H86" s="45">
        <v>0</v>
      </c>
      <c r="I86" s="45">
        <v>100965840</v>
      </c>
      <c r="J86" s="45">
        <v>0</v>
      </c>
      <c r="K86" s="45">
        <v>0</v>
      </c>
      <c r="L86" s="45">
        <v>0</v>
      </c>
      <c r="M86" s="45">
        <v>0</v>
      </c>
      <c r="N86" s="45">
        <f t="shared" si="12"/>
        <v>100965840</v>
      </c>
      <c r="O86" s="46">
        <f t="shared" si="10"/>
        <v>76.168269633355791</v>
      </c>
      <c r="P86" s="9"/>
    </row>
    <row r="87" spans="1:16">
      <c r="A87" s="11"/>
      <c r="B87" s="24">
        <v>343.6</v>
      </c>
      <c r="C87" s="19" t="s">
        <v>94</v>
      </c>
      <c r="D87" s="45">
        <v>0</v>
      </c>
      <c r="E87" s="45">
        <v>0</v>
      </c>
      <c r="F87" s="45">
        <v>0</v>
      </c>
      <c r="G87" s="45">
        <v>0</v>
      </c>
      <c r="H87" s="45">
        <v>0</v>
      </c>
      <c r="I87" s="45">
        <v>213231771</v>
      </c>
      <c r="J87" s="45">
        <v>0</v>
      </c>
      <c r="K87" s="45">
        <v>0</v>
      </c>
      <c r="L87" s="45">
        <v>0</v>
      </c>
      <c r="M87" s="45">
        <v>0</v>
      </c>
      <c r="N87" s="45">
        <f t="shared" si="12"/>
        <v>213231771</v>
      </c>
      <c r="O87" s="46">
        <f t="shared" si="10"/>
        <v>160.86128761892118</v>
      </c>
      <c r="P87" s="9"/>
    </row>
    <row r="88" spans="1:16">
      <c r="A88" s="11"/>
      <c r="B88" s="24">
        <v>343.7</v>
      </c>
      <c r="C88" s="19" t="s">
        <v>95</v>
      </c>
      <c r="D88" s="45">
        <v>2276484</v>
      </c>
      <c r="E88" s="45">
        <v>786571</v>
      </c>
      <c r="F88" s="45">
        <v>0</v>
      </c>
      <c r="G88" s="45">
        <v>0</v>
      </c>
      <c r="H88" s="45">
        <v>0</v>
      </c>
      <c r="I88" s="45">
        <v>0</v>
      </c>
      <c r="J88" s="45">
        <v>0</v>
      </c>
      <c r="K88" s="45">
        <v>0</v>
      </c>
      <c r="L88" s="45">
        <v>0</v>
      </c>
      <c r="M88" s="45">
        <v>63507</v>
      </c>
      <c r="N88" s="45">
        <f t="shared" si="12"/>
        <v>3126562</v>
      </c>
      <c r="O88" s="46">
        <f t="shared" si="10"/>
        <v>2.3586672229083039</v>
      </c>
      <c r="P88" s="9"/>
    </row>
    <row r="89" spans="1:16">
      <c r="A89" s="11"/>
      <c r="B89" s="24">
        <v>343.9</v>
      </c>
      <c r="C89" s="19" t="s">
        <v>96</v>
      </c>
      <c r="D89" s="45">
        <v>1524412</v>
      </c>
      <c r="E89" s="45">
        <v>51922</v>
      </c>
      <c r="F89" s="45">
        <v>0</v>
      </c>
      <c r="G89" s="45">
        <v>0</v>
      </c>
      <c r="H89" s="45">
        <v>0</v>
      </c>
      <c r="I89" s="45">
        <v>0</v>
      </c>
      <c r="J89" s="45">
        <v>0</v>
      </c>
      <c r="K89" s="45">
        <v>0</v>
      </c>
      <c r="L89" s="45">
        <v>0</v>
      </c>
      <c r="M89" s="45">
        <v>0</v>
      </c>
      <c r="N89" s="45">
        <f t="shared" si="12"/>
        <v>1576334</v>
      </c>
      <c r="O89" s="46">
        <f t="shared" si="10"/>
        <v>1.1891807481047676</v>
      </c>
      <c r="P89" s="9"/>
    </row>
    <row r="90" spans="1:16">
      <c r="A90" s="11"/>
      <c r="B90" s="24">
        <v>344.5</v>
      </c>
      <c r="C90" s="19" t="s">
        <v>221</v>
      </c>
      <c r="D90" s="45">
        <v>841032</v>
      </c>
      <c r="E90" s="45">
        <v>0</v>
      </c>
      <c r="F90" s="45">
        <v>0</v>
      </c>
      <c r="G90" s="45">
        <v>0</v>
      </c>
      <c r="H90" s="45">
        <v>0</v>
      </c>
      <c r="I90" s="45">
        <v>0</v>
      </c>
      <c r="J90" s="45">
        <v>2118</v>
      </c>
      <c r="K90" s="45">
        <v>0</v>
      </c>
      <c r="L90" s="45">
        <v>0</v>
      </c>
      <c r="M90" s="45">
        <v>0</v>
      </c>
      <c r="N90" s="45">
        <f t="shared" si="12"/>
        <v>843150</v>
      </c>
      <c r="O90" s="46">
        <f t="shared" si="10"/>
        <v>0.63606935317295366</v>
      </c>
      <c r="P90" s="9"/>
    </row>
    <row r="91" spans="1:16">
      <c r="A91" s="11"/>
      <c r="B91" s="24">
        <v>344.9</v>
      </c>
      <c r="C91" s="19" t="s">
        <v>222</v>
      </c>
      <c r="D91" s="45">
        <v>711919</v>
      </c>
      <c r="E91" s="45">
        <v>2607704</v>
      </c>
      <c r="F91" s="45">
        <v>0</v>
      </c>
      <c r="G91" s="45">
        <v>0</v>
      </c>
      <c r="H91" s="45">
        <v>0</v>
      </c>
      <c r="I91" s="45">
        <v>0</v>
      </c>
      <c r="J91" s="45">
        <v>0</v>
      </c>
      <c r="K91" s="45">
        <v>0</v>
      </c>
      <c r="L91" s="45">
        <v>0</v>
      </c>
      <c r="M91" s="45">
        <v>0</v>
      </c>
      <c r="N91" s="45">
        <f t="shared" si="12"/>
        <v>3319623</v>
      </c>
      <c r="O91" s="46">
        <f t="shared" si="10"/>
        <v>2.5043117528174821</v>
      </c>
      <c r="P91" s="9"/>
    </row>
    <row r="92" spans="1:16">
      <c r="A92" s="11"/>
      <c r="B92" s="24">
        <v>345.1</v>
      </c>
      <c r="C92" s="19" t="s">
        <v>99</v>
      </c>
      <c r="D92" s="45">
        <v>0</v>
      </c>
      <c r="E92" s="45">
        <v>0</v>
      </c>
      <c r="F92" s="45">
        <v>0</v>
      </c>
      <c r="G92" s="45">
        <v>0</v>
      </c>
      <c r="H92" s="45">
        <v>0</v>
      </c>
      <c r="I92" s="45">
        <v>0</v>
      </c>
      <c r="J92" s="45">
        <v>0</v>
      </c>
      <c r="K92" s="45">
        <v>0</v>
      </c>
      <c r="L92" s="45">
        <v>0</v>
      </c>
      <c r="M92" s="45">
        <v>665514</v>
      </c>
      <c r="N92" s="45">
        <f t="shared" si="12"/>
        <v>665514</v>
      </c>
      <c r="O92" s="46">
        <f t="shared" si="10"/>
        <v>0.50206138825540547</v>
      </c>
      <c r="P92" s="9"/>
    </row>
    <row r="93" spans="1:16">
      <c r="A93" s="11"/>
      <c r="B93" s="24">
        <v>345.9</v>
      </c>
      <c r="C93" s="19" t="s">
        <v>100</v>
      </c>
      <c r="D93" s="45">
        <v>107750</v>
      </c>
      <c r="E93" s="45">
        <v>0</v>
      </c>
      <c r="F93" s="45">
        <v>0</v>
      </c>
      <c r="G93" s="45">
        <v>0</v>
      </c>
      <c r="H93" s="45">
        <v>0</v>
      </c>
      <c r="I93" s="45">
        <v>0</v>
      </c>
      <c r="J93" s="45">
        <v>0</v>
      </c>
      <c r="K93" s="45">
        <v>0</v>
      </c>
      <c r="L93" s="45">
        <v>0</v>
      </c>
      <c r="M93" s="45">
        <v>0</v>
      </c>
      <c r="N93" s="45">
        <f t="shared" si="12"/>
        <v>107750</v>
      </c>
      <c r="O93" s="46">
        <f t="shared" si="10"/>
        <v>8.1286215743800933E-2</v>
      </c>
      <c r="P93" s="9"/>
    </row>
    <row r="94" spans="1:16">
      <c r="A94" s="11"/>
      <c r="B94" s="24">
        <v>346.4</v>
      </c>
      <c r="C94" s="19" t="s">
        <v>101</v>
      </c>
      <c r="D94" s="45">
        <v>304632</v>
      </c>
      <c r="E94" s="45">
        <v>0</v>
      </c>
      <c r="F94" s="45">
        <v>0</v>
      </c>
      <c r="G94" s="45">
        <v>0</v>
      </c>
      <c r="H94" s="45">
        <v>0</v>
      </c>
      <c r="I94" s="45">
        <v>0</v>
      </c>
      <c r="J94" s="45">
        <v>0</v>
      </c>
      <c r="K94" s="45">
        <v>0</v>
      </c>
      <c r="L94" s="45">
        <v>0</v>
      </c>
      <c r="M94" s="45">
        <v>0</v>
      </c>
      <c r="N94" s="45">
        <f t="shared" si="12"/>
        <v>304632</v>
      </c>
      <c r="O94" s="46">
        <f t="shared" si="10"/>
        <v>0.22981329442659459</v>
      </c>
      <c r="P94" s="9"/>
    </row>
    <row r="95" spans="1:16">
      <c r="A95" s="11"/>
      <c r="B95" s="24">
        <v>346.9</v>
      </c>
      <c r="C95" s="19" t="s">
        <v>102</v>
      </c>
      <c r="D95" s="45">
        <v>63218</v>
      </c>
      <c r="E95" s="45">
        <v>1728</v>
      </c>
      <c r="F95" s="45">
        <v>0</v>
      </c>
      <c r="G95" s="45">
        <v>0</v>
      </c>
      <c r="H95" s="45">
        <v>0</v>
      </c>
      <c r="I95" s="45">
        <v>0</v>
      </c>
      <c r="J95" s="45">
        <v>21594408</v>
      </c>
      <c r="K95" s="45">
        <v>0</v>
      </c>
      <c r="L95" s="45">
        <v>0</v>
      </c>
      <c r="M95" s="45">
        <v>0</v>
      </c>
      <c r="N95" s="45">
        <f t="shared" si="12"/>
        <v>21659354</v>
      </c>
      <c r="O95" s="46">
        <f t="shared" si="10"/>
        <v>16.339739416383832</v>
      </c>
      <c r="P95" s="9"/>
    </row>
    <row r="96" spans="1:16">
      <c r="A96" s="11"/>
      <c r="B96" s="24">
        <v>347.1</v>
      </c>
      <c r="C96" s="19" t="s">
        <v>103</v>
      </c>
      <c r="D96" s="45">
        <v>0</v>
      </c>
      <c r="E96" s="45">
        <v>48442</v>
      </c>
      <c r="F96" s="45">
        <v>0</v>
      </c>
      <c r="G96" s="45">
        <v>0</v>
      </c>
      <c r="H96" s="45">
        <v>0</v>
      </c>
      <c r="I96" s="45">
        <v>0</v>
      </c>
      <c r="J96" s="45">
        <v>0</v>
      </c>
      <c r="K96" s="45">
        <v>0</v>
      </c>
      <c r="L96" s="45">
        <v>0</v>
      </c>
      <c r="M96" s="45">
        <v>0</v>
      </c>
      <c r="N96" s="45">
        <f t="shared" si="12"/>
        <v>48442</v>
      </c>
      <c r="O96" s="46">
        <f t="shared" si="10"/>
        <v>3.654447204697174E-2</v>
      </c>
      <c r="P96" s="9"/>
    </row>
    <row r="97" spans="1:16">
      <c r="A97" s="11"/>
      <c r="B97" s="24">
        <v>347.2</v>
      </c>
      <c r="C97" s="19" t="s">
        <v>104</v>
      </c>
      <c r="D97" s="45">
        <v>3103779</v>
      </c>
      <c r="E97" s="45">
        <v>0</v>
      </c>
      <c r="F97" s="45">
        <v>0</v>
      </c>
      <c r="G97" s="45">
        <v>0</v>
      </c>
      <c r="H97" s="45">
        <v>0</v>
      </c>
      <c r="I97" s="45">
        <v>0</v>
      </c>
      <c r="J97" s="45">
        <v>0</v>
      </c>
      <c r="K97" s="45">
        <v>0</v>
      </c>
      <c r="L97" s="45">
        <v>0</v>
      </c>
      <c r="M97" s="45">
        <v>0</v>
      </c>
      <c r="N97" s="45">
        <f t="shared" si="12"/>
        <v>3103779</v>
      </c>
      <c r="O97" s="46">
        <f t="shared" si="10"/>
        <v>2.3414798089566471</v>
      </c>
      <c r="P97" s="9"/>
    </row>
    <row r="98" spans="1:16">
      <c r="A98" s="11"/>
      <c r="B98" s="24">
        <v>347.4</v>
      </c>
      <c r="C98" s="19" t="s">
        <v>105</v>
      </c>
      <c r="D98" s="45">
        <v>15237</v>
      </c>
      <c r="E98" s="45">
        <v>0</v>
      </c>
      <c r="F98" s="45">
        <v>544557</v>
      </c>
      <c r="G98" s="45">
        <v>0</v>
      </c>
      <c r="H98" s="45">
        <v>0</v>
      </c>
      <c r="I98" s="45">
        <v>0</v>
      </c>
      <c r="J98" s="45">
        <v>0</v>
      </c>
      <c r="K98" s="45">
        <v>0</v>
      </c>
      <c r="L98" s="45">
        <v>0</v>
      </c>
      <c r="M98" s="45">
        <v>0</v>
      </c>
      <c r="N98" s="45">
        <f t="shared" si="12"/>
        <v>559794</v>
      </c>
      <c r="O98" s="46">
        <f t="shared" si="10"/>
        <v>0.42230659727225339</v>
      </c>
      <c r="P98" s="9"/>
    </row>
    <row r="99" spans="1:16">
      <c r="A99" s="11"/>
      <c r="B99" s="24">
        <v>347.5</v>
      </c>
      <c r="C99" s="19" t="s">
        <v>106</v>
      </c>
      <c r="D99" s="45">
        <v>249901</v>
      </c>
      <c r="E99" s="45">
        <v>0</v>
      </c>
      <c r="F99" s="45">
        <v>0</v>
      </c>
      <c r="G99" s="45">
        <v>0</v>
      </c>
      <c r="H99" s="45">
        <v>0</v>
      </c>
      <c r="I99" s="45">
        <v>0</v>
      </c>
      <c r="J99" s="45">
        <v>0</v>
      </c>
      <c r="K99" s="45">
        <v>0</v>
      </c>
      <c r="L99" s="45">
        <v>0</v>
      </c>
      <c r="M99" s="45">
        <v>0</v>
      </c>
      <c r="N99" s="45">
        <f t="shared" si="12"/>
        <v>249901</v>
      </c>
      <c r="O99" s="46">
        <f t="shared" si="10"/>
        <v>0.18852442320734661</v>
      </c>
      <c r="P99" s="9"/>
    </row>
    <row r="100" spans="1:16">
      <c r="A100" s="11"/>
      <c r="B100" s="24">
        <v>347.9</v>
      </c>
      <c r="C100" s="19" t="s">
        <v>107</v>
      </c>
      <c r="D100" s="45">
        <v>43461</v>
      </c>
      <c r="E100" s="45">
        <v>0</v>
      </c>
      <c r="F100" s="45">
        <v>0</v>
      </c>
      <c r="G100" s="45">
        <v>0</v>
      </c>
      <c r="H100" s="45">
        <v>0</v>
      </c>
      <c r="I100" s="45">
        <v>0</v>
      </c>
      <c r="J100" s="45">
        <v>0</v>
      </c>
      <c r="K100" s="45">
        <v>0</v>
      </c>
      <c r="L100" s="45">
        <v>0</v>
      </c>
      <c r="M100" s="45">
        <v>0</v>
      </c>
      <c r="N100" s="45">
        <f t="shared" si="12"/>
        <v>43461</v>
      </c>
      <c r="O100" s="46">
        <f t="shared" si="10"/>
        <v>3.2786823410128375E-2</v>
      </c>
      <c r="P100" s="9"/>
    </row>
    <row r="101" spans="1:16">
      <c r="A101" s="11"/>
      <c r="B101" s="24">
        <v>348.11</v>
      </c>
      <c r="C101" s="19" t="s">
        <v>244</v>
      </c>
      <c r="D101" s="45">
        <v>0</v>
      </c>
      <c r="E101" s="45">
        <v>44211</v>
      </c>
      <c r="F101" s="45">
        <v>0</v>
      </c>
      <c r="G101" s="45">
        <v>0</v>
      </c>
      <c r="H101" s="45">
        <v>0</v>
      </c>
      <c r="I101" s="45">
        <v>0</v>
      </c>
      <c r="J101" s="45">
        <v>0</v>
      </c>
      <c r="K101" s="45">
        <v>0</v>
      </c>
      <c r="L101" s="45">
        <v>0</v>
      </c>
      <c r="M101" s="45">
        <v>0</v>
      </c>
      <c r="N101" s="45">
        <f>SUM(D101:M101)</f>
        <v>44211</v>
      </c>
      <c r="O101" s="46">
        <f t="shared" ref="O101:O132" si="13">(N101/O$157)</f>
        <v>3.3352620735491258E-2</v>
      </c>
      <c r="P101" s="9"/>
    </row>
    <row r="102" spans="1:16">
      <c r="A102" s="11"/>
      <c r="B102" s="24">
        <v>348.12</v>
      </c>
      <c r="C102" s="19" t="s">
        <v>245</v>
      </c>
      <c r="D102" s="45">
        <v>0</v>
      </c>
      <c r="E102" s="45">
        <v>67603</v>
      </c>
      <c r="F102" s="45">
        <v>0</v>
      </c>
      <c r="G102" s="45">
        <v>0</v>
      </c>
      <c r="H102" s="45">
        <v>0</v>
      </c>
      <c r="I102" s="45">
        <v>0</v>
      </c>
      <c r="J102" s="45">
        <v>0</v>
      </c>
      <c r="K102" s="45">
        <v>0</v>
      </c>
      <c r="L102" s="45">
        <v>0</v>
      </c>
      <c r="M102" s="45">
        <v>0</v>
      </c>
      <c r="N102" s="45">
        <f t="shared" ref="N102:N116" si="14">SUM(D102:M102)</f>
        <v>67603</v>
      </c>
      <c r="O102" s="46">
        <f t="shared" si="13"/>
        <v>5.0999462115342689E-2</v>
      </c>
      <c r="P102" s="9"/>
    </row>
    <row r="103" spans="1:16">
      <c r="A103" s="11"/>
      <c r="B103" s="24">
        <v>348.13</v>
      </c>
      <c r="C103" s="19" t="s">
        <v>246</v>
      </c>
      <c r="D103" s="45">
        <v>0</v>
      </c>
      <c r="E103" s="45">
        <v>204622</v>
      </c>
      <c r="F103" s="45">
        <v>0</v>
      </c>
      <c r="G103" s="45">
        <v>0</v>
      </c>
      <c r="H103" s="45">
        <v>0</v>
      </c>
      <c r="I103" s="45">
        <v>0</v>
      </c>
      <c r="J103" s="45">
        <v>0</v>
      </c>
      <c r="K103" s="45">
        <v>0</v>
      </c>
      <c r="L103" s="45">
        <v>0</v>
      </c>
      <c r="M103" s="45">
        <v>0</v>
      </c>
      <c r="N103" s="45">
        <f t="shared" si="14"/>
        <v>204622</v>
      </c>
      <c r="O103" s="46">
        <f t="shared" si="13"/>
        <v>0.15436610708053861</v>
      </c>
      <c r="P103" s="9"/>
    </row>
    <row r="104" spans="1:16">
      <c r="A104" s="11"/>
      <c r="B104" s="24">
        <v>348.22</v>
      </c>
      <c r="C104" s="19" t="s">
        <v>247</v>
      </c>
      <c r="D104" s="45">
        <v>0</v>
      </c>
      <c r="E104" s="45">
        <v>101921</v>
      </c>
      <c r="F104" s="45">
        <v>0</v>
      </c>
      <c r="G104" s="45">
        <v>0</v>
      </c>
      <c r="H104" s="45">
        <v>0</v>
      </c>
      <c r="I104" s="45">
        <v>0</v>
      </c>
      <c r="J104" s="45">
        <v>0</v>
      </c>
      <c r="K104" s="45">
        <v>0</v>
      </c>
      <c r="L104" s="45">
        <v>0</v>
      </c>
      <c r="M104" s="45">
        <v>0</v>
      </c>
      <c r="N104" s="45">
        <f t="shared" si="14"/>
        <v>101921</v>
      </c>
      <c r="O104" s="46">
        <f t="shared" si="13"/>
        <v>7.6888838931080603E-2</v>
      </c>
      <c r="P104" s="9"/>
    </row>
    <row r="105" spans="1:16">
      <c r="A105" s="11"/>
      <c r="B105" s="24">
        <v>348.23</v>
      </c>
      <c r="C105" s="19" t="s">
        <v>248</v>
      </c>
      <c r="D105" s="45">
        <v>0</v>
      </c>
      <c r="E105" s="45">
        <v>426094</v>
      </c>
      <c r="F105" s="45">
        <v>0</v>
      </c>
      <c r="G105" s="45">
        <v>0</v>
      </c>
      <c r="H105" s="45">
        <v>0</v>
      </c>
      <c r="I105" s="45">
        <v>0</v>
      </c>
      <c r="J105" s="45">
        <v>0</v>
      </c>
      <c r="K105" s="45">
        <v>0</v>
      </c>
      <c r="L105" s="45">
        <v>0</v>
      </c>
      <c r="M105" s="45">
        <v>0</v>
      </c>
      <c r="N105" s="45">
        <f t="shared" si="14"/>
        <v>426094</v>
      </c>
      <c r="O105" s="46">
        <f t="shared" si="13"/>
        <v>0.32144379407089668</v>
      </c>
      <c r="P105" s="9"/>
    </row>
    <row r="106" spans="1:16">
      <c r="A106" s="11"/>
      <c r="B106" s="24">
        <v>348.31</v>
      </c>
      <c r="C106" s="19" t="s">
        <v>249</v>
      </c>
      <c r="D106" s="45">
        <v>0</v>
      </c>
      <c r="E106" s="45">
        <v>6418952</v>
      </c>
      <c r="F106" s="45">
        <v>0</v>
      </c>
      <c r="G106" s="45">
        <v>0</v>
      </c>
      <c r="H106" s="45">
        <v>0</v>
      </c>
      <c r="I106" s="45">
        <v>0</v>
      </c>
      <c r="J106" s="45">
        <v>0</v>
      </c>
      <c r="K106" s="45">
        <v>0</v>
      </c>
      <c r="L106" s="45">
        <v>0</v>
      </c>
      <c r="M106" s="45">
        <v>0</v>
      </c>
      <c r="N106" s="45">
        <f t="shared" si="14"/>
        <v>6418952</v>
      </c>
      <c r="O106" s="46">
        <f t="shared" si="13"/>
        <v>4.8424344976436426</v>
      </c>
      <c r="P106" s="9"/>
    </row>
    <row r="107" spans="1:16">
      <c r="A107" s="11"/>
      <c r="B107" s="24">
        <v>348.32</v>
      </c>
      <c r="C107" s="19" t="s">
        <v>250</v>
      </c>
      <c r="D107" s="45">
        <v>0</v>
      </c>
      <c r="E107" s="45">
        <v>108727</v>
      </c>
      <c r="F107" s="45">
        <v>0</v>
      </c>
      <c r="G107" s="45">
        <v>0</v>
      </c>
      <c r="H107" s="45">
        <v>0</v>
      </c>
      <c r="I107" s="45">
        <v>0</v>
      </c>
      <c r="J107" s="45">
        <v>0</v>
      </c>
      <c r="K107" s="45">
        <v>0</v>
      </c>
      <c r="L107" s="45">
        <v>0</v>
      </c>
      <c r="M107" s="45">
        <v>0</v>
      </c>
      <c r="N107" s="45">
        <f t="shared" si="14"/>
        <v>108727</v>
      </c>
      <c r="O107" s="46">
        <f t="shared" si="13"/>
        <v>8.2023261059640321E-2</v>
      </c>
      <c r="P107" s="9"/>
    </row>
    <row r="108" spans="1:16">
      <c r="A108" s="11"/>
      <c r="B108" s="24">
        <v>348.41</v>
      </c>
      <c r="C108" s="19" t="s">
        <v>251</v>
      </c>
      <c r="D108" s="45">
        <v>0</v>
      </c>
      <c r="E108" s="45">
        <v>3617893</v>
      </c>
      <c r="F108" s="45">
        <v>0</v>
      </c>
      <c r="G108" s="45">
        <v>0</v>
      </c>
      <c r="H108" s="45">
        <v>0</v>
      </c>
      <c r="I108" s="45">
        <v>0</v>
      </c>
      <c r="J108" s="45">
        <v>0</v>
      </c>
      <c r="K108" s="45">
        <v>0</v>
      </c>
      <c r="L108" s="45">
        <v>0</v>
      </c>
      <c r="M108" s="45">
        <v>0</v>
      </c>
      <c r="N108" s="45">
        <f t="shared" si="14"/>
        <v>3617893</v>
      </c>
      <c r="O108" s="46">
        <f t="shared" si="13"/>
        <v>2.7293255771321316</v>
      </c>
      <c r="P108" s="9"/>
    </row>
    <row r="109" spans="1:16">
      <c r="A109" s="11"/>
      <c r="B109" s="24">
        <v>348.42</v>
      </c>
      <c r="C109" s="19" t="s">
        <v>252</v>
      </c>
      <c r="D109" s="45">
        <v>0</v>
      </c>
      <c r="E109" s="45">
        <v>3056074</v>
      </c>
      <c r="F109" s="45">
        <v>0</v>
      </c>
      <c r="G109" s="45">
        <v>0</v>
      </c>
      <c r="H109" s="45">
        <v>0</v>
      </c>
      <c r="I109" s="45">
        <v>0</v>
      </c>
      <c r="J109" s="45">
        <v>0</v>
      </c>
      <c r="K109" s="45">
        <v>0</v>
      </c>
      <c r="L109" s="45">
        <v>0</v>
      </c>
      <c r="M109" s="45">
        <v>0</v>
      </c>
      <c r="N109" s="45">
        <f t="shared" si="14"/>
        <v>3056074</v>
      </c>
      <c r="O109" s="46">
        <f t="shared" si="13"/>
        <v>2.3054913270813988</v>
      </c>
      <c r="P109" s="9"/>
    </row>
    <row r="110" spans="1:16">
      <c r="A110" s="11"/>
      <c r="B110" s="24">
        <v>348.51</v>
      </c>
      <c r="C110" s="19" t="s">
        <v>254</v>
      </c>
      <c r="D110" s="45">
        <v>0</v>
      </c>
      <c r="E110" s="45">
        <v>9750</v>
      </c>
      <c r="F110" s="45">
        <v>0</v>
      </c>
      <c r="G110" s="45">
        <v>0</v>
      </c>
      <c r="H110" s="45">
        <v>0</v>
      </c>
      <c r="I110" s="45">
        <v>0</v>
      </c>
      <c r="J110" s="45">
        <v>0</v>
      </c>
      <c r="K110" s="45">
        <v>0</v>
      </c>
      <c r="L110" s="45">
        <v>0</v>
      </c>
      <c r="M110" s="45">
        <v>0</v>
      </c>
      <c r="N110" s="45">
        <f t="shared" si="14"/>
        <v>9750</v>
      </c>
      <c r="O110" s="46">
        <f t="shared" si="13"/>
        <v>7.3553652297174863E-3</v>
      </c>
      <c r="P110" s="9"/>
    </row>
    <row r="111" spans="1:16">
      <c r="A111" s="11"/>
      <c r="B111" s="24">
        <v>348.52</v>
      </c>
      <c r="C111" s="19" t="s">
        <v>255</v>
      </c>
      <c r="D111" s="45">
        <v>0</v>
      </c>
      <c r="E111" s="45">
        <v>1472822</v>
      </c>
      <c r="F111" s="45">
        <v>0</v>
      </c>
      <c r="G111" s="45">
        <v>0</v>
      </c>
      <c r="H111" s="45">
        <v>0</v>
      </c>
      <c r="I111" s="45">
        <v>0</v>
      </c>
      <c r="J111" s="45">
        <v>0</v>
      </c>
      <c r="K111" s="45">
        <v>0</v>
      </c>
      <c r="L111" s="45">
        <v>0</v>
      </c>
      <c r="M111" s="45">
        <v>0</v>
      </c>
      <c r="N111" s="45">
        <f t="shared" si="14"/>
        <v>1472822</v>
      </c>
      <c r="O111" s="46">
        <f t="shared" si="13"/>
        <v>1.1110916644474838</v>
      </c>
      <c r="P111" s="9"/>
    </row>
    <row r="112" spans="1:16">
      <c r="A112" s="11"/>
      <c r="B112" s="24">
        <v>348.53</v>
      </c>
      <c r="C112" s="19" t="s">
        <v>256</v>
      </c>
      <c r="D112" s="45">
        <v>0</v>
      </c>
      <c r="E112" s="45">
        <v>3860484</v>
      </c>
      <c r="F112" s="45">
        <v>0</v>
      </c>
      <c r="G112" s="45">
        <v>0</v>
      </c>
      <c r="H112" s="45">
        <v>0</v>
      </c>
      <c r="I112" s="45">
        <v>0</v>
      </c>
      <c r="J112" s="45">
        <v>0</v>
      </c>
      <c r="K112" s="45">
        <v>0</v>
      </c>
      <c r="L112" s="45">
        <v>0</v>
      </c>
      <c r="M112" s="45">
        <v>0</v>
      </c>
      <c r="N112" s="45">
        <f t="shared" si="14"/>
        <v>3860484</v>
      </c>
      <c r="O112" s="46">
        <f t="shared" si="13"/>
        <v>2.9123353624082746</v>
      </c>
      <c r="P112" s="9"/>
    </row>
    <row r="113" spans="1:16">
      <c r="A113" s="11"/>
      <c r="B113" s="24">
        <v>348.61</v>
      </c>
      <c r="C113" s="19" t="s">
        <v>257</v>
      </c>
      <c r="D113" s="45">
        <v>0</v>
      </c>
      <c r="E113" s="45">
        <v>41330</v>
      </c>
      <c r="F113" s="45">
        <v>0</v>
      </c>
      <c r="G113" s="45">
        <v>0</v>
      </c>
      <c r="H113" s="45">
        <v>0</v>
      </c>
      <c r="I113" s="45">
        <v>0</v>
      </c>
      <c r="J113" s="45">
        <v>0</v>
      </c>
      <c r="K113" s="45">
        <v>0</v>
      </c>
      <c r="L113" s="45">
        <v>0</v>
      </c>
      <c r="M113" s="45">
        <v>0</v>
      </c>
      <c r="N113" s="45">
        <f t="shared" si="14"/>
        <v>41330</v>
      </c>
      <c r="O113" s="46">
        <f t="shared" si="13"/>
        <v>3.1179204609663971E-2</v>
      </c>
      <c r="P113" s="9"/>
    </row>
    <row r="114" spans="1:16">
      <c r="A114" s="11"/>
      <c r="B114" s="24">
        <v>348.62</v>
      </c>
      <c r="C114" s="19" t="s">
        <v>258</v>
      </c>
      <c r="D114" s="45">
        <v>0</v>
      </c>
      <c r="E114" s="45">
        <v>12842</v>
      </c>
      <c r="F114" s="45">
        <v>0</v>
      </c>
      <c r="G114" s="45">
        <v>0</v>
      </c>
      <c r="H114" s="45">
        <v>0</v>
      </c>
      <c r="I114" s="45">
        <v>0</v>
      </c>
      <c r="J114" s="45">
        <v>0</v>
      </c>
      <c r="K114" s="45">
        <v>0</v>
      </c>
      <c r="L114" s="45">
        <v>0</v>
      </c>
      <c r="M114" s="45">
        <v>0</v>
      </c>
      <c r="N114" s="45">
        <f t="shared" si="14"/>
        <v>12842</v>
      </c>
      <c r="O114" s="46">
        <f t="shared" si="13"/>
        <v>9.6879590030802005E-3</v>
      </c>
      <c r="P114" s="9"/>
    </row>
    <row r="115" spans="1:16">
      <c r="A115" s="11"/>
      <c r="B115" s="24">
        <v>348.71</v>
      </c>
      <c r="C115" s="19" t="s">
        <v>259</v>
      </c>
      <c r="D115" s="45">
        <v>0</v>
      </c>
      <c r="E115" s="45">
        <v>629738</v>
      </c>
      <c r="F115" s="45">
        <v>0</v>
      </c>
      <c r="G115" s="45">
        <v>0</v>
      </c>
      <c r="H115" s="45">
        <v>0</v>
      </c>
      <c r="I115" s="45">
        <v>0</v>
      </c>
      <c r="J115" s="45">
        <v>0</v>
      </c>
      <c r="K115" s="45">
        <v>0</v>
      </c>
      <c r="L115" s="45">
        <v>0</v>
      </c>
      <c r="M115" s="45">
        <v>0</v>
      </c>
      <c r="N115" s="45">
        <f t="shared" si="14"/>
        <v>629738</v>
      </c>
      <c r="O115" s="46">
        <f t="shared" si="13"/>
        <v>0.47507210143916206</v>
      </c>
      <c r="P115" s="9"/>
    </row>
    <row r="116" spans="1:16">
      <c r="A116" s="11"/>
      <c r="B116" s="24">
        <v>348.72</v>
      </c>
      <c r="C116" s="19" t="s">
        <v>260</v>
      </c>
      <c r="D116" s="45">
        <v>0</v>
      </c>
      <c r="E116" s="45">
        <v>104066</v>
      </c>
      <c r="F116" s="45">
        <v>0</v>
      </c>
      <c r="G116" s="45">
        <v>0</v>
      </c>
      <c r="H116" s="45">
        <v>0</v>
      </c>
      <c r="I116" s="45">
        <v>0</v>
      </c>
      <c r="J116" s="45">
        <v>0</v>
      </c>
      <c r="K116" s="45">
        <v>0</v>
      </c>
      <c r="L116" s="45">
        <v>0</v>
      </c>
      <c r="M116" s="45">
        <v>0</v>
      </c>
      <c r="N116" s="45">
        <f t="shared" si="14"/>
        <v>104066</v>
      </c>
      <c r="O116" s="46">
        <f t="shared" si="13"/>
        <v>7.8507019281618448E-2</v>
      </c>
      <c r="P116" s="9"/>
    </row>
    <row r="117" spans="1:16">
      <c r="A117" s="11"/>
      <c r="B117" s="24">
        <v>348.88</v>
      </c>
      <c r="C117" s="19" t="s">
        <v>223</v>
      </c>
      <c r="D117" s="45">
        <v>108013</v>
      </c>
      <c r="E117" s="45">
        <v>0</v>
      </c>
      <c r="F117" s="45">
        <v>0</v>
      </c>
      <c r="G117" s="45">
        <v>0</v>
      </c>
      <c r="H117" s="45">
        <v>0</v>
      </c>
      <c r="I117" s="45">
        <v>0</v>
      </c>
      <c r="J117" s="45">
        <v>0</v>
      </c>
      <c r="K117" s="45">
        <v>0</v>
      </c>
      <c r="L117" s="45">
        <v>0</v>
      </c>
      <c r="M117" s="45">
        <v>0</v>
      </c>
      <c r="N117" s="45">
        <f t="shared" si="12"/>
        <v>108013</v>
      </c>
      <c r="O117" s="46">
        <f t="shared" si="13"/>
        <v>8.1484622005894861E-2</v>
      </c>
      <c r="P117" s="9"/>
    </row>
    <row r="118" spans="1:16">
      <c r="A118" s="11"/>
      <c r="B118" s="24">
        <v>348.92099999999999</v>
      </c>
      <c r="C118" s="19" t="s">
        <v>224</v>
      </c>
      <c r="D118" s="45">
        <v>0</v>
      </c>
      <c r="E118" s="45">
        <v>335880</v>
      </c>
      <c r="F118" s="45">
        <v>0</v>
      </c>
      <c r="G118" s="45">
        <v>0</v>
      </c>
      <c r="H118" s="45">
        <v>0</v>
      </c>
      <c r="I118" s="45">
        <v>0</v>
      </c>
      <c r="J118" s="45">
        <v>0</v>
      </c>
      <c r="K118" s="45">
        <v>0</v>
      </c>
      <c r="L118" s="45">
        <v>0</v>
      </c>
      <c r="M118" s="45">
        <v>0</v>
      </c>
      <c r="N118" s="45">
        <f t="shared" si="12"/>
        <v>335880</v>
      </c>
      <c r="O118" s="46">
        <f t="shared" si="13"/>
        <v>0.25338667419051375</v>
      </c>
      <c r="P118" s="9"/>
    </row>
    <row r="119" spans="1:16">
      <c r="A119" s="11"/>
      <c r="B119" s="24">
        <v>348.92200000000003</v>
      </c>
      <c r="C119" s="19" t="s">
        <v>225</v>
      </c>
      <c r="D119" s="45">
        <v>0</v>
      </c>
      <c r="E119" s="45">
        <v>335880</v>
      </c>
      <c r="F119" s="45">
        <v>0</v>
      </c>
      <c r="G119" s="45">
        <v>0</v>
      </c>
      <c r="H119" s="45">
        <v>0</v>
      </c>
      <c r="I119" s="45">
        <v>0</v>
      </c>
      <c r="J119" s="45">
        <v>0</v>
      </c>
      <c r="K119" s="45">
        <v>0</v>
      </c>
      <c r="L119" s="45">
        <v>0</v>
      </c>
      <c r="M119" s="45">
        <v>0</v>
      </c>
      <c r="N119" s="45">
        <f t="shared" si="12"/>
        <v>335880</v>
      </c>
      <c r="O119" s="46">
        <f t="shared" si="13"/>
        <v>0.25338667419051375</v>
      </c>
      <c r="P119" s="9"/>
    </row>
    <row r="120" spans="1:16">
      <c r="A120" s="11"/>
      <c r="B120" s="24">
        <v>348.923</v>
      </c>
      <c r="C120" s="19" t="s">
        <v>226</v>
      </c>
      <c r="D120" s="45">
        <v>0</v>
      </c>
      <c r="E120" s="45">
        <v>335880</v>
      </c>
      <c r="F120" s="45">
        <v>0</v>
      </c>
      <c r="G120" s="45">
        <v>0</v>
      </c>
      <c r="H120" s="45">
        <v>0</v>
      </c>
      <c r="I120" s="45">
        <v>0</v>
      </c>
      <c r="J120" s="45">
        <v>0</v>
      </c>
      <c r="K120" s="45">
        <v>0</v>
      </c>
      <c r="L120" s="45">
        <v>0</v>
      </c>
      <c r="M120" s="45">
        <v>0</v>
      </c>
      <c r="N120" s="45">
        <f t="shared" si="12"/>
        <v>335880</v>
      </c>
      <c r="O120" s="46">
        <f t="shared" si="13"/>
        <v>0.25338667419051375</v>
      </c>
      <c r="P120" s="9"/>
    </row>
    <row r="121" spans="1:16">
      <c r="A121" s="11"/>
      <c r="B121" s="24">
        <v>348.92399999999998</v>
      </c>
      <c r="C121" s="19" t="s">
        <v>227</v>
      </c>
      <c r="D121" s="45">
        <v>0</v>
      </c>
      <c r="E121" s="45">
        <v>335880</v>
      </c>
      <c r="F121" s="45">
        <v>0</v>
      </c>
      <c r="G121" s="45">
        <v>0</v>
      </c>
      <c r="H121" s="45">
        <v>0</v>
      </c>
      <c r="I121" s="45">
        <v>0</v>
      </c>
      <c r="J121" s="45">
        <v>0</v>
      </c>
      <c r="K121" s="45">
        <v>0</v>
      </c>
      <c r="L121" s="45">
        <v>0</v>
      </c>
      <c r="M121" s="45">
        <v>0</v>
      </c>
      <c r="N121" s="45">
        <f t="shared" si="12"/>
        <v>335880</v>
      </c>
      <c r="O121" s="46">
        <f t="shared" si="13"/>
        <v>0.25338667419051375</v>
      </c>
      <c r="P121" s="9"/>
    </row>
    <row r="122" spans="1:16">
      <c r="A122" s="11"/>
      <c r="B122" s="24">
        <v>348.93</v>
      </c>
      <c r="C122" s="19" t="s">
        <v>228</v>
      </c>
      <c r="D122" s="45">
        <v>2714</v>
      </c>
      <c r="E122" s="45">
        <v>2259802</v>
      </c>
      <c r="F122" s="45">
        <v>0</v>
      </c>
      <c r="G122" s="45">
        <v>0</v>
      </c>
      <c r="H122" s="45">
        <v>0</v>
      </c>
      <c r="I122" s="45">
        <v>0</v>
      </c>
      <c r="J122" s="45">
        <v>0</v>
      </c>
      <c r="K122" s="45">
        <v>0</v>
      </c>
      <c r="L122" s="45">
        <v>0</v>
      </c>
      <c r="M122" s="45">
        <v>0</v>
      </c>
      <c r="N122" s="45">
        <f t="shared" si="12"/>
        <v>2262516</v>
      </c>
      <c r="O122" s="46">
        <f t="shared" si="13"/>
        <v>1.7068340018543064</v>
      </c>
      <c r="P122" s="9"/>
    </row>
    <row r="123" spans="1:16">
      <c r="A123" s="11"/>
      <c r="B123" s="24">
        <v>348.93200000000002</v>
      </c>
      <c r="C123" s="19" t="s">
        <v>229</v>
      </c>
      <c r="D123" s="45">
        <v>43249</v>
      </c>
      <c r="E123" s="45">
        <v>0</v>
      </c>
      <c r="F123" s="45">
        <v>0</v>
      </c>
      <c r="G123" s="45">
        <v>0</v>
      </c>
      <c r="H123" s="45">
        <v>0</v>
      </c>
      <c r="I123" s="45">
        <v>0</v>
      </c>
      <c r="J123" s="45">
        <v>0</v>
      </c>
      <c r="K123" s="45">
        <v>0</v>
      </c>
      <c r="L123" s="45">
        <v>0</v>
      </c>
      <c r="M123" s="45">
        <v>0</v>
      </c>
      <c r="N123" s="45">
        <f t="shared" si="12"/>
        <v>43249</v>
      </c>
      <c r="O123" s="46">
        <f t="shared" si="13"/>
        <v>3.2626891366159136E-2</v>
      </c>
      <c r="P123" s="9"/>
    </row>
    <row r="124" spans="1:16">
      <c r="A124" s="11"/>
      <c r="B124" s="24">
        <v>348.99</v>
      </c>
      <c r="C124" s="19" t="s">
        <v>231</v>
      </c>
      <c r="D124" s="45">
        <v>0</v>
      </c>
      <c r="E124" s="45">
        <v>877432</v>
      </c>
      <c r="F124" s="45">
        <v>0</v>
      </c>
      <c r="G124" s="45">
        <v>0</v>
      </c>
      <c r="H124" s="45">
        <v>0</v>
      </c>
      <c r="I124" s="45">
        <v>0</v>
      </c>
      <c r="J124" s="45">
        <v>0</v>
      </c>
      <c r="K124" s="45">
        <v>0</v>
      </c>
      <c r="L124" s="45">
        <v>0</v>
      </c>
      <c r="M124" s="45">
        <v>0</v>
      </c>
      <c r="N124" s="45">
        <f t="shared" si="12"/>
        <v>877432</v>
      </c>
      <c r="O124" s="46">
        <f t="shared" si="13"/>
        <v>0.66193157171707417</v>
      </c>
      <c r="P124" s="9"/>
    </row>
    <row r="125" spans="1:16">
      <c r="A125" s="11"/>
      <c r="B125" s="24">
        <v>349</v>
      </c>
      <c r="C125" s="19" t="s">
        <v>1</v>
      </c>
      <c r="D125" s="45">
        <v>18899629</v>
      </c>
      <c r="E125" s="45">
        <v>166178</v>
      </c>
      <c r="F125" s="45">
        <v>0</v>
      </c>
      <c r="G125" s="45">
        <v>0</v>
      </c>
      <c r="H125" s="45">
        <v>0</v>
      </c>
      <c r="I125" s="45">
        <v>0</v>
      </c>
      <c r="J125" s="45">
        <v>0</v>
      </c>
      <c r="K125" s="45">
        <v>0</v>
      </c>
      <c r="L125" s="45">
        <v>0</v>
      </c>
      <c r="M125" s="45">
        <v>0</v>
      </c>
      <c r="N125" s="45">
        <f t="shared" si="12"/>
        <v>19065807</v>
      </c>
      <c r="O125" s="46">
        <f t="shared" si="13"/>
        <v>14.38317680864659</v>
      </c>
      <c r="P125" s="9"/>
    </row>
    <row r="126" spans="1:16" ht="15.75">
      <c r="A126" s="28" t="s">
        <v>76</v>
      </c>
      <c r="B126" s="29"/>
      <c r="C126" s="30"/>
      <c r="D126" s="31">
        <f t="shared" ref="D126:M126" si="15">SUM(D127:D137)</f>
        <v>7230236</v>
      </c>
      <c r="E126" s="31">
        <f t="shared" si="15"/>
        <v>8848605</v>
      </c>
      <c r="F126" s="31">
        <f t="shared" si="15"/>
        <v>0</v>
      </c>
      <c r="G126" s="31">
        <f t="shared" si="15"/>
        <v>0</v>
      </c>
      <c r="H126" s="31">
        <f t="shared" si="15"/>
        <v>0</v>
      </c>
      <c r="I126" s="31">
        <f t="shared" si="15"/>
        <v>25</v>
      </c>
      <c r="J126" s="31">
        <f t="shared" si="15"/>
        <v>131</v>
      </c>
      <c r="K126" s="31">
        <f t="shared" si="15"/>
        <v>0</v>
      </c>
      <c r="L126" s="31">
        <f t="shared" si="15"/>
        <v>0</v>
      </c>
      <c r="M126" s="31">
        <f t="shared" si="15"/>
        <v>0</v>
      </c>
      <c r="N126" s="31">
        <f>SUM(D126:M126)</f>
        <v>16078997</v>
      </c>
      <c r="O126" s="44">
        <f t="shared" si="13"/>
        <v>12.129937996157105</v>
      </c>
      <c r="P126" s="10"/>
    </row>
    <row r="127" spans="1:16">
      <c r="A127" s="12"/>
      <c r="B127" s="38">
        <v>351.1</v>
      </c>
      <c r="C127" s="20" t="s">
        <v>134</v>
      </c>
      <c r="D127" s="45">
        <v>0</v>
      </c>
      <c r="E127" s="45">
        <v>272877</v>
      </c>
      <c r="F127" s="45">
        <v>0</v>
      </c>
      <c r="G127" s="45">
        <v>0</v>
      </c>
      <c r="H127" s="45">
        <v>0</v>
      </c>
      <c r="I127" s="45">
        <v>0</v>
      </c>
      <c r="J127" s="45">
        <v>0</v>
      </c>
      <c r="K127" s="45">
        <v>0</v>
      </c>
      <c r="L127" s="45">
        <v>0</v>
      </c>
      <c r="M127" s="45">
        <v>0</v>
      </c>
      <c r="N127" s="45">
        <f>SUM(D127:M127)</f>
        <v>272877</v>
      </c>
      <c r="O127" s="46">
        <f t="shared" si="13"/>
        <v>0.20585743567073009</v>
      </c>
      <c r="P127" s="9"/>
    </row>
    <row r="128" spans="1:16">
      <c r="A128" s="12"/>
      <c r="B128" s="38">
        <v>351.2</v>
      </c>
      <c r="C128" s="20" t="s">
        <v>136</v>
      </c>
      <c r="D128" s="45">
        <v>0</v>
      </c>
      <c r="E128" s="45">
        <v>235730</v>
      </c>
      <c r="F128" s="45">
        <v>0</v>
      </c>
      <c r="G128" s="45">
        <v>0</v>
      </c>
      <c r="H128" s="45">
        <v>0</v>
      </c>
      <c r="I128" s="45">
        <v>0</v>
      </c>
      <c r="J128" s="45">
        <v>0</v>
      </c>
      <c r="K128" s="45">
        <v>0</v>
      </c>
      <c r="L128" s="45">
        <v>0</v>
      </c>
      <c r="M128" s="45">
        <v>0</v>
      </c>
      <c r="N128" s="45">
        <f t="shared" ref="N128:N137" si="16">SUM(D128:M128)</f>
        <v>235730</v>
      </c>
      <c r="O128" s="46">
        <f t="shared" si="13"/>
        <v>0.17783387134372339</v>
      </c>
      <c r="P128" s="9"/>
    </row>
    <row r="129" spans="1:16">
      <c r="A129" s="12"/>
      <c r="B129" s="38">
        <v>351.5</v>
      </c>
      <c r="C129" s="20" t="s">
        <v>137</v>
      </c>
      <c r="D129" s="45">
        <v>217413</v>
      </c>
      <c r="E129" s="45">
        <v>3471275</v>
      </c>
      <c r="F129" s="45">
        <v>0</v>
      </c>
      <c r="G129" s="45">
        <v>0</v>
      </c>
      <c r="H129" s="45">
        <v>0</v>
      </c>
      <c r="I129" s="45">
        <v>0</v>
      </c>
      <c r="J129" s="45">
        <v>0</v>
      </c>
      <c r="K129" s="45">
        <v>0</v>
      </c>
      <c r="L129" s="45">
        <v>0</v>
      </c>
      <c r="M129" s="45">
        <v>0</v>
      </c>
      <c r="N129" s="45">
        <f t="shared" si="16"/>
        <v>3688688</v>
      </c>
      <c r="O129" s="46">
        <f t="shared" si="13"/>
        <v>2.782733072664219</v>
      </c>
      <c r="P129" s="9"/>
    </row>
    <row r="130" spans="1:16">
      <c r="A130" s="12"/>
      <c r="B130" s="38">
        <v>351.7</v>
      </c>
      <c r="C130" s="20" t="s">
        <v>232</v>
      </c>
      <c r="D130" s="45">
        <v>0</v>
      </c>
      <c r="E130" s="45">
        <v>744225</v>
      </c>
      <c r="F130" s="45">
        <v>0</v>
      </c>
      <c r="G130" s="45">
        <v>0</v>
      </c>
      <c r="H130" s="45">
        <v>0</v>
      </c>
      <c r="I130" s="45">
        <v>0</v>
      </c>
      <c r="J130" s="45">
        <v>0</v>
      </c>
      <c r="K130" s="45">
        <v>0</v>
      </c>
      <c r="L130" s="45">
        <v>0</v>
      </c>
      <c r="M130" s="45">
        <v>0</v>
      </c>
      <c r="N130" s="45">
        <f t="shared" si="16"/>
        <v>744225</v>
      </c>
      <c r="O130" s="46">
        <f t="shared" si="13"/>
        <v>0.56144068595758934</v>
      </c>
      <c r="P130" s="9"/>
    </row>
    <row r="131" spans="1:16">
      <c r="A131" s="12"/>
      <c r="B131" s="38">
        <v>351.8</v>
      </c>
      <c r="C131" s="20" t="s">
        <v>233</v>
      </c>
      <c r="D131" s="45">
        <v>0</v>
      </c>
      <c r="E131" s="45">
        <v>1220042</v>
      </c>
      <c r="F131" s="45">
        <v>0</v>
      </c>
      <c r="G131" s="45">
        <v>0</v>
      </c>
      <c r="H131" s="45">
        <v>0</v>
      </c>
      <c r="I131" s="45">
        <v>0</v>
      </c>
      <c r="J131" s="45">
        <v>0</v>
      </c>
      <c r="K131" s="45">
        <v>0</v>
      </c>
      <c r="L131" s="45">
        <v>0</v>
      </c>
      <c r="M131" s="45">
        <v>0</v>
      </c>
      <c r="N131" s="45">
        <f t="shared" si="16"/>
        <v>1220042</v>
      </c>
      <c r="O131" s="46">
        <f t="shared" si="13"/>
        <v>0.92039533390717754</v>
      </c>
      <c r="P131" s="9"/>
    </row>
    <row r="132" spans="1:16">
      <c r="A132" s="12"/>
      <c r="B132" s="38">
        <v>351.9</v>
      </c>
      <c r="C132" s="20" t="s">
        <v>234</v>
      </c>
      <c r="D132" s="45">
        <v>0</v>
      </c>
      <c r="E132" s="45">
        <v>1263143</v>
      </c>
      <c r="F132" s="45">
        <v>0</v>
      </c>
      <c r="G132" s="45">
        <v>0</v>
      </c>
      <c r="H132" s="45">
        <v>0</v>
      </c>
      <c r="I132" s="45">
        <v>0</v>
      </c>
      <c r="J132" s="45">
        <v>0</v>
      </c>
      <c r="K132" s="45">
        <v>0</v>
      </c>
      <c r="L132" s="45">
        <v>0</v>
      </c>
      <c r="M132" s="45">
        <v>0</v>
      </c>
      <c r="N132" s="45">
        <f t="shared" si="16"/>
        <v>1263143</v>
      </c>
      <c r="O132" s="46">
        <f t="shared" si="13"/>
        <v>0.95291057460113171</v>
      </c>
      <c r="P132" s="9"/>
    </row>
    <row r="133" spans="1:16">
      <c r="A133" s="12"/>
      <c r="B133" s="38">
        <v>352</v>
      </c>
      <c r="C133" s="20" t="s">
        <v>138</v>
      </c>
      <c r="D133" s="45">
        <v>0</v>
      </c>
      <c r="E133" s="45">
        <v>390981</v>
      </c>
      <c r="F133" s="45">
        <v>0</v>
      </c>
      <c r="G133" s="45">
        <v>0</v>
      </c>
      <c r="H133" s="45">
        <v>0</v>
      </c>
      <c r="I133" s="45">
        <v>0</v>
      </c>
      <c r="J133" s="45">
        <v>0</v>
      </c>
      <c r="K133" s="45">
        <v>0</v>
      </c>
      <c r="L133" s="45">
        <v>0</v>
      </c>
      <c r="M133" s="45">
        <v>0</v>
      </c>
      <c r="N133" s="45">
        <f t="shared" si="16"/>
        <v>390981</v>
      </c>
      <c r="O133" s="46">
        <f t="shared" ref="O133:O155" si="17">(N133/O$157)</f>
        <v>0.29495467209027409</v>
      </c>
      <c r="P133" s="9"/>
    </row>
    <row r="134" spans="1:16">
      <c r="A134" s="12"/>
      <c r="B134" s="38">
        <v>353</v>
      </c>
      <c r="C134" s="20" t="s">
        <v>139</v>
      </c>
      <c r="D134" s="45">
        <v>0</v>
      </c>
      <c r="E134" s="45">
        <v>254042</v>
      </c>
      <c r="F134" s="45">
        <v>0</v>
      </c>
      <c r="G134" s="45">
        <v>0</v>
      </c>
      <c r="H134" s="45">
        <v>0</v>
      </c>
      <c r="I134" s="45">
        <v>0</v>
      </c>
      <c r="J134" s="45">
        <v>0</v>
      </c>
      <c r="K134" s="45">
        <v>0</v>
      </c>
      <c r="L134" s="45">
        <v>0</v>
      </c>
      <c r="M134" s="45">
        <v>0</v>
      </c>
      <c r="N134" s="45">
        <f t="shared" si="16"/>
        <v>254042</v>
      </c>
      <c r="O134" s="46">
        <f t="shared" si="17"/>
        <v>0.19164837883978356</v>
      </c>
      <c r="P134" s="9"/>
    </row>
    <row r="135" spans="1:16">
      <c r="A135" s="12"/>
      <c r="B135" s="38">
        <v>354</v>
      </c>
      <c r="C135" s="20" t="s">
        <v>140</v>
      </c>
      <c r="D135" s="45">
        <v>6942806</v>
      </c>
      <c r="E135" s="45">
        <v>172558</v>
      </c>
      <c r="F135" s="45">
        <v>0</v>
      </c>
      <c r="G135" s="45">
        <v>0</v>
      </c>
      <c r="H135" s="45">
        <v>0</v>
      </c>
      <c r="I135" s="45">
        <v>25</v>
      </c>
      <c r="J135" s="45">
        <v>131</v>
      </c>
      <c r="K135" s="45">
        <v>0</v>
      </c>
      <c r="L135" s="45">
        <v>0</v>
      </c>
      <c r="M135" s="45">
        <v>0</v>
      </c>
      <c r="N135" s="45">
        <f t="shared" si="16"/>
        <v>7115520</v>
      </c>
      <c r="O135" s="46">
        <f t="shared" si="17"/>
        <v>5.3679229127548069</v>
      </c>
      <c r="P135" s="9"/>
    </row>
    <row r="136" spans="1:16">
      <c r="A136" s="12"/>
      <c r="B136" s="38">
        <v>358.1</v>
      </c>
      <c r="C136" s="20" t="s">
        <v>235</v>
      </c>
      <c r="D136" s="45">
        <v>5</v>
      </c>
      <c r="E136" s="45">
        <v>0</v>
      </c>
      <c r="F136" s="45">
        <v>0</v>
      </c>
      <c r="G136" s="45">
        <v>0</v>
      </c>
      <c r="H136" s="45">
        <v>0</v>
      </c>
      <c r="I136" s="45">
        <v>0</v>
      </c>
      <c r="J136" s="45">
        <v>0</v>
      </c>
      <c r="K136" s="45">
        <v>0</v>
      </c>
      <c r="L136" s="45">
        <v>0</v>
      </c>
      <c r="M136" s="45">
        <v>0</v>
      </c>
      <c r="N136" s="45">
        <f t="shared" si="16"/>
        <v>5</v>
      </c>
      <c r="O136" s="46">
        <f t="shared" si="17"/>
        <v>3.7719821690858905E-6</v>
      </c>
      <c r="P136" s="9"/>
    </row>
    <row r="137" spans="1:16">
      <c r="A137" s="12"/>
      <c r="B137" s="38">
        <v>359</v>
      </c>
      <c r="C137" s="20" t="s">
        <v>141</v>
      </c>
      <c r="D137" s="45">
        <v>70012</v>
      </c>
      <c r="E137" s="45">
        <v>823732</v>
      </c>
      <c r="F137" s="45">
        <v>0</v>
      </c>
      <c r="G137" s="45">
        <v>0</v>
      </c>
      <c r="H137" s="45">
        <v>0</v>
      </c>
      <c r="I137" s="45">
        <v>0</v>
      </c>
      <c r="J137" s="45">
        <v>0</v>
      </c>
      <c r="K137" s="45">
        <v>0</v>
      </c>
      <c r="L137" s="45">
        <v>0</v>
      </c>
      <c r="M137" s="45">
        <v>0</v>
      </c>
      <c r="N137" s="45">
        <f t="shared" si="16"/>
        <v>893744</v>
      </c>
      <c r="O137" s="46">
        <f t="shared" si="17"/>
        <v>0.67423728634549995</v>
      </c>
      <c r="P137" s="9"/>
    </row>
    <row r="138" spans="1:16" ht="15.75">
      <c r="A138" s="28" t="s">
        <v>5</v>
      </c>
      <c r="B138" s="29"/>
      <c r="C138" s="30"/>
      <c r="D138" s="31">
        <f t="shared" ref="D138:M138" si="18">SUM(D139:D146)</f>
        <v>33496162</v>
      </c>
      <c r="E138" s="31">
        <f t="shared" si="18"/>
        <v>10923433</v>
      </c>
      <c r="F138" s="31">
        <f t="shared" si="18"/>
        <v>391515</v>
      </c>
      <c r="G138" s="31">
        <f t="shared" si="18"/>
        <v>781085</v>
      </c>
      <c r="H138" s="31">
        <f t="shared" si="18"/>
        <v>0</v>
      </c>
      <c r="I138" s="31">
        <f t="shared" si="18"/>
        <v>481434</v>
      </c>
      <c r="J138" s="31">
        <f t="shared" si="18"/>
        <v>459191</v>
      </c>
      <c r="K138" s="31">
        <f t="shared" si="18"/>
        <v>0</v>
      </c>
      <c r="L138" s="31">
        <f t="shared" si="18"/>
        <v>0</v>
      </c>
      <c r="M138" s="31">
        <f t="shared" si="18"/>
        <v>1029188</v>
      </c>
      <c r="N138" s="31">
        <f>SUM(D138:M138)</f>
        <v>47562008</v>
      </c>
      <c r="O138" s="44">
        <f t="shared" si="17"/>
        <v>35.880609220384095</v>
      </c>
      <c r="P138" s="10"/>
    </row>
    <row r="139" spans="1:16">
      <c r="A139" s="11"/>
      <c r="B139" s="24">
        <v>361.1</v>
      </c>
      <c r="C139" s="19" t="s">
        <v>142</v>
      </c>
      <c r="D139" s="45">
        <v>3224582</v>
      </c>
      <c r="E139" s="45">
        <v>3524142</v>
      </c>
      <c r="F139" s="45">
        <v>272990</v>
      </c>
      <c r="G139" s="45">
        <v>365941</v>
      </c>
      <c r="H139" s="45">
        <v>0</v>
      </c>
      <c r="I139" s="45">
        <v>0</v>
      </c>
      <c r="J139" s="45">
        <v>0</v>
      </c>
      <c r="K139" s="45">
        <v>0</v>
      </c>
      <c r="L139" s="45">
        <v>0</v>
      </c>
      <c r="M139" s="45">
        <v>346709</v>
      </c>
      <c r="N139" s="45">
        <f>SUM(D139:M139)</f>
        <v>7734364</v>
      </c>
      <c r="O139" s="46">
        <f t="shared" si="17"/>
        <v>5.8347766194439643</v>
      </c>
      <c r="P139" s="9"/>
    </row>
    <row r="140" spans="1:16">
      <c r="A140" s="11"/>
      <c r="B140" s="24">
        <v>361.4</v>
      </c>
      <c r="C140" s="19" t="s">
        <v>261</v>
      </c>
      <c r="D140" s="45">
        <v>0</v>
      </c>
      <c r="E140" s="45">
        <v>0</v>
      </c>
      <c r="F140" s="45">
        <v>0</v>
      </c>
      <c r="G140" s="45">
        <v>0</v>
      </c>
      <c r="H140" s="45">
        <v>0</v>
      </c>
      <c r="I140" s="45">
        <v>0</v>
      </c>
      <c r="J140" s="45">
        <v>0</v>
      </c>
      <c r="K140" s="45">
        <v>0</v>
      </c>
      <c r="L140" s="45">
        <v>0</v>
      </c>
      <c r="M140" s="45">
        <v>682479</v>
      </c>
      <c r="N140" s="45">
        <f t="shared" ref="N140:N146" si="19">SUM(D140:M140)</f>
        <v>682479</v>
      </c>
      <c r="O140" s="46">
        <f t="shared" si="17"/>
        <v>0.51485972375511391</v>
      </c>
      <c r="P140" s="9"/>
    </row>
    <row r="141" spans="1:16">
      <c r="A141" s="11"/>
      <c r="B141" s="24">
        <v>362</v>
      </c>
      <c r="C141" s="19" t="s">
        <v>145</v>
      </c>
      <c r="D141" s="45">
        <v>1426275</v>
      </c>
      <c r="E141" s="45">
        <v>7935</v>
      </c>
      <c r="F141" s="45">
        <v>118757</v>
      </c>
      <c r="G141" s="45">
        <v>322049</v>
      </c>
      <c r="H141" s="45">
        <v>0</v>
      </c>
      <c r="I141" s="45">
        <v>0</v>
      </c>
      <c r="J141" s="45">
        <v>0</v>
      </c>
      <c r="K141" s="45">
        <v>0</v>
      </c>
      <c r="L141" s="45">
        <v>0</v>
      </c>
      <c r="M141" s="45">
        <v>0</v>
      </c>
      <c r="N141" s="45">
        <f t="shared" si="19"/>
        <v>1875016</v>
      </c>
      <c r="O141" s="46">
        <f t="shared" si="17"/>
        <v>1.41450538375015</v>
      </c>
      <c r="P141" s="9"/>
    </row>
    <row r="142" spans="1:16">
      <c r="A142" s="11"/>
      <c r="B142" s="24">
        <v>364</v>
      </c>
      <c r="C142" s="19" t="s">
        <v>237</v>
      </c>
      <c r="D142" s="45">
        <v>682048</v>
      </c>
      <c r="E142" s="45">
        <v>41669</v>
      </c>
      <c r="F142" s="45">
        <v>0</v>
      </c>
      <c r="G142" s="45">
        <v>0</v>
      </c>
      <c r="H142" s="45">
        <v>0</v>
      </c>
      <c r="I142" s="45">
        <v>-250512</v>
      </c>
      <c r="J142" s="45">
        <v>444067</v>
      </c>
      <c r="K142" s="45">
        <v>0</v>
      </c>
      <c r="L142" s="45">
        <v>0</v>
      </c>
      <c r="M142" s="45">
        <v>0</v>
      </c>
      <c r="N142" s="45">
        <f t="shared" si="19"/>
        <v>917272</v>
      </c>
      <c r="O142" s="46">
        <f t="shared" si="17"/>
        <v>0.69198672564035058</v>
      </c>
      <c r="P142" s="9"/>
    </row>
    <row r="143" spans="1:16">
      <c r="A143" s="11"/>
      <c r="B143" s="24">
        <v>365</v>
      </c>
      <c r="C143" s="19" t="s">
        <v>238</v>
      </c>
      <c r="D143" s="45">
        <v>149418</v>
      </c>
      <c r="E143" s="45">
        <v>23360</v>
      </c>
      <c r="F143" s="45">
        <v>0</v>
      </c>
      <c r="G143" s="45">
        <v>0</v>
      </c>
      <c r="H143" s="45">
        <v>0</v>
      </c>
      <c r="I143" s="45">
        <v>81784</v>
      </c>
      <c r="J143" s="45">
        <v>15124</v>
      </c>
      <c r="K143" s="45">
        <v>0</v>
      </c>
      <c r="L143" s="45">
        <v>0</v>
      </c>
      <c r="M143" s="45">
        <v>0</v>
      </c>
      <c r="N143" s="45">
        <f t="shared" si="19"/>
        <v>269686</v>
      </c>
      <c r="O143" s="46">
        <f t="shared" si="17"/>
        <v>0.20345015665041949</v>
      </c>
      <c r="P143" s="9"/>
    </row>
    <row r="144" spans="1:16">
      <c r="A144" s="11"/>
      <c r="B144" s="24">
        <v>366</v>
      </c>
      <c r="C144" s="19" t="s">
        <v>148</v>
      </c>
      <c r="D144" s="45">
        <v>201917</v>
      </c>
      <c r="E144" s="45">
        <v>1111202</v>
      </c>
      <c r="F144" s="45">
        <v>0</v>
      </c>
      <c r="G144" s="45">
        <v>93095</v>
      </c>
      <c r="H144" s="45">
        <v>0</v>
      </c>
      <c r="I144" s="45">
        <v>0</v>
      </c>
      <c r="J144" s="45">
        <v>0</v>
      </c>
      <c r="K144" s="45">
        <v>0</v>
      </c>
      <c r="L144" s="45">
        <v>0</v>
      </c>
      <c r="M144" s="45">
        <v>0</v>
      </c>
      <c r="N144" s="45">
        <f t="shared" si="19"/>
        <v>1406214</v>
      </c>
      <c r="O144" s="46">
        <f t="shared" si="17"/>
        <v>1.0608428267837893</v>
      </c>
      <c r="P144" s="9"/>
    </row>
    <row r="145" spans="1:119">
      <c r="A145" s="11"/>
      <c r="B145" s="24">
        <v>369.3</v>
      </c>
      <c r="C145" s="19" t="s">
        <v>150</v>
      </c>
      <c r="D145" s="45">
        <v>25947513</v>
      </c>
      <c r="E145" s="45">
        <v>925624</v>
      </c>
      <c r="F145" s="45">
        <v>0</v>
      </c>
      <c r="G145" s="45">
        <v>0</v>
      </c>
      <c r="H145" s="45">
        <v>0</v>
      </c>
      <c r="I145" s="45">
        <v>0</v>
      </c>
      <c r="J145" s="45">
        <v>0</v>
      </c>
      <c r="K145" s="45">
        <v>0</v>
      </c>
      <c r="L145" s="45">
        <v>0</v>
      </c>
      <c r="M145" s="45">
        <v>0</v>
      </c>
      <c r="N145" s="45">
        <f t="shared" si="19"/>
        <v>26873137</v>
      </c>
      <c r="O145" s="46">
        <f t="shared" si="17"/>
        <v>20.272998718280459</v>
      </c>
      <c r="P145" s="9"/>
    </row>
    <row r="146" spans="1:119">
      <c r="A146" s="11"/>
      <c r="B146" s="24">
        <v>369.9</v>
      </c>
      <c r="C146" s="19" t="s">
        <v>151</v>
      </c>
      <c r="D146" s="45">
        <v>1864409</v>
      </c>
      <c r="E146" s="45">
        <v>5289501</v>
      </c>
      <c r="F146" s="45">
        <v>-232</v>
      </c>
      <c r="G146" s="45">
        <v>0</v>
      </c>
      <c r="H146" s="45">
        <v>0</v>
      </c>
      <c r="I146" s="45">
        <v>650162</v>
      </c>
      <c r="J146" s="45">
        <v>0</v>
      </c>
      <c r="K146" s="45">
        <v>0</v>
      </c>
      <c r="L146" s="45">
        <v>0</v>
      </c>
      <c r="M146" s="45">
        <v>0</v>
      </c>
      <c r="N146" s="45">
        <f t="shared" si="19"/>
        <v>7803840</v>
      </c>
      <c r="O146" s="46">
        <f t="shared" si="17"/>
        <v>5.8871890660798467</v>
      </c>
      <c r="P146" s="9"/>
    </row>
    <row r="147" spans="1:119" ht="15.75">
      <c r="A147" s="28" t="s">
        <v>77</v>
      </c>
      <c r="B147" s="29"/>
      <c r="C147" s="30"/>
      <c r="D147" s="31">
        <f t="shared" ref="D147:M147" si="20">SUM(D148:D154)</f>
        <v>613268415</v>
      </c>
      <c r="E147" s="31">
        <f t="shared" si="20"/>
        <v>94761877</v>
      </c>
      <c r="F147" s="31">
        <f t="shared" si="20"/>
        <v>336425857</v>
      </c>
      <c r="G147" s="31">
        <f t="shared" si="20"/>
        <v>163568585</v>
      </c>
      <c r="H147" s="31">
        <f t="shared" si="20"/>
        <v>0</v>
      </c>
      <c r="I147" s="31">
        <f t="shared" si="20"/>
        <v>66465658</v>
      </c>
      <c r="J147" s="31">
        <f t="shared" si="20"/>
        <v>6536101</v>
      </c>
      <c r="K147" s="31">
        <f t="shared" si="20"/>
        <v>0</v>
      </c>
      <c r="L147" s="31">
        <f t="shared" si="20"/>
        <v>0</v>
      </c>
      <c r="M147" s="31">
        <f t="shared" si="20"/>
        <v>0</v>
      </c>
      <c r="N147" s="31">
        <f>SUM(D147:M147)</f>
        <v>1281026493</v>
      </c>
      <c r="O147" s="44">
        <f t="shared" si="17"/>
        <v>966.40181794452621</v>
      </c>
      <c r="P147" s="9"/>
    </row>
    <row r="148" spans="1:119">
      <c r="A148" s="11"/>
      <c r="B148" s="24">
        <v>381</v>
      </c>
      <c r="C148" s="19" t="s">
        <v>152</v>
      </c>
      <c r="D148" s="45">
        <v>613195611</v>
      </c>
      <c r="E148" s="45">
        <v>94761877</v>
      </c>
      <c r="F148" s="45">
        <v>172413934</v>
      </c>
      <c r="G148" s="45">
        <v>80491574</v>
      </c>
      <c r="H148" s="45">
        <v>0</v>
      </c>
      <c r="I148" s="45">
        <v>0</v>
      </c>
      <c r="J148" s="45">
        <v>4707533</v>
      </c>
      <c r="K148" s="45">
        <v>0</v>
      </c>
      <c r="L148" s="45">
        <v>0</v>
      </c>
      <c r="M148" s="45">
        <v>0</v>
      </c>
      <c r="N148" s="45">
        <f>SUM(D148:M148)</f>
        <v>965570529</v>
      </c>
      <c r="O148" s="46">
        <f t="shared" si="17"/>
        <v>728.42296367656616</v>
      </c>
      <c r="P148" s="9"/>
    </row>
    <row r="149" spans="1:119">
      <c r="A149" s="11"/>
      <c r="B149" s="24">
        <v>383</v>
      </c>
      <c r="C149" s="19" t="s">
        <v>199</v>
      </c>
      <c r="D149" s="45">
        <v>72804</v>
      </c>
      <c r="E149" s="45">
        <v>0</v>
      </c>
      <c r="F149" s="45">
        <v>0</v>
      </c>
      <c r="G149" s="45">
        <v>0</v>
      </c>
      <c r="H149" s="45">
        <v>0</v>
      </c>
      <c r="I149" s="45">
        <v>0</v>
      </c>
      <c r="J149" s="45">
        <v>0</v>
      </c>
      <c r="K149" s="45">
        <v>0</v>
      </c>
      <c r="L149" s="45">
        <v>0</v>
      </c>
      <c r="M149" s="45">
        <v>0</v>
      </c>
      <c r="N149" s="45">
        <f t="shared" ref="N149:N154" si="21">SUM(D149:M149)</f>
        <v>72804</v>
      </c>
      <c r="O149" s="46">
        <f t="shared" si="17"/>
        <v>5.4923077967625834E-2</v>
      </c>
      <c r="P149" s="9"/>
    </row>
    <row r="150" spans="1:119">
      <c r="A150" s="11"/>
      <c r="B150" s="24">
        <v>384</v>
      </c>
      <c r="C150" s="19" t="s">
        <v>153</v>
      </c>
      <c r="D150" s="45">
        <v>0</v>
      </c>
      <c r="E150" s="45">
        <v>0</v>
      </c>
      <c r="F150" s="45">
        <v>0</v>
      </c>
      <c r="G150" s="45">
        <v>83077011</v>
      </c>
      <c r="H150" s="45">
        <v>0</v>
      </c>
      <c r="I150" s="45">
        <v>0</v>
      </c>
      <c r="J150" s="45">
        <v>0</v>
      </c>
      <c r="K150" s="45">
        <v>0</v>
      </c>
      <c r="L150" s="45">
        <v>0</v>
      </c>
      <c r="M150" s="45">
        <v>0</v>
      </c>
      <c r="N150" s="45">
        <f t="shared" si="21"/>
        <v>83077011</v>
      </c>
      <c r="O150" s="46">
        <f t="shared" si="17"/>
        <v>62.673000830590475</v>
      </c>
      <c r="P150" s="9"/>
    </row>
    <row r="151" spans="1:119">
      <c r="A151" s="11"/>
      <c r="B151" s="24">
        <v>385</v>
      </c>
      <c r="C151" s="19" t="s">
        <v>195</v>
      </c>
      <c r="D151" s="45">
        <v>0</v>
      </c>
      <c r="E151" s="45">
        <v>0</v>
      </c>
      <c r="F151" s="45">
        <v>164011923</v>
      </c>
      <c r="G151" s="45">
        <v>0</v>
      </c>
      <c r="H151" s="45">
        <v>0</v>
      </c>
      <c r="I151" s="45">
        <v>0</v>
      </c>
      <c r="J151" s="45">
        <v>0</v>
      </c>
      <c r="K151" s="45">
        <v>0</v>
      </c>
      <c r="L151" s="45">
        <v>0</v>
      </c>
      <c r="M151" s="45">
        <v>0</v>
      </c>
      <c r="N151" s="45">
        <f t="shared" si="21"/>
        <v>164011923</v>
      </c>
      <c r="O151" s="46">
        <f t="shared" si="17"/>
        <v>123.73000981469761</v>
      </c>
      <c r="P151" s="9"/>
    </row>
    <row r="152" spans="1:119">
      <c r="A152" s="11"/>
      <c r="B152" s="24">
        <v>389.1</v>
      </c>
      <c r="C152" s="19" t="s">
        <v>239</v>
      </c>
      <c r="D152" s="45">
        <v>0</v>
      </c>
      <c r="E152" s="45">
        <v>0</v>
      </c>
      <c r="F152" s="45">
        <v>0</v>
      </c>
      <c r="G152" s="45">
        <v>0</v>
      </c>
      <c r="H152" s="45">
        <v>0</v>
      </c>
      <c r="I152" s="45">
        <v>9164703</v>
      </c>
      <c r="J152" s="45">
        <v>1828568</v>
      </c>
      <c r="K152" s="45">
        <v>0</v>
      </c>
      <c r="L152" s="45">
        <v>0</v>
      </c>
      <c r="M152" s="45">
        <v>0</v>
      </c>
      <c r="N152" s="45">
        <f t="shared" si="21"/>
        <v>10993271</v>
      </c>
      <c r="O152" s="46">
        <f t="shared" si="17"/>
        <v>8.2932844383858022</v>
      </c>
      <c r="P152" s="9"/>
    </row>
    <row r="153" spans="1:119">
      <c r="A153" s="11"/>
      <c r="B153" s="24">
        <v>389.4</v>
      </c>
      <c r="C153" s="19" t="s">
        <v>240</v>
      </c>
      <c r="D153" s="45">
        <v>0</v>
      </c>
      <c r="E153" s="45">
        <v>0</v>
      </c>
      <c r="F153" s="45">
        <v>0</v>
      </c>
      <c r="G153" s="45">
        <v>0</v>
      </c>
      <c r="H153" s="45">
        <v>0</v>
      </c>
      <c r="I153" s="45">
        <v>53240194</v>
      </c>
      <c r="J153" s="45">
        <v>0</v>
      </c>
      <c r="K153" s="45">
        <v>0</v>
      </c>
      <c r="L153" s="45">
        <v>0</v>
      </c>
      <c r="M153" s="45">
        <v>0</v>
      </c>
      <c r="N153" s="45">
        <f t="shared" si="21"/>
        <v>53240194</v>
      </c>
      <c r="O153" s="46">
        <f t="shared" si="17"/>
        <v>40.164212489334723</v>
      </c>
      <c r="P153" s="9"/>
    </row>
    <row r="154" spans="1:119" ht="15.75" thickBot="1">
      <c r="A154" s="11"/>
      <c r="B154" s="24">
        <v>389.9</v>
      </c>
      <c r="C154" s="19" t="s">
        <v>241</v>
      </c>
      <c r="D154" s="45">
        <v>0</v>
      </c>
      <c r="E154" s="45">
        <v>0</v>
      </c>
      <c r="F154" s="45">
        <v>0</v>
      </c>
      <c r="G154" s="45">
        <v>0</v>
      </c>
      <c r="H154" s="45">
        <v>0</v>
      </c>
      <c r="I154" s="45">
        <v>4060761</v>
      </c>
      <c r="J154" s="45">
        <v>0</v>
      </c>
      <c r="K154" s="45">
        <v>0</v>
      </c>
      <c r="L154" s="45">
        <v>0</v>
      </c>
      <c r="M154" s="45">
        <v>0</v>
      </c>
      <c r="N154" s="45">
        <f t="shared" si="21"/>
        <v>4060761</v>
      </c>
      <c r="O154" s="46">
        <f t="shared" si="17"/>
        <v>3.063423616983878</v>
      </c>
      <c r="P154" s="9"/>
    </row>
    <row r="155" spans="1:119" ht="16.5" thickBot="1">
      <c r="A155" s="13" t="s">
        <v>114</v>
      </c>
      <c r="B155" s="22"/>
      <c r="C155" s="21"/>
      <c r="D155" s="14">
        <f t="shared" ref="D155:M155" si="22">SUM(D5,D13,D27,D71,D126,D138,D147)</f>
        <v>1354927618</v>
      </c>
      <c r="E155" s="14">
        <f t="shared" si="22"/>
        <v>781001740</v>
      </c>
      <c r="F155" s="14">
        <f t="shared" si="22"/>
        <v>342410713</v>
      </c>
      <c r="G155" s="14">
        <f t="shared" si="22"/>
        <v>165280168</v>
      </c>
      <c r="H155" s="14">
        <f t="shared" si="22"/>
        <v>0</v>
      </c>
      <c r="I155" s="14">
        <f t="shared" si="22"/>
        <v>381866759</v>
      </c>
      <c r="J155" s="14">
        <f t="shared" si="22"/>
        <v>164412703</v>
      </c>
      <c r="K155" s="14">
        <f t="shared" si="22"/>
        <v>0</v>
      </c>
      <c r="L155" s="14">
        <f t="shared" si="22"/>
        <v>0</v>
      </c>
      <c r="M155" s="14">
        <f t="shared" si="22"/>
        <v>6130128</v>
      </c>
      <c r="N155" s="14">
        <f>SUM(D155:M155)</f>
        <v>3196029829</v>
      </c>
      <c r="O155" s="37">
        <f t="shared" si="17"/>
        <v>2411.0735053709254</v>
      </c>
      <c r="P155" s="6"/>
      <c r="Q155" s="2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</row>
    <row r="156" spans="1:119">
      <c r="A156" s="15"/>
      <c r="B156" s="17"/>
      <c r="C156" s="17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8"/>
    </row>
    <row r="157" spans="1:119">
      <c r="A157" s="39"/>
      <c r="B157" s="40"/>
      <c r="C157" s="40"/>
      <c r="D157" s="41"/>
      <c r="E157" s="41"/>
      <c r="F157" s="41"/>
      <c r="G157" s="41"/>
      <c r="H157" s="41"/>
      <c r="I157" s="41"/>
      <c r="J157" s="41"/>
      <c r="K157" s="41"/>
      <c r="L157" s="48" t="s">
        <v>265</v>
      </c>
      <c r="M157" s="48"/>
      <c r="N157" s="48"/>
      <c r="O157" s="42">
        <v>1325563</v>
      </c>
    </row>
    <row r="158" spans="1:119">
      <c r="A158" s="49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1"/>
    </row>
    <row r="159" spans="1:119" ht="15.75" customHeight="1" thickBot="1">
      <c r="A159" s="52" t="s">
        <v>178</v>
      </c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4"/>
    </row>
  </sheetData>
  <mergeCells count="10">
    <mergeCell ref="L157:N157"/>
    <mergeCell ref="A158:O158"/>
    <mergeCell ref="A159:O159"/>
    <mergeCell ref="A1:O1"/>
    <mergeCell ref="A2:O2"/>
    <mergeCell ref="A3:C4"/>
    <mergeCell ref="D3:H3"/>
    <mergeCell ref="I3:J3"/>
    <mergeCell ref="K3:L3"/>
    <mergeCell ref="O3:O4"/>
  </mergeCells>
  <printOptions horizontalCentered="1"/>
  <pageMargins left="0.5" right="0.5" top="0.5" bottom="0.5" header="0.3" footer="0.3"/>
  <pageSetup paperSize="5" scale="55" fitToHeight="0" orientation="landscape" horizontalDpi="1200" verticalDpi="1200" r:id="rId1"/>
  <headerFooter>
    <oddFooter>&amp;L&amp;14Office of Economic and Demographic Research&amp;R&amp;14Page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EC154"/>
  <sheetViews>
    <sheetView workbookViewId="0">
      <selection sqref="A1:O1"/>
    </sheetView>
  </sheetViews>
  <sheetFormatPr defaultColWidth="9.77734375" defaultRowHeight="15"/>
  <cols>
    <col min="1" max="1" width="1.77734375" style="3" customWidth="1"/>
    <col min="2" max="2" width="6.77734375" style="3" customWidth="1"/>
    <col min="3" max="3" width="60.77734375" style="3" customWidth="1"/>
    <col min="4" max="5" width="16.77734375" style="4" customWidth="1"/>
    <col min="6" max="7" width="15.77734375" style="4" customWidth="1"/>
    <col min="8" max="8" width="13.77734375" style="4" customWidth="1"/>
    <col min="9" max="10" width="15.77734375" style="4" customWidth="1"/>
    <col min="11" max="13" width="13.77734375" style="4" customWidth="1"/>
    <col min="14" max="14" width="16.77734375" style="4" customWidth="1"/>
    <col min="15" max="15" width="13.77734375" style="3" customWidth="1"/>
    <col min="16" max="16" width="9.77734375" style="3" customWidth="1"/>
    <col min="17" max="17" width="9.77734375" style="3"/>
  </cols>
  <sheetData>
    <row r="1" spans="1:133" ht="27.75">
      <c r="A1" s="55" t="s">
        <v>165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7"/>
      <c r="P1" s="7"/>
      <c r="Q1"/>
    </row>
    <row r="2" spans="1:133" ht="24" thickBot="1">
      <c r="A2" s="58" t="s">
        <v>243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60"/>
      <c r="P2" s="7"/>
      <c r="Q2"/>
    </row>
    <row r="3" spans="1:133" ht="18" customHeight="1">
      <c r="A3" s="61" t="s">
        <v>158</v>
      </c>
      <c r="B3" s="62"/>
      <c r="C3" s="63"/>
      <c r="D3" s="67" t="s">
        <v>71</v>
      </c>
      <c r="E3" s="68"/>
      <c r="F3" s="68"/>
      <c r="G3" s="68"/>
      <c r="H3" s="69"/>
      <c r="I3" s="67" t="s">
        <v>72</v>
      </c>
      <c r="J3" s="69"/>
      <c r="K3" s="67" t="s">
        <v>74</v>
      </c>
      <c r="L3" s="69"/>
      <c r="M3" s="35"/>
      <c r="N3" s="36"/>
      <c r="O3" s="70" t="s">
        <v>163</v>
      </c>
      <c r="P3" s="5"/>
      <c r="Q3"/>
    </row>
    <row r="4" spans="1:133" ht="32.25" customHeight="1" thickBot="1">
      <c r="A4" s="64"/>
      <c r="B4" s="65"/>
      <c r="C4" s="66"/>
      <c r="D4" s="33" t="s">
        <v>6</v>
      </c>
      <c r="E4" s="33" t="s">
        <v>159</v>
      </c>
      <c r="F4" s="33" t="s">
        <v>160</v>
      </c>
      <c r="G4" s="33" t="s">
        <v>161</v>
      </c>
      <c r="H4" s="33" t="s">
        <v>7</v>
      </c>
      <c r="I4" s="33" t="s">
        <v>8</v>
      </c>
      <c r="J4" s="34" t="s">
        <v>162</v>
      </c>
      <c r="K4" s="34" t="s">
        <v>9</v>
      </c>
      <c r="L4" s="34" t="s">
        <v>10</v>
      </c>
      <c r="M4" s="34" t="s">
        <v>11</v>
      </c>
      <c r="N4" s="34" t="s">
        <v>73</v>
      </c>
      <c r="O4" s="71"/>
      <c r="P4" s="8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</row>
    <row r="5" spans="1:133" ht="15.75">
      <c r="A5" s="23" t="s">
        <v>2</v>
      </c>
      <c r="B5" s="25"/>
      <c r="C5" s="25"/>
      <c r="D5" s="26">
        <f t="shared" ref="D5:M5" si="0">SUM(D6:D12)</f>
        <v>518581770</v>
      </c>
      <c r="E5" s="26">
        <f t="shared" si="0"/>
        <v>345400907</v>
      </c>
      <c r="F5" s="26">
        <f t="shared" si="0"/>
        <v>4706877</v>
      </c>
      <c r="G5" s="26">
        <f t="shared" si="0"/>
        <v>0</v>
      </c>
      <c r="H5" s="26">
        <f t="shared" si="0"/>
        <v>0</v>
      </c>
      <c r="I5" s="26">
        <f t="shared" si="0"/>
        <v>0</v>
      </c>
      <c r="J5" s="26">
        <f t="shared" si="0"/>
        <v>0</v>
      </c>
      <c r="K5" s="26">
        <f t="shared" si="0"/>
        <v>0</v>
      </c>
      <c r="L5" s="26">
        <f t="shared" si="0"/>
        <v>0</v>
      </c>
      <c r="M5" s="26">
        <f t="shared" si="0"/>
        <v>0</v>
      </c>
      <c r="N5" s="27">
        <f>SUM(D5:M5)</f>
        <v>868689554</v>
      </c>
      <c r="O5" s="32">
        <f t="shared" ref="O5:O36" si="1">(N5/O$152)</f>
        <v>667.25418872759315</v>
      </c>
      <c r="P5" s="6"/>
    </row>
    <row r="6" spans="1:133">
      <c r="A6" s="11"/>
      <c r="B6" s="24">
        <v>311</v>
      </c>
      <c r="C6" s="19" t="s">
        <v>3</v>
      </c>
      <c r="D6" s="45">
        <v>517224082</v>
      </c>
      <c r="E6" s="45">
        <v>33075164</v>
      </c>
      <c r="F6" s="45">
        <v>4706877</v>
      </c>
      <c r="G6" s="45">
        <v>0</v>
      </c>
      <c r="H6" s="45">
        <v>0</v>
      </c>
      <c r="I6" s="45">
        <v>0</v>
      </c>
      <c r="J6" s="45">
        <v>0</v>
      </c>
      <c r="K6" s="45">
        <v>0</v>
      </c>
      <c r="L6" s="45">
        <v>0</v>
      </c>
      <c r="M6" s="45">
        <v>0</v>
      </c>
      <c r="N6" s="45">
        <f>SUM(D6:M6)</f>
        <v>555006123</v>
      </c>
      <c r="O6" s="46">
        <f t="shared" si="1"/>
        <v>426.30898303769834</v>
      </c>
      <c r="P6" s="9"/>
    </row>
    <row r="7" spans="1:133">
      <c r="A7" s="11"/>
      <c r="B7" s="24">
        <v>312.10000000000002</v>
      </c>
      <c r="C7" s="19" t="s">
        <v>12</v>
      </c>
      <c r="D7" s="45">
        <v>0</v>
      </c>
      <c r="E7" s="45">
        <v>138584622</v>
      </c>
      <c r="F7" s="45">
        <v>0</v>
      </c>
      <c r="G7" s="45">
        <v>0</v>
      </c>
      <c r="H7" s="45">
        <v>0</v>
      </c>
      <c r="I7" s="45">
        <v>0</v>
      </c>
      <c r="J7" s="45">
        <v>0</v>
      </c>
      <c r="K7" s="45">
        <v>0</v>
      </c>
      <c r="L7" s="45">
        <v>0</v>
      </c>
      <c r="M7" s="45">
        <v>0</v>
      </c>
      <c r="N7" s="45">
        <f t="shared" ref="N7:N12" si="2">SUM(D7:M7)</f>
        <v>138584622</v>
      </c>
      <c r="O7" s="46">
        <f t="shared" si="1"/>
        <v>106.44904050812397</v>
      </c>
      <c r="P7" s="9"/>
    </row>
    <row r="8" spans="1:133">
      <c r="A8" s="11"/>
      <c r="B8" s="24">
        <v>312.3</v>
      </c>
      <c r="C8" s="19" t="s">
        <v>13</v>
      </c>
      <c r="D8" s="45">
        <v>0</v>
      </c>
      <c r="E8" s="45">
        <v>7108321</v>
      </c>
      <c r="F8" s="45">
        <v>0</v>
      </c>
      <c r="G8" s="45">
        <v>0</v>
      </c>
      <c r="H8" s="45">
        <v>0</v>
      </c>
      <c r="I8" s="45">
        <v>0</v>
      </c>
      <c r="J8" s="45">
        <v>0</v>
      </c>
      <c r="K8" s="45">
        <v>0</v>
      </c>
      <c r="L8" s="45">
        <v>0</v>
      </c>
      <c r="M8" s="45">
        <v>0</v>
      </c>
      <c r="N8" s="45">
        <f t="shared" si="2"/>
        <v>7108321</v>
      </c>
      <c r="O8" s="46">
        <f t="shared" si="1"/>
        <v>5.4600138107224359</v>
      </c>
      <c r="P8" s="9"/>
    </row>
    <row r="9" spans="1:133">
      <c r="A9" s="11"/>
      <c r="B9" s="24">
        <v>312.41000000000003</v>
      </c>
      <c r="C9" s="19" t="s">
        <v>14</v>
      </c>
      <c r="D9" s="45">
        <v>0</v>
      </c>
      <c r="E9" s="45">
        <v>26848128</v>
      </c>
      <c r="F9" s="45">
        <v>0</v>
      </c>
      <c r="G9" s="45">
        <v>0</v>
      </c>
      <c r="H9" s="45">
        <v>0</v>
      </c>
      <c r="I9" s="45">
        <v>0</v>
      </c>
      <c r="J9" s="45">
        <v>0</v>
      </c>
      <c r="K9" s="45">
        <v>0</v>
      </c>
      <c r="L9" s="45">
        <v>0</v>
      </c>
      <c r="M9" s="45">
        <v>0</v>
      </c>
      <c r="N9" s="45">
        <f t="shared" si="2"/>
        <v>26848128</v>
      </c>
      <c r="O9" s="46">
        <f t="shared" si="1"/>
        <v>20.622471842794344</v>
      </c>
      <c r="P9" s="9"/>
    </row>
    <row r="10" spans="1:133">
      <c r="A10" s="11"/>
      <c r="B10" s="24">
        <v>312.60000000000002</v>
      </c>
      <c r="C10" s="19" t="s">
        <v>15</v>
      </c>
      <c r="D10" s="45">
        <v>0</v>
      </c>
      <c r="E10" s="45">
        <v>113240064</v>
      </c>
      <c r="F10" s="45">
        <v>0</v>
      </c>
      <c r="G10" s="45">
        <v>0</v>
      </c>
      <c r="H10" s="45">
        <v>0</v>
      </c>
      <c r="I10" s="45">
        <v>0</v>
      </c>
      <c r="J10" s="45">
        <v>0</v>
      </c>
      <c r="K10" s="45">
        <v>0</v>
      </c>
      <c r="L10" s="45">
        <v>0</v>
      </c>
      <c r="M10" s="45">
        <v>0</v>
      </c>
      <c r="N10" s="45">
        <f t="shared" si="2"/>
        <v>113240064</v>
      </c>
      <c r="O10" s="46">
        <f t="shared" si="1"/>
        <v>86.981484568169122</v>
      </c>
      <c r="P10" s="9"/>
    </row>
    <row r="11" spans="1:133">
      <c r="A11" s="11"/>
      <c r="B11" s="24">
        <v>315</v>
      </c>
      <c r="C11" s="19" t="s">
        <v>202</v>
      </c>
      <c r="D11" s="45">
        <v>0</v>
      </c>
      <c r="E11" s="45">
        <v>26107637</v>
      </c>
      <c r="F11" s="45">
        <v>0</v>
      </c>
      <c r="G11" s="45">
        <v>0</v>
      </c>
      <c r="H11" s="45">
        <v>0</v>
      </c>
      <c r="I11" s="45">
        <v>0</v>
      </c>
      <c r="J11" s="45">
        <v>0</v>
      </c>
      <c r="K11" s="45">
        <v>0</v>
      </c>
      <c r="L11" s="45">
        <v>0</v>
      </c>
      <c r="M11" s="45">
        <v>0</v>
      </c>
      <c r="N11" s="45">
        <f t="shared" si="2"/>
        <v>26107637</v>
      </c>
      <c r="O11" s="46">
        <f t="shared" si="1"/>
        <v>20.053688991440886</v>
      </c>
      <c r="P11" s="9"/>
    </row>
    <row r="12" spans="1:133">
      <c r="A12" s="11"/>
      <c r="B12" s="24">
        <v>316</v>
      </c>
      <c r="C12" s="19" t="s">
        <v>203</v>
      </c>
      <c r="D12" s="45">
        <v>1357688</v>
      </c>
      <c r="E12" s="45">
        <v>436971</v>
      </c>
      <c r="F12" s="45">
        <v>0</v>
      </c>
      <c r="G12" s="45">
        <v>0</v>
      </c>
      <c r="H12" s="45">
        <v>0</v>
      </c>
      <c r="I12" s="45">
        <v>0</v>
      </c>
      <c r="J12" s="45">
        <v>0</v>
      </c>
      <c r="K12" s="45">
        <v>0</v>
      </c>
      <c r="L12" s="45">
        <v>0</v>
      </c>
      <c r="M12" s="45">
        <v>0</v>
      </c>
      <c r="N12" s="45">
        <f t="shared" si="2"/>
        <v>1794659</v>
      </c>
      <c r="O12" s="46">
        <f t="shared" si="1"/>
        <v>1.378505968643976</v>
      </c>
      <c r="P12" s="9"/>
    </row>
    <row r="13" spans="1:133" ht="15.75">
      <c r="A13" s="28" t="s">
        <v>18</v>
      </c>
      <c r="B13" s="29"/>
      <c r="C13" s="30"/>
      <c r="D13" s="31">
        <f t="shared" ref="D13:M13" si="3">SUM(D14:D25)</f>
        <v>2433213</v>
      </c>
      <c r="E13" s="31">
        <f t="shared" si="3"/>
        <v>42469697</v>
      </c>
      <c r="F13" s="31">
        <f t="shared" si="3"/>
        <v>0</v>
      </c>
      <c r="G13" s="31">
        <f t="shared" si="3"/>
        <v>0</v>
      </c>
      <c r="H13" s="31">
        <f t="shared" si="3"/>
        <v>0</v>
      </c>
      <c r="I13" s="31">
        <f t="shared" si="3"/>
        <v>0</v>
      </c>
      <c r="J13" s="31">
        <f t="shared" si="3"/>
        <v>0</v>
      </c>
      <c r="K13" s="31">
        <f t="shared" si="3"/>
        <v>0</v>
      </c>
      <c r="L13" s="31">
        <f t="shared" si="3"/>
        <v>0</v>
      </c>
      <c r="M13" s="31">
        <f t="shared" si="3"/>
        <v>0</v>
      </c>
      <c r="N13" s="43">
        <f>SUM(D13:M13)</f>
        <v>44902910</v>
      </c>
      <c r="O13" s="44">
        <f t="shared" si="1"/>
        <v>34.490635515985645</v>
      </c>
      <c r="P13" s="10"/>
    </row>
    <row r="14" spans="1:133">
      <c r="A14" s="11"/>
      <c r="B14" s="24">
        <v>322</v>
      </c>
      <c r="C14" s="19" t="s">
        <v>0</v>
      </c>
      <c r="D14" s="45">
        <v>0</v>
      </c>
      <c r="E14" s="45">
        <v>5745226</v>
      </c>
      <c r="F14" s="45">
        <v>0</v>
      </c>
      <c r="G14" s="45">
        <v>0</v>
      </c>
      <c r="H14" s="45">
        <v>0</v>
      </c>
      <c r="I14" s="45">
        <v>0</v>
      </c>
      <c r="J14" s="45">
        <v>0</v>
      </c>
      <c r="K14" s="45">
        <v>0</v>
      </c>
      <c r="L14" s="45">
        <v>0</v>
      </c>
      <c r="M14" s="45">
        <v>0</v>
      </c>
      <c r="N14" s="45">
        <f>SUM(D14:M14)</f>
        <v>5745226</v>
      </c>
      <c r="O14" s="46">
        <f t="shared" si="1"/>
        <v>4.4129989776378444</v>
      </c>
      <c r="P14" s="9"/>
    </row>
    <row r="15" spans="1:133">
      <c r="A15" s="11"/>
      <c r="B15" s="24">
        <v>323.3</v>
      </c>
      <c r="C15" s="19" t="s">
        <v>19</v>
      </c>
      <c r="D15" s="45">
        <v>20856</v>
      </c>
      <c r="E15" s="45">
        <v>0</v>
      </c>
      <c r="F15" s="45">
        <v>0</v>
      </c>
      <c r="G15" s="45">
        <v>0</v>
      </c>
      <c r="H15" s="45">
        <v>0</v>
      </c>
      <c r="I15" s="45">
        <v>0</v>
      </c>
      <c r="J15" s="45">
        <v>0</v>
      </c>
      <c r="K15" s="45">
        <v>0</v>
      </c>
      <c r="L15" s="45">
        <v>0</v>
      </c>
      <c r="M15" s="45">
        <v>0</v>
      </c>
      <c r="N15" s="45">
        <f t="shared" ref="N15:N23" si="4">SUM(D15:M15)</f>
        <v>20856</v>
      </c>
      <c r="O15" s="46">
        <f t="shared" si="1"/>
        <v>1.601982353307161E-2</v>
      </c>
      <c r="P15" s="9"/>
    </row>
    <row r="16" spans="1:133">
      <c r="A16" s="11"/>
      <c r="B16" s="24">
        <v>323.60000000000002</v>
      </c>
      <c r="C16" s="19" t="s">
        <v>20</v>
      </c>
      <c r="D16" s="45">
        <v>27709</v>
      </c>
      <c r="E16" s="45">
        <v>0</v>
      </c>
      <c r="F16" s="45">
        <v>0</v>
      </c>
      <c r="G16" s="45">
        <v>0</v>
      </c>
      <c r="H16" s="45">
        <v>0</v>
      </c>
      <c r="I16" s="45">
        <v>0</v>
      </c>
      <c r="J16" s="45">
        <v>0</v>
      </c>
      <c r="K16" s="45">
        <v>0</v>
      </c>
      <c r="L16" s="45">
        <v>0</v>
      </c>
      <c r="M16" s="45">
        <v>0</v>
      </c>
      <c r="N16" s="45">
        <f t="shared" si="4"/>
        <v>27709</v>
      </c>
      <c r="O16" s="46">
        <f t="shared" si="1"/>
        <v>2.1283721244624149E-2</v>
      </c>
      <c r="P16" s="9"/>
    </row>
    <row r="17" spans="1:16">
      <c r="A17" s="11"/>
      <c r="B17" s="24">
        <v>324.11</v>
      </c>
      <c r="C17" s="19" t="s">
        <v>21</v>
      </c>
      <c r="D17" s="45">
        <v>0</v>
      </c>
      <c r="E17" s="45">
        <v>198797</v>
      </c>
      <c r="F17" s="45">
        <v>0</v>
      </c>
      <c r="G17" s="45">
        <v>0</v>
      </c>
      <c r="H17" s="45">
        <v>0</v>
      </c>
      <c r="I17" s="45">
        <v>0</v>
      </c>
      <c r="J17" s="45">
        <v>0</v>
      </c>
      <c r="K17" s="45">
        <v>0</v>
      </c>
      <c r="L17" s="45">
        <v>0</v>
      </c>
      <c r="M17" s="45">
        <v>0</v>
      </c>
      <c r="N17" s="45">
        <f t="shared" si="4"/>
        <v>198797</v>
      </c>
      <c r="O17" s="46">
        <f t="shared" si="1"/>
        <v>0.15269912058419816</v>
      </c>
      <c r="P17" s="9"/>
    </row>
    <row r="18" spans="1:16">
      <c r="A18" s="11"/>
      <c r="B18" s="24">
        <v>324.12</v>
      </c>
      <c r="C18" s="19" t="s">
        <v>180</v>
      </c>
      <c r="D18" s="45">
        <v>0</v>
      </c>
      <c r="E18" s="45">
        <v>50877</v>
      </c>
      <c r="F18" s="45">
        <v>0</v>
      </c>
      <c r="G18" s="45">
        <v>0</v>
      </c>
      <c r="H18" s="45">
        <v>0</v>
      </c>
      <c r="I18" s="45">
        <v>0</v>
      </c>
      <c r="J18" s="45">
        <v>0</v>
      </c>
      <c r="K18" s="45">
        <v>0</v>
      </c>
      <c r="L18" s="45">
        <v>0</v>
      </c>
      <c r="M18" s="45">
        <v>0</v>
      </c>
      <c r="N18" s="45">
        <f t="shared" si="4"/>
        <v>50877</v>
      </c>
      <c r="O18" s="46">
        <f t="shared" si="1"/>
        <v>3.9079428552554869E-2</v>
      </c>
      <c r="P18" s="9"/>
    </row>
    <row r="19" spans="1:16">
      <c r="A19" s="11"/>
      <c r="B19" s="24">
        <v>324.20999999999998</v>
      </c>
      <c r="C19" s="19" t="s">
        <v>22</v>
      </c>
      <c r="D19" s="45">
        <v>0</v>
      </c>
      <c r="E19" s="45">
        <v>18201192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5">
        <v>0</v>
      </c>
      <c r="L19" s="45">
        <v>0</v>
      </c>
      <c r="M19" s="45">
        <v>0</v>
      </c>
      <c r="N19" s="45">
        <f t="shared" si="4"/>
        <v>18201192</v>
      </c>
      <c r="O19" s="46">
        <f t="shared" si="1"/>
        <v>13.980623510335382</v>
      </c>
      <c r="P19" s="9"/>
    </row>
    <row r="20" spans="1:16">
      <c r="A20" s="11"/>
      <c r="B20" s="24">
        <v>324.31</v>
      </c>
      <c r="C20" s="19" t="s">
        <v>23</v>
      </c>
      <c r="D20" s="45">
        <v>0</v>
      </c>
      <c r="E20" s="45">
        <v>1618675</v>
      </c>
      <c r="F20" s="45">
        <v>0</v>
      </c>
      <c r="G20" s="45">
        <v>0</v>
      </c>
      <c r="H20" s="45">
        <v>0</v>
      </c>
      <c r="I20" s="45">
        <v>0</v>
      </c>
      <c r="J20" s="45">
        <v>0</v>
      </c>
      <c r="K20" s="45">
        <v>0</v>
      </c>
      <c r="L20" s="45">
        <v>0</v>
      </c>
      <c r="M20" s="45">
        <v>0</v>
      </c>
      <c r="N20" s="45">
        <f t="shared" si="4"/>
        <v>1618675</v>
      </c>
      <c r="O20" s="46">
        <f t="shared" si="1"/>
        <v>1.2433298742517591</v>
      </c>
      <c r="P20" s="9"/>
    </row>
    <row r="21" spans="1:16">
      <c r="A21" s="11"/>
      <c r="B21" s="24">
        <v>324.32</v>
      </c>
      <c r="C21" s="19" t="s">
        <v>167</v>
      </c>
      <c r="D21" s="45">
        <v>0</v>
      </c>
      <c r="E21" s="45">
        <v>742675</v>
      </c>
      <c r="F21" s="45">
        <v>0</v>
      </c>
      <c r="G21" s="45">
        <v>0</v>
      </c>
      <c r="H21" s="45">
        <v>0</v>
      </c>
      <c r="I21" s="45">
        <v>0</v>
      </c>
      <c r="J21" s="45">
        <v>0</v>
      </c>
      <c r="K21" s="45">
        <v>0</v>
      </c>
      <c r="L21" s="45">
        <v>0</v>
      </c>
      <c r="M21" s="45">
        <v>0</v>
      </c>
      <c r="N21" s="45">
        <f t="shared" si="4"/>
        <v>742675</v>
      </c>
      <c r="O21" s="46">
        <f t="shared" si="1"/>
        <v>0.57046041630341193</v>
      </c>
      <c r="P21" s="9"/>
    </row>
    <row r="22" spans="1:16">
      <c r="A22" s="11"/>
      <c r="B22" s="24">
        <v>324.61</v>
      </c>
      <c r="C22" s="19" t="s">
        <v>24</v>
      </c>
      <c r="D22" s="45">
        <v>0</v>
      </c>
      <c r="E22" s="45">
        <v>1275688</v>
      </c>
      <c r="F22" s="45">
        <v>0</v>
      </c>
      <c r="G22" s="45">
        <v>0</v>
      </c>
      <c r="H22" s="45">
        <v>0</v>
      </c>
      <c r="I22" s="45">
        <v>0</v>
      </c>
      <c r="J22" s="45">
        <v>0</v>
      </c>
      <c r="K22" s="45">
        <v>0</v>
      </c>
      <c r="L22" s="45">
        <v>0</v>
      </c>
      <c r="M22" s="45">
        <v>0</v>
      </c>
      <c r="N22" s="45">
        <f t="shared" si="4"/>
        <v>1275688</v>
      </c>
      <c r="O22" s="46">
        <f t="shared" si="1"/>
        <v>0.97987613364293524</v>
      </c>
      <c r="P22" s="9"/>
    </row>
    <row r="23" spans="1:16">
      <c r="A23" s="11"/>
      <c r="B23" s="24">
        <v>325.10000000000002</v>
      </c>
      <c r="C23" s="19" t="s">
        <v>25</v>
      </c>
      <c r="D23" s="45">
        <v>0</v>
      </c>
      <c r="E23" s="45">
        <v>14055961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45">
        <v>0</v>
      </c>
      <c r="L23" s="45">
        <v>0</v>
      </c>
      <c r="M23" s="45">
        <v>0</v>
      </c>
      <c r="N23" s="45">
        <f t="shared" si="4"/>
        <v>14055961</v>
      </c>
      <c r="O23" s="46">
        <f t="shared" si="1"/>
        <v>10.796606003439623</v>
      </c>
      <c r="P23" s="9"/>
    </row>
    <row r="24" spans="1:16">
      <c r="A24" s="11"/>
      <c r="B24" s="24">
        <v>329</v>
      </c>
      <c r="C24" s="19" t="s">
        <v>27</v>
      </c>
      <c r="D24" s="45">
        <v>488509</v>
      </c>
      <c r="E24" s="45">
        <v>465291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5">
        <v>0</v>
      </c>
      <c r="L24" s="45">
        <v>0</v>
      </c>
      <c r="M24" s="45">
        <v>0</v>
      </c>
      <c r="N24" s="45">
        <f>SUM(D24:M24)</f>
        <v>953800</v>
      </c>
      <c r="O24" s="46">
        <f t="shared" si="1"/>
        <v>0.73262886871133981</v>
      </c>
      <c r="P24" s="9"/>
    </row>
    <row r="25" spans="1:16">
      <c r="A25" s="11"/>
      <c r="B25" s="24">
        <v>367</v>
      </c>
      <c r="C25" s="19" t="s">
        <v>149</v>
      </c>
      <c r="D25" s="45">
        <v>1896139</v>
      </c>
      <c r="E25" s="45">
        <v>115315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f>SUM(D25:M25)</f>
        <v>2011454</v>
      </c>
      <c r="O25" s="46">
        <f t="shared" si="1"/>
        <v>1.5450296377488983</v>
      </c>
      <c r="P25" s="9"/>
    </row>
    <row r="26" spans="1:16" ht="15.75">
      <c r="A26" s="28" t="s">
        <v>30</v>
      </c>
      <c r="B26" s="29"/>
      <c r="C26" s="30"/>
      <c r="D26" s="31">
        <f t="shared" ref="D26:M26" si="5">SUM(D27:D65)</f>
        <v>31349426</v>
      </c>
      <c r="E26" s="31">
        <f t="shared" si="5"/>
        <v>237803458</v>
      </c>
      <c r="F26" s="31">
        <f t="shared" si="5"/>
        <v>0</v>
      </c>
      <c r="G26" s="31">
        <f t="shared" si="5"/>
        <v>931502</v>
      </c>
      <c r="H26" s="31">
        <f t="shared" si="5"/>
        <v>0</v>
      </c>
      <c r="I26" s="31">
        <f t="shared" si="5"/>
        <v>0</v>
      </c>
      <c r="J26" s="31">
        <f t="shared" si="5"/>
        <v>584374</v>
      </c>
      <c r="K26" s="31">
        <f t="shared" si="5"/>
        <v>0</v>
      </c>
      <c r="L26" s="31">
        <f t="shared" si="5"/>
        <v>0</v>
      </c>
      <c r="M26" s="31">
        <f t="shared" si="5"/>
        <v>4820535</v>
      </c>
      <c r="N26" s="43">
        <f>SUM(D26:M26)</f>
        <v>275489295</v>
      </c>
      <c r="O26" s="44">
        <f t="shared" si="1"/>
        <v>211.60768561326751</v>
      </c>
      <c r="P26" s="10"/>
    </row>
    <row r="27" spans="1:16">
      <c r="A27" s="11"/>
      <c r="B27" s="24">
        <v>331.1</v>
      </c>
      <c r="C27" s="19" t="s">
        <v>28</v>
      </c>
      <c r="D27" s="45">
        <v>0</v>
      </c>
      <c r="E27" s="45">
        <v>13106857</v>
      </c>
      <c r="F27" s="45">
        <v>0</v>
      </c>
      <c r="G27" s="45">
        <v>0</v>
      </c>
      <c r="H27" s="45">
        <v>0</v>
      </c>
      <c r="I27" s="45">
        <v>0</v>
      </c>
      <c r="J27" s="45">
        <v>0</v>
      </c>
      <c r="K27" s="45">
        <v>0</v>
      </c>
      <c r="L27" s="45">
        <v>0</v>
      </c>
      <c r="M27" s="45">
        <v>0</v>
      </c>
      <c r="N27" s="45">
        <f>SUM(D27:M27)</f>
        <v>13106857</v>
      </c>
      <c r="O27" s="46">
        <f t="shared" si="1"/>
        <v>10.06758420661701</v>
      </c>
      <c r="P27" s="9"/>
    </row>
    <row r="28" spans="1:16">
      <c r="A28" s="11"/>
      <c r="B28" s="24">
        <v>331.2</v>
      </c>
      <c r="C28" s="19" t="s">
        <v>29</v>
      </c>
      <c r="D28" s="45">
        <v>1308618</v>
      </c>
      <c r="E28" s="45">
        <v>7874749</v>
      </c>
      <c r="F28" s="45">
        <v>0</v>
      </c>
      <c r="G28" s="45">
        <v>0</v>
      </c>
      <c r="H28" s="45">
        <v>0</v>
      </c>
      <c r="I28" s="45">
        <v>0</v>
      </c>
      <c r="J28" s="45">
        <v>0</v>
      </c>
      <c r="K28" s="45">
        <v>0</v>
      </c>
      <c r="L28" s="45">
        <v>0</v>
      </c>
      <c r="M28" s="45">
        <v>0</v>
      </c>
      <c r="N28" s="45">
        <f>SUM(D28:M28)</f>
        <v>9183367</v>
      </c>
      <c r="O28" s="46">
        <f t="shared" si="1"/>
        <v>7.0538894696697945</v>
      </c>
      <c r="P28" s="9"/>
    </row>
    <row r="29" spans="1:16">
      <c r="A29" s="11"/>
      <c r="B29" s="24">
        <v>331.39</v>
      </c>
      <c r="C29" s="19" t="s">
        <v>35</v>
      </c>
      <c r="D29" s="45">
        <v>0</v>
      </c>
      <c r="E29" s="45">
        <v>883229</v>
      </c>
      <c r="F29" s="45">
        <v>0</v>
      </c>
      <c r="G29" s="45">
        <v>0</v>
      </c>
      <c r="H29" s="45">
        <v>0</v>
      </c>
      <c r="I29" s="45">
        <v>0</v>
      </c>
      <c r="J29" s="45">
        <v>0</v>
      </c>
      <c r="K29" s="45">
        <v>0</v>
      </c>
      <c r="L29" s="45">
        <v>0</v>
      </c>
      <c r="M29" s="45">
        <v>0</v>
      </c>
      <c r="N29" s="45">
        <f t="shared" ref="N29:N36" si="6">SUM(D29:M29)</f>
        <v>883229</v>
      </c>
      <c r="O29" s="46">
        <f t="shared" si="1"/>
        <v>0.67842216720806026</v>
      </c>
      <c r="P29" s="9"/>
    </row>
    <row r="30" spans="1:16">
      <c r="A30" s="11"/>
      <c r="B30" s="24">
        <v>331.49</v>
      </c>
      <c r="C30" s="19" t="s">
        <v>36</v>
      </c>
      <c r="D30" s="45">
        <v>0</v>
      </c>
      <c r="E30" s="45">
        <v>3206430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f t="shared" si="6"/>
        <v>3206430</v>
      </c>
      <c r="O30" s="46">
        <f t="shared" si="1"/>
        <v>2.4629096073622363</v>
      </c>
      <c r="P30" s="9"/>
    </row>
    <row r="31" spans="1:16">
      <c r="A31" s="11"/>
      <c r="B31" s="24">
        <v>331.5</v>
      </c>
      <c r="C31" s="19" t="s">
        <v>31</v>
      </c>
      <c r="D31" s="45">
        <v>150</v>
      </c>
      <c r="E31" s="45">
        <v>12367280</v>
      </c>
      <c r="F31" s="45">
        <v>0</v>
      </c>
      <c r="G31" s="45">
        <v>931502</v>
      </c>
      <c r="H31" s="45">
        <v>0</v>
      </c>
      <c r="I31" s="45">
        <v>0</v>
      </c>
      <c r="J31" s="45">
        <v>0</v>
      </c>
      <c r="K31" s="45">
        <v>0</v>
      </c>
      <c r="L31" s="45">
        <v>0</v>
      </c>
      <c r="M31" s="45">
        <v>0</v>
      </c>
      <c r="N31" s="45">
        <f t="shared" si="6"/>
        <v>13298932</v>
      </c>
      <c r="O31" s="46">
        <f t="shared" si="1"/>
        <v>10.215120052662021</v>
      </c>
      <c r="P31" s="9"/>
    </row>
    <row r="32" spans="1:16">
      <c r="A32" s="11"/>
      <c r="B32" s="24">
        <v>331.61</v>
      </c>
      <c r="C32" s="19" t="s">
        <v>37</v>
      </c>
      <c r="D32" s="45">
        <v>0</v>
      </c>
      <c r="E32" s="45">
        <v>2848624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45">
        <f t="shared" si="6"/>
        <v>2848624</v>
      </c>
      <c r="O32" s="46">
        <f t="shared" si="1"/>
        <v>2.1880731584231197</v>
      </c>
      <c r="P32" s="9"/>
    </row>
    <row r="33" spans="1:16">
      <c r="A33" s="11"/>
      <c r="B33" s="24">
        <v>331.65</v>
      </c>
      <c r="C33" s="19" t="s">
        <v>38</v>
      </c>
      <c r="D33" s="45">
        <v>1195016</v>
      </c>
      <c r="E33" s="45">
        <v>0</v>
      </c>
      <c r="F33" s="45">
        <v>0</v>
      </c>
      <c r="G33" s="45">
        <v>0</v>
      </c>
      <c r="H33" s="45">
        <v>0</v>
      </c>
      <c r="I33" s="45">
        <v>0</v>
      </c>
      <c r="J33" s="45">
        <v>0</v>
      </c>
      <c r="K33" s="45">
        <v>0</v>
      </c>
      <c r="L33" s="45">
        <v>0</v>
      </c>
      <c r="M33" s="45">
        <v>0</v>
      </c>
      <c r="N33" s="45">
        <f t="shared" si="6"/>
        <v>1195016</v>
      </c>
      <c r="O33" s="46">
        <f t="shared" si="1"/>
        <v>0.91791069424612126</v>
      </c>
      <c r="P33" s="9"/>
    </row>
    <row r="34" spans="1:16">
      <c r="A34" s="11"/>
      <c r="B34" s="24">
        <v>331.69</v>
      </c>
      <c r="C34" s="19" t="s">
        <v>39</v>
      </c>
      <c r="D34" s="45">
        <v>5700</v>
      </c>
      <c r="E34" s="45">
        <v>51569057</v>
      </c>
      <c r="F34" s="45">
        <v>0</v>
      </c>
      <c r="G34" s="45">
        <v>0</v>
      </c>
      <c r="H34" s="45">
        <v>0</v>
      </c>
      <c r="I34" s="45">
        <v>0</v>
      </c>
      <c r="J34" s="45">
        <v>0</v>
      </c>
      <c r="K34" s="45">
        <v>0</v>
      </c>
      <c r="L34" s="45">
        <v>0</v>
      </c>
      <c r="M34" s="45">
        <v>0</v>
      </c>
      <c r="N34" s="45">
        <f t="shared" si="6"/>
        <v>51574757</v>
      </c>
      <c r="O34" s="46">
        <f t="shared" si="1"/>
        <v>39.615386742474577</v>
      </c>
      <c r="P34" s="9"/>
    </row>
    <row r="35" spans="1:16">
      <c r="A35" s="11"/>
      <c r="B35" s="24">
        <v>333</v>
      </c>
      <c r="C35" s="19" t="s">
        <v>4</v>
      </c>
      <c r="D35" s="45">
        <v>845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f t="shared" si="6"/>
        <v>845</v>
      </c>
      <c r="O35" s="46">
        <f t="shared" si="1"/>
        <v>6.4905786754149934E-4</v>
      </c>
      <c r="P35" s="9"/>
    </row>
    <row r="36" spans="1:16">
      <c r="A36" s="11"/>
      <c r="B36" s="24">
        <v>334.2</v>
      </c>
      <c r="C36" s="19" t="s">
        <v>33</v>
      </c>
      <c r="D36" s="45">
        <v>497945</v>
      </c>
      <c r="E36" s="45">
        <v>2064299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f t="shared" si="6"/>
        <v>2562244</v>
      </c>
      <c r="O36" s="46">
        <f t="shared" si="1"/>
        <v>1.9681001500130195</v>
      </c>
      <c r="P36" s="9"/>
    </row>
    <row r="37" spans="1:16">
      <c r="A37" s="11"/>
      <c r="B37" s="24">
        <v>334.39</v>
      </c>
      <c r="C37" s="19" t="s">
        <v>40</v>
      </c>
      <c r="D37" s="45">
        <v>0</v>
      </c>
      <c r="E37" s="45">
        <v>1677526</v>
      </c>
      <c r="F37" s="45">
        <v>0</v>
      </c>
      <c r="G37" s="45">
        <v>0</v>
      </c>
      <c r="H37" s="45">
        <v>0</v>
      </c>
      <c r="I37" s="45">
        <v>0</v>
      </c>
      <c r="J37" s="45">
        <v>0</v>
      </c>
      <c r="K37" s="45">
        <v>0</v>
      </c>
      <c r="L37" s="45">
        <v>0</v>
      </c>
      <c r="M37" s="45">
        <v>0</v>
      </c>
      <c r="N37" s="45">
        <f t="shared" ref="N37:N58" si="7">SUM(D37:M37)</f>
        <v>1677526</v>
      </c>
      <c r="O37" s="46">
        <f t="shared" ref="O37:O68" si="8">(N37/O$152)</f>
        <v>1.2885342583496109</v>
      </c>
      <c r="P37" s="9"/>
    </row>
    <row r="38" spans="1:16">
      <c r="A38" s="11"/>
      <c r="B38" s="24">
        <v>334.49</v>
      </c>
      <c r="C38" s="19" t="s">
        <v>41</v>
      </c>
      <c r="D38" s="45">
        <v>0</v>
      </c>
      <c r="E38" s="45">
        <v>-48666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5">
        <v>0</v>
      </c>
      <c r="L38" s="45">
        <v>0</v>
      </c>
      <c r="M38" s="45">
        <v>0</v>
      </c>
      <c r="N38" s="45">
        <f t="shared" si="7"/>
        <v>-48666</v>
      </c>
      <c r="O38" s="46">
        <f t="shared" si="8"/>
        <v>-3.7381124475472913E-2</v>
      </c>
      <c r="P38" s="9"/>
    </row>
    <row r="39" spans="1:16">
      <c r="A39" s="11"/>
      <c r="B39" s="24">
        <v>334.61</v>
      </c>
      <c r="C39" s="19" t="s">
        <v>43</v>
      </c>
      <c r="D39" s="45">
        <v>0</v>
      </c>
      <c r="E39" s="45">
        <v>162117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f t="shared" si="7"/>
        <v>162117</v>
      </c>
      <c r="O39" s="46">
        <f t="shared" si="8"/>
        <v>0.12452463232216006</v>
      </c>
      <c r="P39" s="9"/>
    </row>
    <row r="40" spans="1:16">
      <c r="A40" s="11"/>
      <c r="B40" s="24">
        <v>334.69</v>
      </c>
      <c r="C40" s="19" t="s">
        <v>44</v>
      </c>
      <c r="D40" s="45">
        <v>0</v>
      </c>
      <c r="E40" s="45">
        <v>4461319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5">
        <v>0</v>
      </c>
      <c r="L40" s="45">
        <v>0</v>
      </c>
      <c r="M40" s="45">
        <v>0</v>
      </c>
      <c r="N40" s="45">
        <f t="shared" si="7"/>
        <v>4461319</v>
      </c>
      <c r="O40" s="46">
        <f t="shared" si="8"/>
        <v>3.4268097000738158</v>
      </c>
      <c r="P40" s="9"/>
    </row>
    <row r="41" spans="1:16">
      <c r="A41" s="11"/>
      <c r="B41" s="24">
        <v>334.7</v>
      </c>
      <c r="C41" s="19" t="s">
        <v>45</v>
      </c>
      <c r="D41" s="45">
        <v>0</v>
      </c>
      <c r="E41" s="45">
        <v>975310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f t="shared" si="7"/>
        <v>975310</v>
      </c>
      <c r="O41" s="46">
        <f t="shared" si="8"/>
        <v>0.74915103999041388</v>
      </c>
      <c r="P41" s="9"/>
    </row>
    <row r="42" spans="1:16">
      <c r="A42" s="11"/>
      <c r="B42" s="24">
        <v>334.9</v>
      </c>
      <c r="C42" s="19" t="s">
        <v>47</v>
      </c>
      <c r="D42" s="45">
        <v>81466</v>
      </c>
      <c r="E42" s="45">
        <v>2480795</v>
      </c>
      <c r="F42" s="45">
        <v>0</v>
      </c>
      <c r="G42" s="45">
        <v>0</v>
      </c>
      <c r="H42" s="45">
        <v>0</v>
      </c>
      <c r="I42" s="45">
        <v>0</v>
      </c>
      <c r="J42" s="45">
        <v>0</v>
      </c>
      <c r="K42" s="45">
        <v>0</v>
      </c>
      <c r="L42" s="45">
        <v>0</v>
      </c>
      <c r="M42" s="45">
        <v>0</v>
      </c>
      <c r="N42" s="45">
        <f t="shared" si="7"/>
        <v>2562261</v>
      </c>
      <c r="O42" s="46">
        <f t="shared" si="8"/>
        <v>1.9681132079819523</v>
      </c>
      <c r="P42" s="9"/>
    </row>
    <row r="43" spans="1:16">
      <c r="A43" s="11"/>
      <c r="B43" s="24">
        <v>335.12</v>
      </c>
      <c r="C43" s="19" t="s">
        <v>204</v>
      </c>
      <c r="D43" s="45">
        <v>22820525</v>
      </c>
      <c r="E43" s="45">
        <v>6752474</v>
      </c>
      <c r="F43" s="45">
        <v>0</v>
      </c>
      <c r="G43" s="45">
        <v>0</v>
      </c>
      <c r="H43" s="45">
        <v>0</v>
      </c>
      <c r="I43" s="45">
        <v>0</v>
      </c>
      <c r="J43" s="45">
        <v>0</v>
      </c>
      <c r="K43" s="45">
        <v>0</v>
      </c>
      <c r="L43" s="45">
        <v>0</v>
      </c>
      <c r="M43" s="45">
        <v>0</v>
      </c>
      <c r="N43" s="45">
        <f t="shared" si="7"/>
        <v>29572999</v>
      </c>
      <c r="O43" s="46">
        <f t="shared" si="8"/>
        <v>22.715488364197508</v>
      </c>
      <c r="P43" s="9"/>
    </row>
    <row r="44" spans="1:16">
      <c r="A44" s="11"/>
      <c r="B44" s="24">
        <v>335.13</v>
      </c>
      <c r="C44" s="19" t="s">
        <v>205</v>
      </c>
      <c r="D44" s="45">
        <v>330226</v>
      </c>
      <c r="E44" s="45">
        <v>0</v>
      </c>
      <c r="F44" s="45">
        <v>0</v>
      </c>
      <c r="G44" s="45">
        <v>0</v>
      </c>
      <c r="H44" s="45">
        <v>0</v>
      </c>
      <c r="I44" s="45">
        <v>0</v>
      </c>
      <c r="J44" s="45">
        <v>0</v>
      </c>
      <c r="K44" s="45">
        <v>0</v>
      </c>
      <c r="L44" s="45">
        <v>0</v>
      </c>
      <c r="M44" s="45">
        <v>0</v>
      </c>
      <c r="N44" s="45">
        <f t="shared" si="7"/>
        <v>330226</v>
      </c>
      <c r="O44" s="46">
        <f t="shared" si="8"/>
        <v>0.25365181463521796</v>
      </c>
      <c r="P44" s="9"/>
    </row>
    <row r="45" spans="1:16">
      <c r="A45" s="11"/>
      <c r="B45" s="24">
        <v>335.14</v>
      </c>
      <c r="C45" s="19" t="s">
        <v>206</v>
      </c>
      <c r="D45" s="45">
        <v>432229</v>
      </c>
      <c r="E45" s="45">
        <v>0</v>
      </c>
      <c r="F45" s="45">
        <v>0</v>
      </c>
      <c r="G45" s="45">
        <v>0</v>
      </c>
      <c r="H45" s="45">
        <v>0</v>
      </c>
      <c r="I45" s="45">
        <v>0</v>
      </c>
      <c r="J45" s="45">
        <v>0</v>
      </c>
      <c r="K45" s="45">
        <v>0</v>
      </c>
      <c r="L45" s="45">
        <v>0</v>
      </c>
      <c r="M45" s="45">
        <v>0</v>
      </c>
      <c r="N45" s="45">
        <f t="shared" si="7"/>
        <v>432229</v>
      </c>
      <c r="O45" s="46">
        <f t="shared" si="8"/>
        <v>0.33200193257940203</v>
      </c>
      <c r="P45" s="9"/>
    </row>
    <row r="46" spans="1:16">
      <c r="A46" s="11"/>
      <c r="B46" s="24">
        <v>335.15</v>
      </c>
      <c r="C46" s="19" t="s">
        <v>207</v>
      </c>
      <c r="D46" s="45">
        <v>475357</v>
      </c>
      <c r="E46" s="45">
        <v>0</v>
      </c>
      <c r="F46" s="45">
        <v>0</v>
      </c>
      <c r="G46" s="45">
        <v>0</v>
      </c>
      <c r="H46" s="45">
        <v>0</v>
      </c>
      <c r="I46" s="45">
        <v>0</v>
      </c>
      <c r="J46" s="45">
        <v>0</v>
      </c>
      <c r="K46" s="45">
        <v>0</v>
      </c>
      <c r="L46" s="45">
        <v>0</v>
      </c>
      <c r="M46" s="45">
        <v>0</v>
      </c>
      <c r="N46" s="45">
        <f t="shared" si="7"/>
        <v>475357</v>
      </c>
      <c r="O46" s="46">
        <f t="shared" si="8"/>
        <v>0.36512923164606453</v>
      </c>
      <c r="P46" s="9"/>
    </row>
    <row r="47" spans="1:16">
      <c r="A47" s="11"/>
      <c r="B47" s="24">
        <v>335.16</v>
      </c>
      <c r="C47" s="19" t="s">
        <v>208</v>
      </c>
      <c r="D47" s="45">
        <v>3379411</v>
      </c>
      <c r="E47" s="45">
        <v>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f t="shared" si="7"/>
        <v>3379411</v>
      </c>
      <c r="O47" s="46">
        <f t="shared" si="8"/>
        <v>2.5957790499482676</v>
      </c>
      <c r="P47" s="9"/>
    </row>
    <row r="48" spans="1:16">
      <c r="A48" s="11"/>
      <c r="B48" s="24">
        <v>335.17</v>
      </c>
      <c r="C48" s="19" t="s">
        <v>209</v>
      </c>
      <c r="D48" s="45">
        <v>82463</v>
      </c>
      <c r="E48" s="45">
        <v>0</v>
      </c>
      <c r="F48" s="45">
        <v>0</v>
      </c>
      <c r="G48" s="45">
        <v>0</v>
      </c>
      <c r="H48" s="45">
        <v>0</v>
      </c>
      <c r="I48" s="45">
        <v>0</v>
      </c>
      <c r="J48" s="45">
        <v>0</v>
      </c>
      <c r="K48" s="45">
        <v>0</v>
      </c>
      <c r="L48" s="45">
        <v>0</v>
      </c>
      <c r="M48" s="45">
        <v>0</v>
      </c>
      <c r="N48" s="45">
        <f t="shared" si="7"/>
        <v>82463</v>
      </c>
      <c r="O48" s="46">
        <f t="shared" si="8"/>
        <v>6.3341134829674156E-2</v>
      </c>
      <c r="P48" s="9"/>
    </row>
    <row r="49" spans="1:16">
      <c r="A49" s="11"/>
      <c r="B49" s="24">
        <v>335.18</v>
      </c>
      <c r="C49" s="19" t="s">
        <v>210</v>
      </c>
      <c r="D49" s="45">
        <v>0</v>
      </c>
      <c r="E49" s="45">
        <v>96393586</v>
      </c>
      <c r="F49" s="45">
        <v>0</v>
      </c>
      <c r="G49" s="45">
        <v>0</v>
      </c>
      <c r="H49" s="45">
        <v>0</v>
      </c>
      <c r="I49" s="45">
        <v>0</v>
      </c>
      <c r="J49" s="45">
        <v>0</v>
      </c>
      <c r="K49" s="45">
        <v>0</v>
      </c>
      <c r="L49" s="45">
        <v>0</v>
      </c>
      <c r="M49" s="45">
        <v>0</v>
      </c>
      <c r="N49" s="45">
        <f t="shared" si="7"/>
        <v>96393586</v>
      </c>
      <c r="O49" s="46">
        <f t="shared" si="8"/>
        <v>74.041438312234476</v>
      </c>
      <c r="P49" s="9"/>
    </row>
    <row r="50" spans="1:16">
      <c r="A50" s="11"/>
      <c r="B50" s="24">
        <v>335.21</v>
      </c>
      <c r="C50" s="19" t="s">
        <v>55</v>
      </c>
      <c r="D50" s="45">
        <v>243449</v>
      </c>
      <c r="E50" s="45">
        <v>0</v>
      </c>
      <c r="F50" s="45">
        <v>0</v>
      </c>
      <c r="G50" s="45">
        <v>0</v>
      </c>
      <c r="H50" s="45">
        <v>0</v>
      </c>
      <c r="I50" s="45">
        <v>0</v>
      </c>
      <c r="J50" s="45">
        <v>0</v>
      </c>
      <c r="K50" s="45">
        <v>0</v>
      </c>
      <c r="L50" s="45">
        <v>0</v>
      </c>
      <c r="M50" s="45">
        <v>0</v>
      </c>
      <c r="N50" s="45">
        <f t="shared" si="7"/>
        <v>243449</v>
      </c>
      <c r="O50" s="46">
        <f t="shared" si="8"/>
        <v>0.18699702815989405</v>
      </c>
      <c r="P50" s="9"/>
    </row>
    <row r="51" spans="1:16">
      <c r="A51" s="11"/>
      <c r="B51" s="24">
        <v>335.22</v>
      </c>
      <c r="C51" s="19" t="s">
        <v>56</v>
      </c>
      <c r="D51" s="45">
        <v>0</v>
      </c>
      <c r="E51" s="45">
        <v>6148804</v>
      </c>
      <c r="F51" s="45">
        <v>0</v>
      </c>
      <c r="G51" s="45">
        <v>0</v>
      </c>
      <c r="H51" s="45">
        <v>0</v>
      </c>
      <c r="I51" s="45">
        <v>0</v>
      </c>
      <c r="J51" s="45">
        <v>0</v>
      </c>
      <c r="K51" s="45">
        <v>0</v>
      </c>
      <c r="L51" s="45">
        <v>0</v>
      </c>
      <c r="M51" s="45">
        <v>0</v>
      </c>
      <c r="N51" s="45">
        <f t="shared" si="7"/>
        <v>6148804</v>
      </c>
      <c r="O51" s="46">
        <f t="shared" si="8"/>
        <v>4.7229936238705816</v>
      </c>
      <c r="P51" s="9"/>
    </row>
    <row r="52" spans="1:16">
      <c r="A52" s="11"/>
      <c r="B52" s="24">
        <v>335.23</v>
      </c>
      <c r="C52" s="19" t="s">
        <v>171</v>
      </c>
      <c r="D52" s="45">
        <v>0</v>
      </c>
      <c r="E52" s="45">
        <v>113294</v>
      </c>
      <c r="F52" s="45">
        <v>0</v>
      </c>
      <c r="G52" s="45">
        <v>0</v>
      </c>
      <c r="H52" s="45">
        <v>0</v>
      </c>
      <c r="I52" s="45">
        <v>0</v>
      </c>
      <c r="J52" s="45">
        <v>0</v>
      </c>
      <c r="K52" s="45">
        <v>0</v>
      </c>
      <c r="L52" s="45">
        <v>0</v>
      </c>
      <c r="M52" s="45">
        <v>0</v>
      </c>
      <c r="N52" s="45">
        <f t="shared" si="7"/>
        <v>113294</v>
      </c>
      <c r="O52" s="46">
        <f t="shared" si="8"/>
        <v>8.7022913663013762E-2</v>
      </c>
      <c r="P52" s="9"/>
    </row>
    <row r="53" spans="1:16">
      <c r="A53" s="11"/>
      <c r="B53" s="24">
        <v>335.29</v>
      </c>
      <c r="C53" s="19" t="s">
        <v>57</v>
      </c>
      <c r="D53" s="45">
        <v>25706</v>
      </c>
      <c r="E53" s="45">
        <v>0</v>
      </c>
      <c r="F53" s="45">
        <v>0</v>
      </c>
      <c r="G53" s="45">
        <v>0</v>
      </c>
      <c r="H53" s="45">
        <v>0</v>
      </c>
      <c r="I53" s="45">
        <v>0</v>
      </c>
      <c r="J53" s="45">
        <v>0</v>
      </c>
      <c r="K53" s="45">
        <v>0</v>
      </c>
      <c r="L53" s="45">
        <v>0</v>
      </c>
      <c r="M53" s="45">
        <v>0</v>
      </c>
      <c r="N53" s="45">
        <f t="shared" si="7"/>
        <v>25706</v>
      </c>
      <c r="O53" s="46">
        <f t="shared" si="8"/>
        <v>1.9745185258013945E-2</v>
      </c>
      <c r="P53" s="9"/>
    </row>
    <row r="54" spans="1:16">
      <c r="A54" s="11"/>
      <c r="B54" s="24">
        <v>335.39</v>
      </c>
      <c r="C54" s="19" t="s">
        <v>58</v>
      </c>
      <c r="D54" s="45">
        <v>0</v>
      </c>
      <c r="E54" s="45">
        <v>1009139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775686</v>
      </c>
      <c r="N54" s="45">
        <f t="shared" si="7"/>
        <v>1784825</v>
      </c>
      <c r="O54" s="46">
        <f t="shared" si="8"/>
        <v>1.3709523176742682</v>
      </c>
      <c r="P54" s="9"/>
    </row>
    <row r="55" spans="1:16">
      <c r="A55" s="11"/>
      <c r="B55" s="24">
        <v>335.49</v>
      </c>
      <c r="C55" s="19" t="s">
        <v>59</v>
      </c>
      <c r="D55" s="45">
        <v>0</v>
      </c>
      <c r="E55" s="45">
        <v>17482323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f t="shared" si="7"/>
        <v>17482323</v>
      </c>
      <c r="O55" s="46">
        <f t="shared" si="8"/>
        <v>13.428448859232791</v>
      </c>
      <c r="P55" s="9"/>
    </row>
    <row r="56" spans="1:16">
      <c r="A56" s="11"/>
      <c r="B56" s="24">
        <v>335.5</v>
      </c>
      <c r="C56" s="19" t="s">
        <v>60</v>
      </c>
      <c r="D56" s="45">
        <v>0</v>
      </c>
      <c r="E56" s="45">
        <v>685058</v>
      </c>
      <c r="F56" s="45">
        <v>0</v>
      </c>
      <c r="G56" s="45">
        <v>0</v>
      </c>
      <c r="H56" s="45">
        <v>0</v>
      </c>
      <c r="I56" s="45">
        <v>0</v>
      </c>
      <c r="J56" s="45">
        <v>0</v>
      </c>
      <c r="K56" s="45">
        <v>0</v>
      </c>
      <c r="L56" s="45">
        <v>0</v>
      </c>
      <c r="M56" s="45">
        <v>0</v>
      </c>
      <c r="N56" s="45">
        <f t="shared" si="7"/>
        <v>685058</v>
      </c>
      <c r="O56" s="46">
        <f t="shared" si="8"/>
        <v>0.52620388712691657</v>
      </c>
      <c r="P56" s="9"/>
    </row>
    <row r="57" spans="1:16">
      <c r="A57" s="11"/>
      <c r="B57" s="24">
        <v>335.69</v>
      </c>
      <c r="C57" s="19" t="s">
        <v>61</v>
      </c>
      <c r="D57" s="45">
        <v>0</v>
      </c>
      <c r="E57" s="45">
        <v>0</v>
      </c>
      <c r="F57" s="45">
        <v>0</v>
      </c>
      <c r="G57" s="45">
        <v>0</v>
      </c>
      <c r="H57" s="45">
        <v>0</v>
      </c>
      <c r="I57" s="45">
        <v>0</v>
      </c>
      <c r="J57" s="45">
        <v>584374</v>
      </c>
      <c r="K57" s="45">
        <v>0</v>
      </c>
      <c r="L57" s="45">
        <v>0</v>
      </c>
      <c r="M57" s="45">
        <v>0</v>
      </c>
      <c r="N57" s="45">
        <f t="shared" si="7"/>
        <v>584374</v>
      </c>
      <c r="O57" s="46">
        <f t="shared" si="8"/>
        <v>0.44886691394875283</v>
      </c>
      <c r="P57" s="9"/>
    </row>
    <row r="58" spans="1:16">
      <c r="A58" s="11"/>
      <c r="B58" s="24">
        <v>335.7</v>
      </c>
      <c r="C58" s="19" t="s">
        <v>62</v>
      </c>
      <c r="D58" s="45">
        <v>0</v>
      </c>
      <c r="E58" s="45">
        <v>3345029</v>
      </c>
      <c r="F58" s="45">
        <v>0</v>
      </c>
      <c r="G58" s="45">
        <v>0</v>
      </c>
      <c r="H58" s="45">
        <v>0</v>
      </c>
      <c r="I58" s="45">
        <v>0</v>
      </c>
      <c r="J58" s="45">
        <v>0</v>
      </c>
      <c r="K58" s="45">
        <v>0</v>
      </c>
      <c r="L58" s="45">
        <v>0</v>
      </c>
      <c r="M58" s="45">
        <v>0</v>
      </c>
      <c r="N58" s="45">
        <f t="shared" si="7"/>
        <v>3345029</v>
      </c>
      <c r="O58" s="46">
        <f t="shared" si="8"/>
        <v>2.5693696918396145</v>
      </c>
      <c r="P58" s="9"/>
    </row>
    <row r="59" spans="1:16">
      <c r="A59" s="11"/>
      <c r="B59" s="24">
        <v>337.1</v>
      </c>
      <c r="C59" s="19" t="s">
        <v>64</v>
      </c>
      <c r="D59" s="45">
        <v>0</v>
      </c>
      <c r="E59" s="45">
        <v>0</v>
      </c>
      <c r="F59" s="45">
        <v>0</v>
      </c>
      <c r="G59" s="45">
        <v>0</v>
      </c>
      <c r="H59" s="45">
        <v>0</v>
      </c>
      <c r="I59" s="45">
        <v>0</v>
      </c>
      <c r="J59" s="45">
        <v>0</v>
      </c>
      <c r="K59" s="45">
        <v>0</v>
      </c>
      <c r="L59" s="45">
        <v>0</v>
      </c>
      <c r="M59" s="45">
        <v>3944849</v>
      </c>
      <c r="N59" s="45">
        <f t="shared" ref="N59:N67" si="9">SUM(D59:M59)</f>
        <v>3944849</v>
      </c>
      <c r="O59" s="46">
        <f t="shared" si="8"/>
        <v>3.030100922737534</v>
      </c>
      <c r="P59" s="9"/>
    </row>
    <row r="60" spans="1:16">
      <c r="A60" s="11"/>
      <c r="B60" s="24">
        <v>337.2</v>
      </c>
      <c r="C60" s="19" t="s">
        <v>65</v>
      </c>
      <c r="D60" s="45">
        <v>383500</v>
      </c>
      <c r="E60" s="45">
        <v>0</v>
      </c>
      <c r="F60" s="45">
        <v>0</v>
      </c>
      <c r="G60" s="45">
        <v>0</v>
      </c>
      <c r="H60" s="45">
        <v>0</v>
      </c>
      <c r="I60" s="45">
        <v>0</v>
      </c>
      <c r="J60" s="45">
        <v>0</v>
      </c>
      <c r="K60" s="45">
        <v>0</v>
      </c>
      <c r="L60" s="45">
        <v>0</v>
      </c>
      <c r="M60" s="45">
        <v>0</v>
      </c>
      <c r="N60" s="45">
        <f t="shared" si="9"/>
        <v>383500</v>
      </c>
      <c r="O60" s="46">
        <f t="shared" si="8"/>
        <v>0.29457241680729584</v>
      </c>
      <c r="P60" s="9"/>
    </row>
    <row r="61" spans="1:16">
      <c r="A61" s="11"/>
      <c r="B61" s="24">
        <v>337.3</v>
      </c>
      <c r="C61" s="19" t="s">
        <v>66</v>
      </c>
      <c r="D61" s="45">
        <v>0</v>
      </c>
      <c r="E61" s="45">
        <v>991645</v>
      </c>
      <c r="F61" s="45">
        <v>0</v>
      </c>
      <c r="G61" s="45">
        <v>0</v>
      </c>
      <c r="H61" s="45">
        <v>0</v>
      </c>
      <c r="I61" s="45">
        <v>0</v>
      </c>
      <c r="J61" s="45">
        <v>0</v>
      </c>
      <c r="K61" s="45">
        <v>0</v>
      </c>
      <c r="L61" s="45">
        <v>0</v>
      </c>
      <c r="M61" s="45">
        <v>0</v>
      </c>
      <c r="N61" s="45">
        <f t="shared" si="9"/>
        <v>991645</v>
      </c>
      <c r="O61" s="46">
        <f t="shared" si="8"/>
        <v>0.76169821190318365</v>
      </c>
      <c r="P61" s="9"/>
    </row>
    <row r="62" spans="1:16">
      <c r="A62" s="11"/>
      <c r="B62" s="24">
        <v>337.4</v>
      </c>
      <c r="C62" s="19" t="s">
        <v>172</v>
      </c>
      <c r="D62" s="45">
        <v>0</v>
      </c>
      <c r="E62" s="45">
        <v>14622</v>
      </c>
      <c r="F62" s="45">
        <v>0</v>
      </c>
      <c r="G62" s="45">
        <v>0</v>
      </c>
      <c r="H62" s="45">
        <v>0</v>
      </c>
      <c r="I62" s="45">
        <v>0</v>
      </c>
      <c r="J62" s="45">
        <v>0</v>
      </c>
      <c r="K62" s="45">
        <v>0</v>
      </c>
      <c r="L62" s="45">
        <v>0</v>
      </c>
      <c r="M62" s="45">
        <v>0</v>
      </c>
      <c r="N62" s="45">
        <f t="shared" si="9"/>
        <v>14622</v>
      </c>
      <c r="O62" s="46">
        <f t="shared" si="8"/>
        <v>1.1231389513836454E-2</v>
      </c>
      <c r="P62" s="9"/>
    </row>
    <row r="63" spans="1:16">
      <c r="A63" s="11"/>
      <c r="B63" s="24">
        <v>337.5</v>
      </c>
      <c r="C63" s="19" t="s">
        <v>67</v>
      </c>
      <c r="D63" s="45">
        <v>86820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100000</v>
      </c>
      <c r="N63" s="45">
        <f t="shared" si="9"/>
        <v>186820</v>
      </c>
      <c r="O63" s="46">
        <f t="shared" si="8"/>
        <v>0.14349939741313955</v>
      </c>
      <c r="P63" s="9"/>
    </row>
    <row r="64" spans="1:16">
      <c r="A64" s="11"/>
      <c r="B64" s="24">
        <v>337.6</v>
      </c>
      <c r="C64" s="19" t="s">
        <v>211</v>
      </c>
      <c r="D64" s="45">
        <v>0</v>
      </c>
      <c r="E64" s="45">
        <v>1181235</v>
      </c>
      <c r="F64" s="45">
        <v>0</v>
      </c>
      <c r="G64" s="45">
        <v>0</v>
      </c>
      <c r="H64" s="45">
        <v>0</v>
      </c>
      <c r="I64" s="45">
        <v>0</v>
      </c>
      <c r="J64" s="45">
        <v>0</v>
      </c>
      <c r="K64" s="45">
        <v>0</v>
      </c>
      <c r="L64" s="45">
        <v>0</v>
      </c>
      <c r="M64" s="45">
        <v>0</v>
      </c>
      <c r="N64" s="45">
        <f t="shared" si="9"/>
        <v>1181235</v>
      </c>
      <c r="O64" s="46">
        <f t="shared" si="8"/>
        <v>0.90732529013654795</v>
      </c>
      <c r="P64" s="9"/>
    </row>
    <row r="65" spans="1:16">
      <c r="A65" s="11"/>
      <c r="B65" s="24">
        <v>337.9</v>
      </c>
      <c r="C65" s="19" t="s">
        <v>69</v>
      </c>
      <c r="D65" s="45">
        <v>0</v>
      </c>
      <c r="E65" s="45">
        <v>57323</v>
      </c>
      <c r="F65" s="45">
        <v>0</v>
      </c>
      <c r="G65" s="45">
        <v>0</v>
      </c>
      <c r="H65" s="45">
        <v>0</v>
      </c>
      <c r="I65" s="45">
        <v>0</v>
      </c>
      <c r="J65" s="45">
        <v>0</v>
      </c>
      <c r="K65" s="45">
        <v>0</v>
      </c>
      <c r="L65" s="45">
        <v>0</v>
      </c>
      <c r="M65" s="45">
        <v>0</v>
      </c>
      <c r="N65" s="45">
        <f t="shared" si="9"/>
        <v>57323</v>
      </c>
      <c r="O65" s="46">
        <f t="shared" si="8"/>
        <v>4.4030703125540083E-2</v>
      </c>
      <c r="P65" s="9"/>
    </row>
    <row r="66" spans="1:16" ht="15.75">
      <c r="A66" s="28" t="s">
        <v>75</v>
      </c>
      <c r="B66" s="29"/>
      <c r="C66" s="30"/>
      <c r="D66" s="31">
        <f t="shared" ref="D66:M66" si="10">SUM(D67:D122)</f>
        <v>104208696</v>
      </c>
      <c r="E66" s="31">
        <f t="shared" si="10"/>
        <v>48490097</v>
      </c>
      <c r="F66" s="31">
        <f t="shared" si="10"/>
        <v>479182</v>
      </c>
      <c r="G66" s="31">
        <f t="shared" si="10"/>
        <v>0</v>
      </c>
      <c r="H66" s="31">
        <f t="shared" si="10"/>
        <v>0</v>
      </c>
      <c r="I66" s="31">
        <f t="shared" si="10"/>
        <v>309444000</v>
      </c>
      <c r="J66" s="31">
        <f t="shared" si="10"/>
        <v>155551811</v>
      </c>
      <c r="K66" s="31">
        <f t="shared" si="10"/>
        <v>0</v>
      </c>
      <c r="L66" s="31">
        <f t="shared" si="10"/>
        <v>0</v>
      </c>
      <c r="M66" s="31">
        <f t="shared" si="10"/>
        <v>765594</v>
      </c>
      <c r="N66" s="31">
        <f t="shared" si="9"/>
        <v>618939380</v>
      </c>
      <c r="O66" s="44">
        <f t="shared" si="8"/>
        <v>475.41712913639969</v>
      </c>
      <c r="P66" s="10"/>
    </row>
    <row r="67" spans="1:16">
      <c r="A67" s="11"/>
      <c r="B67" s="24">
        <v>341.1</v>
      </c>
      <c r="C67" s="19" t="s">
        <v>212</v>
      </c>
      <c r="D67" s="45">
        <v>5283143</v>
      </c>
      <c r="E67" s="45">
        <v>0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>
        <v>0</v>
      </c>
      <c r="N67" s="45">
        <f t="shared" si="9"/>
        <v>5283143</v>
      </c>
      <c r="O67" s="46">
        <f t="shared" si="8"/>
        <v>4.0580657153808284</v>
      </c>
      <c r="P67" s="9"/>
    </row>
    <row r="68" spans="1:16">
      <c r="A68" s="11"/>
      <c r="B68" s="24">
        <v>341.15</v>
      </c>
      <c r="C68" s="19" t="s">
        <v>213</v>
      </c>
      <c r="D68" s="45">
        <v>0</v>
      </c>
      <c r="E68" s="45">
        <v>2119430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</v>
      </c>
      <c r="L68" s="45">
        <v>0</v>
      </c>
      <c r="M68" s="45">
        <v>0</v>
      </c>
      <c r="N68" s="45">
        <f t="shared" ref="N68:N122" si="11">SUM(D68:M68)</f>
        <v>2119430</v>
      </c>
      <c r="O68" s="46">
        <f t="shared" si="8"/>
        <v>1.6279677114834084</v>
      </c>
      <c r="P68" s="9"/>
    </row>
    <row r="69" spans="1:16">
      <c r="A69" s="11"/>
      <c r="B69" s="24">
        <v>341.16</v>
      </c>
      <c r="C69" s="19" t="s">
        <v>214</v>
      </c>
      <c r="D69" s="45">
        <v>0</v>
      </c>
      <c r="E69" s="45">
        <v>1667248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5">
        <v>0</v>
      </c>
      <c r="L69" s="45">
        <v>0</v>
      </c>
      <c r="M69" s="45">
        <v>0</v>
      </c>
      <c r="N69" s="45">
        <f t="shared" si="11"/>
        <v>1667248</v>
      </c>
      <c r="O69" s="46">
        <f t="shared" ref="O69:O100" si="12">(N69/O$152)</f>
        <v>1.2806395639560115</v>
      </c>
      <c r="P69" s="9"/>
    </row>
    <row r="70" spans="1:16">
      <c r="A70" s="11"/>
      <c r="B70" s="24">
        <v>341.2</v>
      </c>
      <c r="C70" s="19" t="s">
        <v>215</v>
      </c>
      <c r="D70" s="45">
        <v>0</v>
      </c>
      <c r="E70" s="45">
        <v>0</v>
      </c>
      <c r="F70" s="45">
        <v>0</v>
      </c>
      <c r="G70" s="45">
        <v>0</v>
      </c>
      <c r="H70" s="45">
        <v>0</v>
      </c>
      <c r="I70" s="45">
        <v>0</v>
      </c>
      <c r="J70" s="45">
        <v>126414196</v>
      </c>
      <c r="K70" s="45">
        <v>0</v>
      </c>
      <c r="L70" s="45">
        <v>0</v>
      </c>
      <c r="M70" s="45">
        <v>0</v>
      </c>
      <c r="N70" s="45">
        <f t="shared" si="11"/>
        <v>126414196</v>
      </c>
      <c r="O70" s="46">
        <f t="shared" si="12"/>
        <v>97.100743766548092</v>
      </c>
      <c r="P70" s="9"/>
    </row>
    <row r="71" spans="1:16">
      <c r="A71" s="11"/>
      <c r="B71" s="24">
        <v>341.3</v>
      </c>
      <c r="C71" s="19" t="s">
        <v>216</v>
      </c>
      <c r="D71" s="45">
        <v>70582</v>
      </c>
      <c r="E71" s="45">
        <v>2554648</v>
      </c>
      <c r="F71" s="45">
        <v>0</v>
      </c>
      <c r="G71" s="45">
        <v>0</v>
      </c>
      <c r="H71" s="45">
        <v>0</v>
      </c>
      <c r="I71" s="45">
        <v>0</v>
      </c>
      <c r="J71" s="45">
        <v>0</v>
      </c>
      <c r="K71" s="45">
        <v>0</v>
      </c>
      <c r="L71" s="45">
        <v>0</v>
      </c>
      <c r="M71" s="45">
        <v>0</v>
      </c>
      <c r="N71" s="45">
        <f t="shared" si="11"/>
        <v>2625230</v>
      </c>
      <c r="O71" s="46">
        <f t="shared" si="12"/>
        <v>2.0164806930248171</v>
      </c>
      <c r="P71" s="9"/>
    </row>
    <row r="72" spans="1:16">
      <c r="A72" s="11"/>
      <c r="B72" s="24">
        <v>341.52</v>
      </c>
      <c r="C72" s="19" t="s">
        <v>217</v>
      </c>
      <c r="D72" s="45">
        <v>1831851</v>
      </c>
      <c r="E72" s="45">
        <v>130757</v>
      </c>
      <c r="F72" s="45">
        <v>0</v>
      </c>
      <c r="G72" s="45">
        <v>0</v>
      </c>
      <c r="H72" s="45">
        <v>0</v>
      </c>
      <c r="I72" s="45">
        <v>0</v>
      </c>
      <c r="J72" s="45">
        <v>0</v>
      </c>
      <c r="K72" s="45">
        <v>0</v>
      </c>
      <c r="L72" s="45">
        <v>0</v>
      </c>
      <c r="M72" s="45">
        <v>0</v>
      </c>
      <c r="N72" s="45">
        <f t="shared" si="11"/>
        <v>1962608</v>
      </c>
      <c r="O72" s="46">
        <f t="shared" si="12"/>
        <v>1.5075102524259019</v>
      </c>
      <c r="P72" s="9"/>
    </row>
    <row r="73" spans="1:16">
      <c r="A73" s="11"/>
      <c r="B73" s="24">
        <v>341.55</v>
      </c>
      <c r="C73" s="19" t="s">
        <v>218</v>
      </c>
      <c r="D73" s="45">
        <v>15131</v>
      </c>
      <c r="E73" s="45">
        <v>0</v>
      </c>
      <c r="F73" s="45">
        <v>0</v>
      </c>
      <c r="G73" s="45">
        <v>0</v>
      </c>
      <c r="H73" s="45">
        <v>0</v>
      </c>
      <c r="I73" s="45">
        <v>0</v>
      </c>
      <c r="J73" s="45">
        <v>0</v>
      </c>
      <c r="K73" s="45">
        <v>0</v>
      </c>
      <c r="L73" s="45">
        <v>0</v>
      </c>
      <c r="M73" s="45">
        <v>0</v>
      </c>
      <c r="N73" s="45">
        <f t="shared" si="11"/>
        <v>15131</v>
      </c>
      <c r="O73" s="46">
        <f t="shared" si="12"/>
        <v>1.1622360466000506E-2</v>
      </c>
      <c r="P73" s="9"/>
    </row>
    <row r="74" spans="1:16">
      <c r="A74" s="11"/>
      <c r="B74" s="24">
        <v>341.9</v>
      </c>
      <c r="C74" s="19" t="s">
        <v>220</v>
      </c>
      <c r="D74" s="45">
        <v>51083998</v>
      </c>
      <c r="E74" s="45">
        <v>1377447</v>
      </c>
      <c r="F74" s="45">
        <v>0</v>
      </c>
      <c r="G74" s="45">
        <v>0</v>
      </c>
      <c r="H74" s="45">
        <v>0</v>
      </c>
      <c r="I74" s="45">
        <v>0</v>
      </c>
      <c r="J74" s="45">
        <v>7394842</v>
      </c>
      <c r="K74" s="45">
        <v>0</v>
      </c>
      <c r="L74" s="45">
        <v>0</v>
      </c>
      <c r="M74" s="45">
        <v>296062</v>
      </c>
      <c r="N74" s="45">
        <f t="shared" si="11"/>
        <v>60152349</v>
      </c>
      <c r="O74" s="46">
        <f t="shared" si="12"/>
        <v>46.20397085154088</v>
      </c>
      <c r="P74" s="9"/>
    </row>
    <row r="75" spans="1:16">
      <c r="A75" s="11"/>
      <c r="B75" s="24">
        <v>342.1</v>
      </c>
      <c r="C75" s="19" t="s">
        <v>87</v>
      </c>
      <c r="D75" s="45">
        <v>5099451</v>
      </c>
      <c r="E75" s="45">
        <v>0</v>
      </c>
      <c r="F75" s="45">
        <v>0</v>
      </c>
      <c r="G75" s="45">
        <v>0</v>
      </c>
      <c r="H75" s="45">
        <v>0</v>
      </c>
      <c r="I75" s="45">
        <v>0</v>
      </c>
      <c r="J75" s="45">
        <v>0</v>
      </c>
      <c r="K75" s="45">
        <v>0</v>
      </c>
      <c r="L75" s="45">
        <v>0</v>
      </c>
      <c r="M75" s="45">
        <v>0</v>
      </c>
      <c r="N75" s="45">
        <f t="shared" si="11"/>
        <v>5099451</v>
      </c>
      <c r="O75" s="46">
        <f t="shared" si="12"/>
        <v>3.9169689842513216</v>
      </c>
      <c r="P75" s="9"/>
    </row>
    <row r="76" spans="1:16">
      <c r="A76" s="11"/>
      <c r="B76" s="24">
        <v>342.2</v>
      </c>
      <c r="C76" s="19" t="s">
        <v>88</v>
      </c>
      <c r="D76" s="45">
        <v>1521050</v>
      </c>
      <c r="E76" s="45">
        <v>0</v>
      </c>
      <c r="F76" s="45">
        <v>0</v>
      </c>
      <c r="G76" s="45">
        <v>0</v>
      </c>
      <c r="H76" s="45">
        <v>0</v>
      </c>
      <c r="I76" s="45">
        <v>0</v>
      </c>
      <c r="J76" s="45">
        <v>0</v>
      </c>
      <c r="K76" s="45">
        <v>0</v>
      </c>
      <c r="L76" s="45">
        <v>0</v>
      </c>
      <c r="M76" s="45">
        <v>0</v>
      </c>
      <c r="N76" s="45">
        <f t="shared" si="11"/>
        <v>1521050</v>
      </c>
      <c r="O76" s="46">
        <f t="shared" si="12"/>
        <v>1.1683425673656778</v>
      </c>
      <c r="P76" s="9"/>
    </row>
    <row r="77" spans="1:16">
      <c r="A77" s="11"/>
      <c r="B77" s="24">
        <v>342.3</v>
      </c>
      <c r="C77" s="19" t="s">
        <v>89</v>
      </c>
      <c r="D77" s="45">
        <v>290531</v>
      </c>
      <c r="E77" s="45">
        <v>0</v>
      </c>
      <c r="F77" s="45">
        <v>0</v>
      </c>
      <c r="G77" s="45">
        <v>0</v>
      </c>
      <c r="H77" s="45">
        <v>0</v>
      </c>
      <c r="I77" s="45">
        <v>0</v>
      </c>
      <c r="J77" s="45">
        <v>0</v>
      </c>
      <c r="K77" s="45">
        <v>0</v>
      </c>
      <c r="L77" s="45">
        <v>0</v>
      </c>
      <c r="M77" s="45">
        <v>0</v>
      </c>
      <c r="N77" s="45">
        <f t="shared" si="11"/>
        <v>290531</v>
      </c>
      <c r="O77" s="46">
        <f t="shared" si="12"/>
        <v>0.22316145717715899</v>
      </c>
      <c r="P77" s="9"/>
    </row>
    <row r="78" spans="1:16">
      <c r="A78" s="11"/>
      <c r="B78" s="24">
        <v>342.5</v>
      </c>
      <c r="C78" s="19" t="s">
        <v>90</v>
      </c>
      <c r="D78" s="45">
        <v>237931</v>
      </c>
      <c r="E78" s="45">
        <v>0</v>
      </c>
      <c r="F78" s="45">
        <v>0</v>
      </c>
      <c r="G78" s="45">
        <v>0</v>
      </c>
      <c r="H78" s="45">
        <v>0</v>
      </c>
      <c r="I78" s="45">
        <v>0</v>
      </c>
      <c r="J78" s="45">
        <v>0</v>
      </c>
      <c r="K78" s="45">
        <v>0</v>
      </c>
      <c r="L78" s="45">
        <v>0</v>
      </c>
      <c r="M78" s="45">
        <v>0</v>
      </c>
      <c r="N78" s="45">
        <f t="shared" si="11"/>
        <v>237931</v>
      </c>
      <c r="O78" s="46">
        <f t="shared" si="12"/>
        <v>0.18275856506747512</v>
      </c>
      <c r="P78" s="9"/>
    </row>
    <row r="79" spans="1:16">
      <c r="A79" s="11"/>
      <c r="B79" s="24">
        <v>342.6</v>
      </c>
      <c r="C79" s="19" t="s">
        <v>91</v>
      </c>
      <c r="D79" s="45">
        <v>10810273</v>
      </c>
      <c r="E79" s="45">
        <v>0</v>
      </c>
      <c r="F79" s="45">
        <v>0</v>
      </c>
      <c r="G79" s="45">
        <v>0</v>
      </c>
      <c r="H79" s="45">
        <v>0</v>
      </c>
      <c r="I79" s="45">
        <v>0</v>
      </c>
      <c r="J79" s="45">
        <v>0</v>
      </c>
      <c r="K79" s="45">
        <v>0</v>
      </c>
      <c r="L79" s="45">
        <v>0</v>
      </c>
      <c r="M79" s="45">
        <v>0</v>
      </c>
      <c r="N79" s="45">
        <f t="shared" si="11"/>
        <v>10810273</v>
      </c>
      <c r="O79" s="46">
        <f t="shared" si="12"/>
        <v>8.3035417052324814</v>
      </c>
      <c r="P79" s="9"/>
    </row>
    <row r="80" spans="1:16">
      <c r="A80" s="11"/>
      <c r="B80" s="24">
        <v>342.9</v>
      </c>
      <c r="C80" s="19" t="s">
        <v>92</v>
      </c>
      <c r="D80" s="45">
        <v>976589</v>
      </c>
      <c r="E80" s="45">
        <v>8965605</v>
      </c>
      <c r="F80" s="45">
        <v>0</v>
      </c>
      <c r="G80" s="45">
        <v>0</v>
      </c>
      <c r="H80" s="45">
        <v>0</v>
      </c>
      <c r="I80" s="45">
        <v>0</v>
      </c>
      <c r="J80" s="45">
        <v>0</v>
      </c>
      <c r="K80" s="45">
        <v>0</v>
      </c>
      <c r="L80" s="45">
        <v>0</v>
      </c>
      <c r="M80" s="45">
        <v>0</v>
      </c>
      <c r="N80" s="45">
        <f t="shared" si="11"/>
        <v>9942194</v>
      </c>
      <c r="O80" s="46">
        <f t="shared" si="12"/>
        <v>7.6367564926909939</v>
      </c>
      <c r="P80" s="9"/>
    </row>
    <row r="81" spans="1:16">
      <c r="A81" s="11"/>
      <c r="B81" s="24">
        <v>343.4</v>
      </c>
      <c r="C81" s="19" t="s">
        <v>93</v>
      </c>
      <c r="D81" s="45">
        <v>0</v>
      </c>
      <c r="E81" s="45">
        <v>0</v>
      </c>
      <c r="F81" s="45">
        <v>0</v>
      </c>
      <c r="G81" s="45">
        <v>0</v>
      </c>
      <c r="H81" s="45">
        <v>0</v>
      </c>
      <c r="I81" s="45">
        <v>103728000</v>
      </c>
      <c r="J81" s="45">
        <v>0</v>
      </c>
      <c r="K81" s="45">
        <v>0</v>
      </c>
      <c r="L81" s="45">
        <v>0</v>
      </c>
      <c r="M81" s="45">
        <v>0</v>
      </c>
      <c r="N81" s="45">
        <f t="shared" si="11"/>
        <v>103728000</v>
      </c>
      <c r="O81" s="46">
        <f t="shared" si="12"/>
        <v>79.675117732952245</v>
      </c>
      <c r="P81" s="9"/>
    </row>
    <row r="82" spans="1:16">
      <c r="A82" s="11"/>
      <c r="B82" s="24">
        <v>343.6</v>
      </c>
      <c r="C82" s="19" t="s">
        <v>94</v>
      </c>
      <c r="D82" s="45">
        <v>0</v>
      </c>
      <c r="E82" s="45">
        <v>0</v>
      </c>
      <c r="F82" s="45">
        <v>0</v>
      </c>
      <c r="G82" s="45">
        <v>0</v>
      </c>
      <c r="H82" s="45">
        <v>0</v>
      </c>
      <c r="I82" s="45">
        <v>205716000</v>
      </c>
      <c r="J82" s="45">
        <v>0</v>
      </c>
      <c r="K82" s="45">
        <v>0</v>
      </c>
      <c r="L82" s="45">
        <v>0</v>
      </c>
      <c r="M82" s="45">
        <v>0</v>
      </c>
      <c r="N82" s="45">
        <f t="shared" si="11"/>
        <v>205716000</v>
      </c>
      <c r="O82" s="46">
        <f t="shared" si="12"/>
        <v>158.01371393984272</v>
      </c>
      <c r="P82" s="9"/>
    </row>
    <row r="83" spans="1:16">
      <c r="A83" s="11"/>
      <c r="B83" s="24">
        <v>343.7</v>
      </c>
      <c r="C83" s="19" t="s">
        <v>95</v>
      </c>
      <c r="D83" s="45">
        <v>2329672</v>
      </c>
      <c r="E83" s="45">
        <v>779740</v>
      </c>
      <c r="F83" s="45">
        <v>0</v>
      </c>
      <c r="G83" s="45">
        <v>0</v>
      </c>
      <c r="H83" s="45">
        <v>0</v>
      </c>
      <c r="I83" s="45">
        <v>0</v>
      </c>
      <c r="J83" s="45">
        <v>0</v>
      </c>
      <c r="K83" s="45">
        <v>0</v>
      </c>
      <c r="L83" s="45">
        <v>0</v>
      </c>
      <c r="M83" s="45">
        <v>50950</v>
      </c>
      <c r="N83" s="45">
        <f t="shared" si="11"/>
        <v>3160362</v>
      </c>
      <c r="O83" s="46">
        <f t="shared" si="12"/>
        <v>2.4275240477860214</v>
      </c>
      <c r="P83" s="9"/>
    </row>
    <row r="84" spans="1:16">
      <c r="A84" s="11"/>
      <c r="B84" s="24">
        <v>343.9</v>
      </c>
      <c r="C84" s="19" t="s">
        <v>96</v>
      </c>
      <c r="D84" s="45">
        <v>1734944</v>
      </c>
      <c r="E84" s="45">
        <v>130185</v>
      </c>
      <c r="F84" s="45">
        <v>0</v>
      </c>
      <c r="G84" s="45">
        <v>0</v>
      </c>
      <c r="H84" s="45">
        <v>0</v>
      </c>
      <c r="I84" s="45">
        <v>0</v>
      </c>
      <c r="J84" s="45">
        <v>0</v>
      </c>
      <c r="K84" s="45">
        <v>0</v>
      </c>
      <c r="L84" s="45">
        <v>0</v>
      </c>
      <c r="M84" s="45">
        <v>0</v>
      </c>
      <c r="N84" s="45">
        <f t="shared" si="11"/>
        <v>1865129</v>
      </c>
      <c r="O84" s="46">
        <f t="shared" si="12"/>
        <v>1.4326350904494782</v>
      </c>
      <c r="P84" s="9"/>
    </row>
    <row r="85" spans="1:16">
      <c r="A85" s="11"/>
      <c r="B85" s="24">
        <v>344.5</v>
      </c>
      <c r="C85" s="19" t="s">
        <v>221</v>
      </c>
      <c r="D85" s="45">
        <v>916622</v>
      </c>
      <c r="E85" s="45">
        <v>0</v>
      </c>
      <c r="F85" s="45">
        <v>0</v>
      </c>
      <c r="G85" s="45">
        <v>0</v>
      </c>
      <c r="H85" s="45">
        <v>0</v>
      </c>
      <c r="I85" s="45">
        <v>0</v>
      </c>
      <c r="J85" s="45">
        <v>193</v>
      </c>
      <c r="K85" s="45">
        <v>0</v>
      </c>
      <c r="L85" s="45">
        <v>0</v>
      </c>
      <c r="M85" s="45">
        <v>0</v>
      </c>
      <c r="N85" s="45">
        <f t="shared" si="11"/>
        <v>916815</v>
      </c>
      <c r="O85" s="46">
        <f t="shared" si="12"/>
        <v>0.70422010512433109</v>
      </c>
      <c r="P85" s="9"/>
    </row>
    <row r="86" spans="1:16">
      <c r="A86" s="11"/>
      <c r="B86" s="24">
        <v>344.9</v>
      </c>
      <c r="C86" s="19" t="s">
        <v>222</v>
      </c>
      <c r="D86" s="45">
        <v>849197</v>
      </c>
      <c r="E86" s="45">
        <v>1987533</v>
      </c>
      <c r="F86" s="45">
        <v>0</v>
      </c>
      <c r="G86" s="45">
        <v>0</v>
      </c>
      <c r="H86" s="45">
        <v>0</v>
      </c>
      <c r="I86" s="45">
        <v>0</v>
      </c>
      <c r="J86" s="45">
        <v>0</v>
      </c>
      <c r="K86" s="45">
        <v>0</v>
      </c>
      <c r="L86" s="45">
        <v>0</v>
      </c>
      <c r="M86" s="45">
        <v>0</v>
      </c>
      <c r="N86" s="45">
        <f t="shared" si="11"/>
        <v>2836730</v>
      </c>
      <c r="O86" s="46">
        <f t="shared" si="12"/>
        <v>2.1789371888650857</v>
      </c>
      <c r="P86" s="9"/>
    </row>
    <row r="87" spans="1:16">
      <c r="A87" s="11"/>
      <c r="B87" s="24">
        <v>345.1</v>
      </c>
      <c r="C87" s="19" t="s">
        <v>99</v>
      </c>
      <c r="D87" s="45">
        <v>0</v>
      </c>
      <c r="E87" s="45">
        <v>0</v>
      </c>
      <c r="F87" s="45">
        <v>0</v>
      </c>
      <c r="G87" s="45">
        <v>0</v>
      </c>
      <c r="H87" s="45">
        <v>0</v>
      </c>
      <c r="I87" s="45">
        <v>0</v>
      </c>
      <c r="J87" s="45">
        <v>0</v>
      </c>
      <c r="K87" s="45">
        <v>0</v>
      </c>
      <c r="L87" s="45">
        <v>0</v>
      </c>
      <c r="M87" s="45">
        <v>418582</v>
      </c>
      <c r="N87" s="45">
        <f t="shared" si="11"/>
        <v>418582</v>
      </c>
      <c r="O87" s="46">
        <f t="shared" si="12"/>
        <v>0.32151945598965193</v>
      </c>
      <c r="P87" s="9"/>
    </row>
    <row r="88" spans="1:16">
      <c r="A88" s="11"/>
      <c r="B88" s="24">
        <v>345.9</v>
      </c>
      <c r="C88" s="19" t="s">
        <v>100</v>
      </c>
      <c r="D88" s="45">
        <v>117370</v>
      </c>
      <c r="E88" s="45">
        <v>0</v>
      </c>
      <c r="F88" s="45">
        <v>0</v>
      </c>
      <c r="G88" s="45">
        <v>0</v>
      </c>
      <c r="H88" s="45">
        <v>0</v>
      </c>
      <c r="I88" s="45">
        <v>0</v>
      </c>
      <c r="J88" s="45">
        <v>0</v>
      </c>
      <c r="K88" s="45">
        <v>0</v>
      </c>
      <c r="L88" s="45">
        <v>0</v>
      </c>
      <c r="M88" s="45">
        <v>0</v>
      </c>
      <c r="N88" s="45">
        <f t="shared" si="11"/>
        <v>117370</v>
      </c>
      <c r="O88" s="46">
        <f t="shared" si="12"/>
        <v>9.0153753743604473E-2</v>
      </c>
      <c r="P88" s="9"/>
    </row>
    <row r="89" spans="1:16">
      <c r="A89" s="11"/>
      <c r="B89" s="24">
        <v>346.4</v>
      </c>
      <c r="C89" s="19" t="s">
        <v>101</v>
      </c>
      <c r="D89" s="45">
        <v>214153</v>
      </c>
      <c r="E89" s="45">
        <v>0</v>
      </c>
      <c r="F89" s="45">
        <v>0</v>
      </c>
      <c r="G89" s="45">
        <v>0</v>
      </c>
      <c r="H89" s="45">
        <v>0</v>
      </c>
      <c r="I89" s="45">
        <v>0</v>
      </c>
      <c r="J89" s="45">
        <v>0</v>
      </c>
      <c r="K89" s="45">
        <v>0</v>
      </c>
      <c r="L89" s="45">
        <v>0</v>
      </c>
      <c r="M89" s="45">
        <v>0</v>
      </c>
      <c r="N89" s="45">
        <f t="shared" si="11"/>
        <v>214153</v>
      </c>
      <c r="O89" s="46">
        <f t="shared" si="12"/>
        <v>0.16449430710960322</v>
      </c>
      <c r="P89" s="9"/>
    </row>
    <row r="90" spans="1:16">
      <c r="A90" s="11"/>
      <c r="B90" s="24">
        <v>346.9</v>
      </c>
      <c r="C90" s="19" t="s">
        <v>102</v>
      </c>
      <c r="D90" s="45">
        <v>92177</v>
      </c>
      <c r="E90" s="45">
        <v>336519</v>
      </c>
      <c r="F90" s="45">
        <v>0</v>
      </c>
      <c r="G90" s="45">
        <v>0</v>
      </c>
      <c r="H90" s="45">
        <v>0</v>
      </c>
      <c r="I90" s="45">
        <v>0</v>
      </c>
      <c r="J90" s="45">
        <v>21742580</v>
      </c>
      <c r="K90" s="45">
        <v>0</v>
      </c>
      <c r="L90" s="45">
        <v>0</v>
      </c>
      <c r="M90" s="45">
        <v>0</v>
      </c>
      <c r="N90" s="45">
        <f t="shared" si="11"/>
        <v>22171276</v>
      </c>
      <c r="O90" s="46">
        <f t="shared" si="12"/>
        <v>17.030107835779908</v>
      </c>
      <c r="P90" s="9"/>
    </row>
    <row r="91" spans="1:16">
      <c r="A91" s="11"/>
      <c r="B91" s="24">
        <v>347.1</v>
      </c>
      <c r="C91" s="19" t="s">
        <v>103</v>
      </c>
      <c r="D91" s="45">
        <v>0</v>
      </c>
      <c r="E91" s="45">
        <v>46585</v>
      </c>
      <c r="F91" s="45">
        <v>0</v>
      </c>
      <c r="G91" s="45">
        <v>0</v>
      </c>
      <c r="H91" s="45">
        <v>0</v>
      </c>
      <c r="I91" s="45">
        <v>0</v>
      </c>
      <c r="J91" s="45">
        <v>0</v>
      </c>
      <c r="K91" s="45">
        <v>0</v>
      </c>
      <c r="L91" s="45">
        <v>0</v>
      </c>
      <c r="M91" s="45">
        <v>0</v>
      </c>
      <c r="N91" s="45">
        <f t="shared" si="11"/>
        <v>46585</v>
      </c>
      <c r="O91" s="46">
        <f t="shared" si="12"/>
        <v>3.5782675454935797E-2</v>
      </c>
      <c r="P91" s="9"/>
    </row>
    <row r="92" spans="1:16">
      <c r="A92" s="11"/>
      <c r="B92" s="24">
        <v>347.2</v>
      </c>
      <c r="C92" s="19" t="s">
        <v>104</v>
      </c>
      <c r="D92" s="45">
        <v>2909483</v>
      </c>
      <c r="E92" s="45">
        <v>0</v>
      </c>
      <c r="F92" s="45">
        <v>0</v>
      </c>
      <c r="G92" s="45">
        <v>0</v>
      </c>
      <c r="H92" s="45">
        <v>0</v>
      </c>
      <c r="I92" s="45">
        <v>0</v>
      </c>
      <c r="J92" s="45">
        <v>0</v>
      </c>
      <c r="K92" s="45">
        <v>0</v>
      </c>
      <c r="L92" s="45">
        <v>0</v>
      </c>
      <c r="M92" s="45">
        <v>0</v>
      </c>
      <c r="N92" s="45">
        <f t="shared" si="11"/>
        <v>2909483</v>
      </c>
      <c r="O92" s="46">
        <f t="shared" si="12"/>
        <v>2.2348199190866795</v>
      </c>
      <c r="P92" s="9"/>
    </row>
    <row r="93" spans="1:16">
      <c r="A93" s="11"/>
      <c r="B93" s="24">
        <v>347.4</v>
      </c>
      <c r="C93" s="19" t="s">
        <v>105</v>
      </c>
      <c r="D93" s="45">
        <v>17439</v>
      </c>
      <c r="E93" s="45">
        <v>0</v>
      </c>
      <c r="F93" s="45">
        <v>479182</v>
      </c>
      <c r="G93" s="45">
        <v>0</v>
      </c>
      <c r="H93" s="45">
        <v>0</v>
      </c>
      <c r="I93" s="45">
        <v>0</v>
      </c>
      <c r="J93" s="45">
        <v>0</v>
      </c>
      <c r="K93" s="45">
        <v>0</v>
      </c>
      <c r="L93" s="45">
        <v>0</v>
      </c>
      <c r="M93" s="45">
        <v>0</v>
      </c>
      <c r="N93" s="45">
        <f t="shared" si="11"/>
        <v>496621</v>
      </c>
      <c r="O93" s="46">
        <f t="shared" si="12"/>
        <v>0.38146244643352301</v>
      </c>
      <c r="P93" s="9"/>
    </row>
    <row r="94" spans="1:16">
      <c r="A94" s="11"/>
      <c r="B94" s="24">
        <v>347.5</v>
      </c>
      <c r="C94" s="19" t="s">
        <v>106</v>
      </c>
      <c r="D94" s="45">
        <v>248709</v>
      </c>
      <c r="E94" s="45">
        <v>0</v>
      </c>
      <c r="F94" s="45">
        <v>0</v>
      </c>
      <c r="G94" s="45">
        <v>0</v>
      </c>
      <c r="H94" s="45">
        <v>0</v>
      </c>
      <c r="I94" s="45">
        <v>0</v>
      </c>
      <c r="J94" s="45">
        <v>0</v>
      </c>
      <c r="K94" s="45">
        <v>0</v>
      </c>
      <c r="L94" s="45">
        <v>0</v>
      </c>
      <c r="M94" s="45">
        <v>0</v>
      </c>
      <c r="N94" s="45">
        <f t="shared" si="11"/>
        <v>248709</v>
      </c>
      <c r="O94" s="46">
        <f t="shared" si="12"/>
        <v>0.19103731737086244</v>
      </c>
      <c r="P94" s="9"/>
    </row>
    <row r="95" spans="1:16">
      <c r="A95" s="11"/>
      <c r="B95" s="24">
        <v>347.9</v>
      </c>
      <c r="C95" s="19" t="s">
        <v>107</v>
      </c>
      <c r="D95" s="45">
        <v>225505</v>
      </c>
      <c r="E95" s="45">
        <v>0</v>
      </c>
      <c r="F95" s="45">
        <v>0</v>
      </c>
      <c r="G95" s="45">
        <v>0</v>
      </c>
      <c r="H95" s="45">
        <v>0</v>
      </c>
      <c r="I95" s="45">
        <v>0</v>
      </c>
      <c r="J95" s="45">
        <v>0</v>
      </c>
      <c r="K95" s="45">
        <v>0</v>
      </c>
      <c r="L95" s="45">
        <v>0</v>
      </c>
      <c r="M95" s="45">
        <v>0</v>
      </c>
      <c r="N95" s="45">
        <f t="shared" si="11"/>
        <v>225505</v>
      </c>
      <c r="O95" s="46">
        <f t="shared" si="12"/>
        <v>0.173213957893427</v>
      </c>
      <c r="P95" s="9"/>
    </row>
    <row r="96" spans="1:16">
      <c r="A96" s="11"/>
      <c r="B96" s="24">
        <v>348.11</v>
      </c>
      <c r="C96" s="19" t="s">
        <v>244</v>
      </c>
      <c r="D96" s="45">
        <v>0</v>
      </c>
      <c r="E96" s="45">
        <v>53682</v>
      </c>
      <c r="F96" s="45">
        <v>0</v>
      </c>
      <c r="G96" s="45">
        <v>0</v>
      </c>
      <c r="H96" s="45">
        <v>0</v>
      </c>
      <c r="I96" s="45">
        <v>0</v>
      </c>
      <c r="J96" s="45">
        <v>0</v>
      </c>
      <c r="K96" s="45">
        <v>0</v>
      </c>
      <c r="L96" s="45">
        <v>0</v>
      </c>
      <c r="M96" s="45">
        <v>0</v>
      </c>
      <c r="N96" s="45">
        <f>SUM(D96:M96)</f>
        <v>53682</v>
      </c>
      <c r="O96" s="46">
        <f t="shared" si="12"/>
        <v>4.1233993426464818E-2</v>
      </c>
      <c r="P96" s="9"/>
    </row>
    <row r="97" spans="1:16">
      <c r="A97" s="11"/>
      <c r="B97" s="24">
        <v>348.12</v>
      </c>
      <c r="C97" s="19" t="s">
        <v>245</v>
      </c>
      <c r="D97" s="45">
        <v>0</v>
      </c>
      <c r="E97" s="45">
        <v>111300</v>
      </c>
      <c r="F97" s="45">
        <v>0</v>
      </c>
      <c r="G97" s="45">
        <v>0</v>
      </c>
      <c r="H97" s="45">
        <v>0</v>
      </c>
      <c r="I97" s="45">
        <v>0</v>
      </c>
      <c r="J97" s="45">
        <v>0</v>
      </c>
      <c r="K97" s="45">
        <v>0</v>
      </c>
      <c r="L97" s="45">
        <v>0</v>
      </c>
      <c r="M97" s="45">
        <v>0</v>
      </c>
      <c r="N97" s="45">
        <f t="shared" ref="N97:N112" si="13">SUM(D97:M97)</f>
        <v>111300</v>
      </c>
      <c r="O97" s="46">
        <f t="shared" si="12"/>
        <v>8.5491290718779742E-2</v>
      </c>
      <c r="P97" s="9"/>
    </row>
    <row r="98" spans="1:16">
      <c r="A98" s="11"/>
      <c r="B98" s="24">
        <v>348.13</v>
      </c>
      <c r="C98" s="19" t="s">
        <v>246</v>
      </c>
      <c r="D98" s="45">
        <v>0</v>
      </c>
      <c r="E98" s="45">
        <v>231669</v>
      </c>
      <c r="F98" s="45">
        <v>0</v>
      </c>
      <c r="G98" s="45">
        <v>0</v>
      </c>
      <c r="H98" s="45">
        <v>0</v>
      </c>
      <c r="I98" s="45">
        <v>0</v>
      </c>
      <c r="J98" s="45">
        <v>0</v>
      </c>
      <c r="K98" s="45">
        <v>0</v>
      </c>
      <c r="L98" s="45">
        <v>0</v>
      </c>
      <c r="M98" s="45">
        <v>0</v>
      </c>
      <c r="N98" s="45">
        <f t="shared" si="13"/>
        <v>231669</v>
      </c>
      <c r="O98" s="46">
        <f t="shared" si="12"/>
        <v>0.17794862380529186</v>
      </c>
      <c r="P98" s="9"/>
    </row>
    <row r="99" spans="1:16">
      <c r="A99" s="11"/>
      <c r="B99" s="24">
        <v>348.22</v>
      </c>
      <c r="C99" s="19" t="s">
        <v>247</v>
      </c>
      <c r="D99" s="45">
        <v>0</v>
      </c>
      <c r="E99" s="45">
        <v>126510</v>
      </c>
      <c r="F99" s="45">
        <v>0</v>
      </c>
      <c r="G99" s="45">
        <v>0</v>
      </c>
      <c r="H99" s="45">
        <v>0</v>
      </c>
      <c r="I99" s="45">
        <v>0</v>
      </c>
      <c r="J99" s="45">
        <v>0</v>
      </c>
      <c r="K99" s="45">
        <v>0</v>
      </c>
      <c r="L99" s="45">
        <v>0</v>
      </c>
      <c r="M99" s="45">
        <v>0</v>
      </c>
      <c r="N99" s="45">
        <f t="shared" si="13"/>
        <v>126510</v>
      </c>
      <c r="O99" s="46">
        <f t="shared" si="12"/>
        <v>9.7174332334526728E-2</v>
      </c>
      <c r="P99" s="9"/>
    </row>
    <row r="100" spans="1:16">
      <c r="A100" s="11"/>
      <c r="B100" s="24">
        <v>348.23</v>
      </c>
      <c r="C100" s="19" t="s">
        <v>248</v>
      </c>
      <c r="D100" s="45">
        <v>0</v>
      </c>
      <c r="E100" s="45">
        <v>421658</v>
      </c>
      <c r="F100" s="45">
        <v>0</v>
      </c>
      <c r="G100" s="45">
        <v>0</v>
      </c>
      <c r="H100" s="45">
        <v>0</v>
      </c>
      <c r="I100" s="45">
        <v>0</v>
      </c>
      <c r="J100" s="45">
        <v>0</v>
      </c>
      <c r="K100" s="45">
        <v>0</v>
      </c>
      <c r="L100" s="45">
        <v>0</v>
      </c>
      <c r="M100" s="45">
        <v>0</v>
      </c>
      <c r="N100" s="45">
        <f t="shared" si="13"/>
        <v>421658</v>
      </c>
      <c r="O100" s="46">
        <f t="shared" si="12"/>
        <v>0.3238821802506669</v>
      </c>
      <c r="P100" s="9"/>
    </row>
    <row r="101" spans="1:16">
      <c r="A101" s="11"/>
      <c r="B101" s="24">
        <v>348.31</v>
      </c>
      <c r="C101" s="19" t="s">
        <v>249</v>
      </c>
      <c r="D101" s="45">
        <v>0</v>
      </c>
      <c r="E101" s="45">
        <v>6183217</v>
      </c>
      <c r="F101" s="45">
        <v>0</v>
      </c>
      <c r="G101" s="45">
        <v>0</v>
      </c>
      <c r="H101" s="45">
        <v>0</v>
      </c>
      <c r="I101" s="45">
        <v>0</v>
      </c>
      <c r="J101" s="45">
        <v>0</v>
      </c>
      <c r="K101" s="45">
        <v>0</v>
      </c>
      <c r="L101" s="45">
        <v>0</v>
      </c>
      <c r="M101" s="45">
        <v>0</v>
      </c>
      <c r="N101" s="45">
        <f t="shared" si="13"/>
        <v>6183217</v>
      </c>
      <c r="O101" s="46">
        <f t="shared" ref="O101:O132" si="14">(N101/O$152)</f>
        <v>4.7494267935696417</v>
      </c>
      <c r="P101" s="9"/>
    </row>
    <row r="102" spans="1:16">
      <c r="A102" s="11"/>
      <c r="B102" s="24">
        <v>348.32</v>
      </c>
      <c r="C102" s="19" t="s">
        <v>250</v>
      </c>
      <c r="D102" s="45">
        <v>0</v>
      </c>
      <c r="E102" s="45">
        <v>97035</v>
      </c>
      <c r="F102" s="45">
        <v>0</v>
      </c>
      <c r="G102" s="45">
        <v>0</v>
      </c>
      <c r="H102" s="45">
        <v>0</v>
      </c>
      <c r="I102" s="45">
        <v>0</v>
      </c>
      <c r="J102" s="45">
        <v>0</v>
      </c>
      <c r="K102" s="45">
        <v>0</v>
      </c>
      <c r="L102" s="45">
        <v>0</v>
      </c>
      <c r="M102" s="45">
        <v>0</v>
      </c>
      <c r="N102" s="45">
        <f t="shared" si="13"/>
        <v>97035</v>
      </c>
      <c r="O102" s="46">
        <f t="shared" si="14"/>
        <v>7.4534118552531822E-2</v>
      </c>
      <c r="P102" s="9"/>
    </row>
    <row r="103" spans="1:16">
      <c r="A103" s="11"/>
      <c r="B103" s="24">
        <v>348.41</v>
      </c>
      <c r="C103" s="19" t="s">
        <v>251</v>
      </c>
      <c r="D103" s="45">
        <v>0</v>
      </c>
      <c r="E103" s="45">
        <v>3878076</v>
      </c>
      <c r="F103" s="45">
        <v>0</v>
      </c>
      <c r="G103" s="45">
        <v>0</v>
      </c>
      <c r="H103" s="45">
        <v>0</v>
      </c>
      <c r="I103" s="45">
        <v>0</v>
      </c>
      <c r="J103" s="45">
        <v>0</v>
      </c>
      <c r="K103" s="45">
        <v>0</v>
      </c>
      <c r="L103" s="45">
        <v>0</v>
      </c>
      <c r="M103" s="45">
        <v>0</v>
      </c>
      <c r="N103" s="45">
        <f t="shared" si="13"/>
        <v>3878076</v>
      </c>
      <c r="O103" s="46">
        <f t="shared" si="14"/>
        <v>2.9788115251170031</v>
      </c>
      <c r="P103" s="9"/>
    </row>
    <row r="104" spans="1:16">
      <c r="A104" s="11"/>
      <c r="B104" s="24">
        <v>348.42</v>
      </c>
      <c r="C104" s="19" t="s">
        <v>252</v>
      </c>
      <c r="D104" s="45">
        <v>0</v>
      </c>
      <c r="E104" s="45">
        <v>3260754</v>
      </c>
      <c r="F104" s="45">
        <v>0</v>
      </c>
      <c r="G104" s="45">
        <v>0</v>
      </c>
      <c r="H104" s="45">
        <v>0</v>
      </c>
      <c r="I104" s="45">
        <v>0</v>
      </c>
      <c r="J104" s="45">
        <v>0</v>
      </c>
      <c r="K104" s="45">
        <v>0</v>
      </c>
      <c r="L104" s="45">
        <v>0</v>
      </c>
      <c r="M104" s="45">
        <v>0</v>
      </c>
      <c r="N104" s="45">
        <f t="shared" si="13"/>
        <v>3260754</v>
      </c>
      <c r="O104" s="46">
        <f t="shared" si="14"/>
        <v>2.5046367311448687</v>
      </c>
      <c r="P104" s="9"/>
    </row>
    <row r="105" spans="1:16">
      <c r="A105" s="11"/>
      <c r="B105" s="24">
        <v>348.48</v>
      </c>
      <c r="C105" s="19" t="s">
        <v>253</v>
      </c>
      <c r="D105" s="45">
        <v>0</v>
      </c>
      <c r="E105" s="45">
        <v>452252</v>
      </c>
      <c r="F105" s="45">
        <v>0</v>
      </c>
      <c r="G105" s="45">
        <v>0</v>
      </c>
      <c r="H105" s="45">
        <v>0</v>
      </c>
      <c r="I105" s="45">
        <v>0</v>
      </c>
      <c r="J105" s="45">
        <v>0</v>
      </c>
      <c r="K105" s="45">
        <v>0</v>
      </c>
      <c r="L105" s="45">
        <v>0</v>
      </c>
      <c r="M105" s="45">
        <v>0</v>
      </c>
      <c r="N105" s="45">
        <f t="shared" si="13"/>
        <v>452252</v>
      </c>
      <c r="O105" s="46">
        <f t="shared" si="14"/>
        <v>0.34738191563476706</v>
      </c>
      <c r="P105" s="9"/>
    </row>
    <row r="106" spans="1:16">
      <c r="A106" s="11"/>
      <c r="B106" s="24">
        <v>348.51</v>
      </c>
      <c r="C106" s="19" t="s">
        <v>254</v>
      </c>
      <c r="D106" s="45">
        <v>0</v>
      </c>
      <c r="E106" s="45">
        <v>64094</v>
      </c>
      <c r="F106" s="45">
        <v>0</v>
      </c>
      <c r="G106" s="45">
        <v>0</v>
      </c>
      <c r="H106" s="45">
        <v>0</v>
      </c>
      <c r="I106" s="45">
        <v>0</v>
      </c>
      <c r="J106" s="45">
        <v>0</v>
      </c>
      <c r="K106" s="45">
        <v>0</v>
      </c>
      <c r="L106" s="45">
        <v>0</v>
      </c>
      <c r="M106" s="45">
        <v>0</v>
      </c>
      <c r="N106" s="45">
        <f t="shared" si="13"/>
        <v>64094</v>
      </c>
      <c r="O106" s="46">
        <f t="shared" si="14"/>
        <v>4.9231615339887409E-2</v>
      </c>
      <c r="P106" s="9"/>
    </row>
    <row r="107" spans="1:16">
      <c r="A107" s="11"/>
      <c r="B107" s="24">
        <v>348.52</v>
      </c>
      <c r="C107" s="19" t="s">
        <v>255</v>
      </c>
      <c r="D107" s="45">
        <v>0</v>
      </c>
      <c r="E107" s="45">
        <v>1799430</v>
      </c>
      <c r="F107" s="45">
        <v>0</v>
      </c>
      <c r="G107" s="45">
        <v>0</v>
      </c>
      <c r="H107" s="45">
        <v>0</v>
      </c>
      <c r="I107" s="45">
        <v>0</v>
      </c>
      <c r="J107" s="45">
        <v>0</v>
      </c>
      <c r="K107" s="45">
        <v>0</v>
      </c>
      <c r="L107" s="45">
        <v>0</v>
      </c>
      <c r="M107" s="45">
        <v>0</v>
      </c>
      <c r="N107" s="45">
        <f t="shared" si="13"/>
        <v>1799430</v>
      </c>
      <c r="O107" s="46">
        <f t="shared" si="14"/>
        <v>1.3821706492191719</v>
      </c>
      <c r="P107" s="9"/>
    </row>
    <row r="108" spans="1:16">
      <c r="A108" s="11"/>
      <c r="B108" s="24">
        <v>348.53</v>
      </c>
      <c r="C108" s="19" t="s">
        <v>256</v>
      </c>
      <c r="D108" s="45">
        <v>0</v>
      </c>
      <c r="E108" s="45">
        <v>5478165</v>
      </c>
      <c r="F108" s="45">
        <v>0</v>
      </c>
      <c r="G108" s="45">
        <v>0</v>
      </c>
      <c r="H108" s="45">
        <v>0</v>
      </c>
      <c r="I108" s="45">
        <v>0</v>
      </c>
      <c r="J108" s="45">
        <v>0</v>
      </c>
      <c r="K108" s="45">
        <v>0</v>
      </c>
      <c r="L108" s="45">
        <v>0</v>
      </c>
      <c r="M108" s="45">
        <v>0</v>
      </c>
      <c r="N108" s="45">
        <f t="shared" si="13"/>
        <v>5478165</v>
      </c>
      <c r="O108" s="46">
        <f t="shared" si="14"/>
        <v>4.207865198746128</v>
      </c>
      <c r="P108" s="9"/>
    </row>
    <row r="109" spans="1:16">
      <c r="A109" s="11"/>
      <c r="B109" s="24">
        <v>348.61</v>
      </c>
      <c r="C109" s="19" t="s">
        <v>257</v>
      </c>
      <c r="D109" s="45">
        <v>0</v>
      </c>
      <c r="E109" s="45">
        <v>33720</v>
      </c>
      <c r="F109" s="45">
        <v>0</v>
      </c>
      <c r="G109" s="45">
        <v>0</v>
      </c>
      <c r="H109" s="45">
        <v>0</v>
      </c>
      <c r="I109" s="45">
        <v>0</v>
      </c>
      <c r="J109" s="45">
        <v>0</v>
      </c>
      <c r="K109" s="45">
        <v>0</v>
      </c>
      <c r="L109" s="45">
        <v>0</v>
      </c>
      <c r="M109" s="45">
        <v>0</v>
      </c>
      <c r="N109" s="45">
        <f t="shared" si="13"/>
        <v>33720</v>
      </c>
      <c r="O109" s="46">
        <f t="shared" si="14"/>
        <v>2.5900865436093917E-2</v>
      </c>
      <c r="P109" s="9"/>
    </row>
    <row r="110" spans="1:16">
      <c r="A110" s="11"/>
      <c r="B110" s="24">
        <v>348.62</v>
      </c>
      <c r="C110" s="19" t="s">
        <v>258</v>
      </c>
      <c r="D110" s="45">
        <v>0</v>
      </c>
      <c r="E110" s="45">
        <v>16280</v>
      </c>
      <c r="F110" s="45">
        <v>0</v>
      </c>
      <c r="G110" s="45">
        <v>0</v>
      </c>
      <c r="H110" s="45">
        <v>0</v>
      </c>
      <c r="I110" s="45">
        <v>0</v>
      </c>
      <c r="J110" s="45">
        <v>0</v>
      </c>
      <c r="K110" s="45">
        <v>0</v>
      </c>
      <c r="L110" s="45">
        <v>0</v>
      </c>
      <c r="M110" s="45">
        <v>0</v>
      </c>
      <c r="N110" s="45">
        <f t="shared" si="13"/>
        <v>16280</v>
      </c>
      <c r="O110" s="46">
        <f t="shared" si="14"/>
        <v>1.2504925542693029E-2</v>
      </c>
      <c r="P110" s="9"/>
    </row>
    <row r="111" spans="1:16">
      <c r="A111" s="11"/>
      <c r="B111" s="24">
        <v>348.71</v>
      </c>
      <c r="C111" s="19" t="s">
        <v>259</v>
      </c>
      <c r="D111" s="45">
        <v>0</v>
      </c>
      <c r="E111" s="45">
        <v>610521</v>
      </c>
      <c r="F111" s="45">
        <v>0</v>
      </c>
      <c r="G111" s="45">
        <v>0</v>
      </c>
      <c r="H111" s="45">
        <v>0</v>
      </c>
      <c r="I111" s="45">
        <v>0</v>
      </c>
      <c r="J111" s="45">
        <v>0</v>
      </c>
      <c r="K111" s="45">
        <v>0</v>
      </c>
      <c r="L111" s="45">
        <v>0</v>
      </c>
      <c r="M111" s="45">
        <v>0</v>
      </c>
      <c r="N111" s="45">
        <f t="shared" si="13"/>
        <v>610521</v>
      </c>
      <c r="O111" s="46">
        <f t="shared" si="14"/>
        <v>0.46895083828319967</v>
      </c>
      <c r="P111" s="9"/>
    </row>
    <row r="112" spans="1:16">
      <c r="A112" s="11"/>
      <c r="B112" s="24">
        <v>348.72</v>
      </c>
      <c r="C112" s="19" t="s">
        <v>260</v>
      </c>
      <c r="D112" s="45">
        <v>0</v>
      </c>
      <c r="E112" s="45">
        <v>109026</v>
      </c>
      <c r="F112" s="45">
        <v>0</v>
      </c>
      <c r="G112" s="45">
        <v>0</v>
      </c>
      <c r="H112" s="45">
        <v>0</v>
      </c>
      <c r="I112" s="45">
        <v>0</v>
      </c>
      <c r="J112" s="45">
        <v>0</v>
      </c>
      <c r="K112" s="45">
        <v>0</v>
      </c>
      <c r="L112" s="45">
        <v>0</v>
      </c>
      <c r="M112" s="45">
        <v>0</v>
      </c>
      <c r="N112" s="45">
        <f t="shared" si="13"/>
        <v>109026</v>
      </c>
      <c r="O112" s="46">
        <f t="shared" si="14"/>
        <v>8.374459534506451E-2</v>
      </c>
      <c r="P112" s="9"/>
    </row>
    <row r="113" spans="1:16">
      <c r="A113" s="11"/>
      <c r="B113" s="24">
        <v>348.88</v>
      </c>
      <c r="C113" s="19" t="s">
        <v>223</v>
      </c>
      <c r="D113" s="45">
        <v>98997</v>
      </c>
      <c r="E113" s="45">
        <v>0</v>
      </c>
      <c r="F113" s="45">
        <v>0</v>
      </c>
      <c r="G113" s="45">
        <v>0</v>
      </c>
      <c r="H113" s="45">
        <v>0</v>
      </c>
      <c r="I113" s="45">
        <v>0</v>
      </c>
      <c r="J113" s="45">
        <v>0</v>
      </c>
      <c r="K113" s="45">
        <v>0</v>
      </c>
      <c r="L113" s="45">
        <v>0</v>
      </c>
      <c r="M113" s="45">
        <v>0</v>
      </c>
      <c r="N113" s="45">
        <f t="shared" si="11"/>
        <v>98997</v>
      </c>
      <c r="O113" s="46">
        <f t="shared" si="14"/>
        <v>7.6041161790539422E-2</v>
      </c>
      <c r="P113" s="9"/>
    </row>
    <row r="114" spans="1:16">
      <c r="A114" s="11"/>
      <c r="B114" s="24">
        <v>348.92099999999999</v>
      </c>
      <c r="C114" s="19" t="s">
        <v>224</v>
      </c>
      <c r="D114" s="45">
        <v>0</v>
      </c>
      <c r="E114" s="45">
        <v>392747</v>
      </c>
      <c r="F114" s="45">
        <v>0</v>
      </c>
      <c r="G114" s="45">
        <v>0</v>
      </c>
      <c r="H114" s="45">
        <v>0</v>
      </c>
      <c r="I114" s="45">
        <v>0</v>
      </c>
      <c r="J114" s="45">
        <v>0</v>
      </c>
      <c r="K114" s="45">
        <v>0</v>
      </c>
      <c r="L114" s="45">
        <v>0</v>
      </c>
      <c r="M114" s="45">
        <v>0</v>
      </c>
      <c r="N114" s="45">
        <f t="shared" si="11"/>
        <v>392747</v>
      </c>
      <c r="O114" s="46">
        <f t="shared" si="14"/>
        <v>0.30167518379091274</v>
      </c>
      <c r="P114" s="9"/>
    </row>
    <row r="115" spans="1:16">
      <c r="A115" s="11"/>
      <c r="B115" s="24">
        <v>348.92200000000003</v>
      </c>
      <c r="C115" s="19" t="s">
        <v>225</v>
      </c>
      <c r="D115" s="45">
        <v>0</v>
      </c>
      <c r="E115" s="45">
        <v>392747</v>
      </c>
      <c r="F115" s="45">
        <v>0</v>
      </c>
      <c r="G115" s="45">
        <v>0</v>
      </c>
      <c r="H115" s="45">
        <v>0</v>
      </c>
      <c r="I115" s="45">
        <v>0</v>
      </c>
      <c r="J115" s="45">
        <v>0</v>
      </c>
      <c r="K115" s="45">
        <v>0</v>
      </c>
      <c r="L115" s="45">
        <v>0</v>
      </c>
      <c r="M115" s="45">
        <v>0</v>
      </c>
      <c r="N115" s="45">
        <f t="shared" si="11"/>
        <v>392747</v>
      </c>
      <c r="O115" s="46">
        <f t="shared" si="14"/>
        <v>0.30167518379091274</v>
      </c>
      <c r="P115" s="9"/>
    </row>
    <row r="116" spans="1:16">
      <c r="A116" s="11"/>
      <c r="B116" s="24">
        <v>348.923</v>
      </c>
      <c r="C116" s="19" t="s">
        <v>226</v>
      </c>
      <c r="D116" s="45">
        <v>0</v>
      </c>
      <c r="E116" s="45">
        <v>392747</v>
      </c>
      <c r="F116" s="45">
        <v>0</v>
      </c>
      <c r="G116" s="45">
        <v>0</v>
      </c>
      <c r="H116" s="45">
        <v>0</v>
      </c>
      <c r="I116" s="45">
        <v>0</v>
      </c>
      <c r="J116" s="45">
        <v>0</v>
      </c>
      <c r="K116" s="45">
        <v>0</v>
      </c>
      <c r="L116" s="45">
        <v>0</v>
      </c>
      <c r="M116" s="45">
        <v>0</v>
      </c>
      <c r="N116" s="45">
        <f t="shared" si="11"/>
        <v>392747</v>
      </c>
      <c r="O116" s="46">
        <f t="shared" si="14"/>
        <v>0.30167518379091274</v>
      </c>
      <c r="P116" s="9"/>
    </row>
    <row r="117" spans="1:16">
      <c r="A117" s="11"/>
      <c r="B117" s="24">
        <v>348.92399999999998</v>
      </c>
      <c r="C117" s="19" t="s">
        <v>227</v>
      </c>
      <c r="D117" s="45">
        <v>0</v>
      </c>
      <c r="E117" s="45">
        <v>392747</v>
      </c>
      <c r="F117" s="45">
        <v>0</v>
      </c>
      <c r="G117" s="45">
        <v>0</v>
      </c>
      <c r="H117" s="45">
        <v>0</v>
      </c>
      <c r="I117" s="45">
        <v>0</v>
      </c>
      <c r="J117" s="45">
        <v>0</v>
      </c>
      <c r="K117" s="45">
        <v>0</v>
      </c>
      <c r="L117" s="45">
        <v>0</v>
      </c>
      <c r="M117" s="45">
        <v>0</v>
      </c>
      <c r="N117" s="45">
        <f t="shared" si="11"/>
        <v>392747</v>
      </c>
      <c r="O117" s="46">
        <f t="shared" si="14"/>
        <v>0.30167518379091274</v>
      </c>
      <c r="P117" s="9"/>
    </row>
    <row r="118" spans="1:16">
      <c r="A118" s="11"/>
      <c r="B118" s="24">
        <v>348.93</v>
      </c>
      <c r="C118" s="19" t="s">
        <v>228</v>
      </c>
      <c r="D118" s="45">
        <v>0</v>
      </c>
      <c r="E118" s="45">
        <v>2708232</v>
      </c>
      <c r="F118" s="45">
        <v>0</v>
      </c>
      <c r="G118" s="45">
        <v>0</v>
      </c>
      <c r="H118" s="45">
        <v>0</v>
      </c>
      <c r="I118" s="45">
        <v>0</v>
      </c>
      <c r="J118" s="45">
        <v>0</v>
      </c>
      <c r="K118" s="45">
        <v>0</v>
      </c>
      <c r="L118" s="45">
        <v>0</v>
      </c>
      <c r="M118" s="45">
        <v>0</v>
      </c>
      <c r="N118" s="45">
        <f t="shared" si="11"/>
        <v>2708232</v>
      </c>
      <c r="O118" s="46">
        <f t="shared" si="14"/>
        <v>2.0802358422812426</v>
      </c>
      <c r="P118" s="9"/>
    </row>
    <row r="119" spans="1:16">
      <c r="A119" s="11"/>
      <c r="B119" s="24">
        <v>348.93200000000002</v>
      </c>
      <c r="C119" s="19" t="s">
        <v>229</v>
      </c>
      <c r="D119" s="45">
        <v>43099</v>
      </c>
      <c r="E119" s="45">
        <v>0</v>
      </c>
      <c r="F119" s="45">
        <v>0</v>
      </c>
      <c r="G119" s="45">
        <v>0</v>
      </c>
      <c r="H119" s="45">
        <v>0</v>
      </c>
      <c r="I119" s="45">
        <v>0</v>
      </c>
      <c r="J119" s="45">
        <v>0</v>
      </c>
      <c r="K119" s="45">
        <v>0</v>
      </c>
      <c r="L119" s="45">
        <v>0</v>
      </c>
      <c r="M119" s="45">
        <v>0</v>
      </c>
      <c r="N119" s="45">
        <f t="shared" si="11"/>
        <v>43099</v>
      </c>
      <c r="O119" s="46">
        <f t="shared" si="14"/>
        <v>3.3105023707894768E-2</v>
      </c>
      <c r="P119" s="9"/>
    </row>
    <row r="120" spans="1:16">
      <c r="A120" s="11"/>
      <c r="B120" s="24">
        <v>348.93299999999999</v>
      </c>
      <c r="C120" s="19" t="s">
        <v>230</v>
      </c>
      <c r="D120" s="45">
        <v>3616</v>
      </c>
      <c r="E120" s="45">
        <v>0</v>
      </c>
      <c r="F120" s="45">
        <v>0</v>
      </c>
      <c r="G120" s="45">
        <v>0</v>
      </c>
      <c r="H120" s="45">
        <v>0</v>
      </c>
      <c r="I120" s="45">
        <v>0</v>
      </c>
      <c r="J120" s="45">
        <v>0</v>
      </c>
      <c r="K120" s="45">
        <v>0</v>
      </c>
      <c r="L120" s="45">
        <v>0</v>
      </c>
      <c r="M120" s="45">
        <v>0</v>
      </c>
      <c r="N120" s="45">
        <f t="shared" si="11"/>
        <v>3616</v>
      </c>
      <c r="O120" s="46">
        <f t="shared" si="14"/>
        <v>2.7775068035858718E-3</v>
      </c>
      <c r="P120" s="9"/>
    </row>
    <row r="121" spans="1:16">
      <c r="A121" s="11"/>
      <c r="B121" s="24">
        <v>348.99</v>
      </c>
      <c r="C121" s="19" t="s">
        <v>231</v>
      </c>
      <c r="D121" s="45">
        <v>0</v>
      </c>
      <c r="E121" s="45">
        <v>1040317</v>
      </c>
      <c r="F121" s="45">
        <v>0</v>
      </c>
      <c r="G121" s="45">
        <v>0</v>
      </c>
      <c r="H121" s="45">
        <v>0</v>
      </c>
      <c r="I121" s="45">
        <v>0</v>
      </c>
      <c r="J121" s="45">
        <v>0</v>
      </c>
      <c r="K121" s="45">
        <v>0</v>
      </c>
      <c r="L121" s="45">
        <v>0</v>
      </c>
      <c r="M121" s="45">
        <v>0</v>
      </c>
      <c r="N121" s="45">
        <f t="shared" si="11"/>
        <v>1040317</v>
      </c>
      <c r="O121" s="46">
        <f t="shared" si="14"/>
        <v>0.79908394507357394</v>
      </c>
      <c r="P121" s="9"/>
    </row>
    <row r="122" spans="1:16">
      <c r="A122" s="11"/>
      <c r="B122" s="24">
        <v>349</v>
      </c>
      <c r="C122" s="19" t="s">
        <v>1</v>
      </c>
      <c r="D122" s="45">
        <v>17187183</v>
      </c>
      <c r="E122" s="45">
        <v>147474</v>
      </c>
      <c r="F122" s="45">
        <v>0</v>
      </c>
      <c r="G122" s="45">
        <v>0</v>
      </c>
      <c r="H122" s="45">
        <v>0</v>
      </c>
      <c r="I122" s="45">
        <v>0</v>
      </c>
      <c r="J122" s="45">
        <v>0</v>
      </c>
      <c r="K122" s="45">
        <v>0</v>
      </c>
      <c r="L122" s="45">
        <v>0</v>
      </c>
      <c r="M122" s="45">
        <v>0</v>
      </c>
      <c r="N122" s="45">
        <f t="shared" si="11"/>
        <v>17334657</v>
      </c>
      <c r="O122" s="46">
        <f t="shared" si="14"/>
        <v>13.31502426861932</v>
      </c>
      <c r="P122" s="9"/>
    </row>
    <row r="123" spans="1:16" ht="15.75">
      <c r="A123" s="28" t="s">
        <v>76</v>
      </c>
      <c r="B123" s="29"/>
      <c r="C123" s="30"/>
      <c r="D123" s="31">
        <f t="shared" ref="D123:M123" si="15">SUM(D124:D133)</f>
        <v>3910442</v>
      </c>
      <c r="E123" s="31">
        <f t="shared" si="15"/>
        <v>8673588</v>
      </c>
      <c r="F123" s="31">
        <f t="shared" si="15"/>
        <v>0</v>
      </c>
      <c r="G123" s="31">
        <f t="shared" si="15"/>
        <v>0</v>
      </c>
      <c r="H123" s="31">
        <f t="shared" si="15"/>
        <v>0</v>
      </c>
      <c r="I123" s="31">
        <f t="shared" si="15"/>
        <v>0</v>
      </c>
      <c r="J123" s="31">
        <f t="shared" si="15"/>
        <v>110</v>
      </c>
      <c r="K123" s="31">
        <f t="shared" si="15"/>
        <v>0</v>
      </c>
      <c r="L123" s="31">
        <f t="shared" si="15"/>
        <v>0</v>
      </c>
      <c r="M123" s="31">
        <f t="shared" si="15"/>
        <v>0</v>
      </c>
      <c r="N123" s="31">
        <f>SUM(D123:M123)</f>
        <v>12584140</v>
      </c>
      <c r="O123" s="44">
        <f t="shared" si="14"/>
        <v>9.6660770097558384</v>
      </c>
      <c r="P123" s="10"/>
    </row>
    <row r="124" spans="1:16">
      <c r="A124" s="12"/>
      <c r="B124" s="38">
        <v>351.1</v>
      </c>
      <c r="C124" s="20" t="s">
        <v>134</v>
      </c>
      <c r="D124" s="45">
        <v>0</v>
      </c>
      <c r="E124" s="45">
        <v>168844</v>
      </c>
      <c r="F124" s="45">
        <v>0</v>
      </c>
      <c r="G124" s="45">
        <v>0</v>
      </c>
      <c r="H124" s="45">
        <v>0</v>
      </c>
      <c r="I124" s="45">
        <v>0</v>
      </c>
      <c r="J124" s="45">
        <v>0</v>
      </c>
      <c r="K124" s="45">
        <v>0</v>
      </c>
      <c r="L124" s="45">
        <v>0</v>
      </c>
      <c r="M124" s="45">
        <v>0</v>
      </c>
      <c r="N124" s="45">
        <f>SUM(D124:M124)</f>
        <v>168844</v>
      </c>
      <c r="O124" s="46">
        <f t="shared" si="14"/>
        <v>0.12969174744044606</v>
      </c>
      <c r="P124" s="9"/>
    </row>
    <row r="125" spans="1:16">
      <c r="A125" s="12"/>
      <c r="B125" s="38">
        <v>351.2</v>
      </c>
      <c r="C125" s="20" t="s">
        <v>136</v>
      </c>
      <c r="D125" s="45">
        <v>0</v>
      </c>
      <c r="E125" s="45">
        <v>221497</v>
      </c>
      <c r="F125" s="45">
        <v>0</v>
      </c>
      <c r="G125" s="45">
        <v>0</v>
      </c>
      <c r="H125" s="45">
        <v>0</v>
      </c>
      <c r="I125" s="45">
        <v>0</v>
      </c>
      <c r="J125" s="45">
        <v>0</v>
      </c>
      <c r="K125" s="45">
        <v>0</v>
      </c>
      <c r="L125" s="45">
        <v>0</v>
      </c>
      <c r="M125" s="45">
        <v>0</v>
      </c>
      <c r="N125" s="45">
        <f t="shared" ref="N125:N133" si="16">SUM(D125:M125)</f>
        <v>221497</v>
      </c>
      <c r="O125" s="46">
        <f t="shared" si="14"/>
        <v>0.17013534968856744</v>
      </c>
      <c r="P125" s="9"/>
    </row>
    <row r="126" spans="1:16">
      <c r="A126" s="12"/>
      <c r="B126" s="38">
        <v>351.5</v>
      </c>
      <c r="C126" s="20" t="s">
        <v>137</v>
      </c>
      <c r="D126" s="45">
        <v>196971</v>
      </c>
      <c r="E126" s="45">
        <v>3993409</v>
      </c>
      <c r="F126" s="45">
        <v>0</v>
      </c>
      <c r="G126" s="45">
        <v>0</v>
      </c>
      <c r="H126" s="45">
        <v>0</v>
      </c>
      <c r="I126" s="45">
        <v>0</v>
      </c>
      <c r="J126" s="45">
        <v>0</v>
      </c>
      <c r="K126" s="45">
        <v>0</v>
      </c>
      <c r="L126" s="45">
        <v>0</v>
      </c>
      <c r="M126" s="45">
        <v>0</v>
      </c>
      <c r="N126" s="45">
        <f t="shared" si="16"/>
        <v>4190380</v>
      </c>
      <c r="O126" s="46">
        <f t="shared" si="14"/>
        <v>3.2186971680337848</v>
      </c>
      <c r="P126" s="9"/>
    </row>
    <row r="127" spans="1:16">
      <c r="A127" s="12"/>
      <c r="B127" s="38">
        <v>351.7</v>
      </c>
      <c r="C127" s="20" t="s">
        <v>232</v>
      </c>
      <c r="D127" s="45">
        <v>0</v>
      </c>
      <c r="E127" s="45">
        <v>903241</v>
      </c>
      <c r="F127" s="45">
        <v>0</v>
      </c>
      <c r="G127" s="45">
        <v>0</v>
      </c>
      <c r="H127" s="45">
        <v>0</v>
      </c>
      <c r="I127" s="45">
        <v>0</v>
      </c>
      <c r="J127" s="45">
        <v>0</v>
      </c>
      <c r="K127" s="45">
        <v>0</v>
      </c>
      <c r="L127" s="45">
        <v>0</v>
      </c>
      <c r="M127" s="45">
        <v>0</v>
      </c>
      <c r="N127" s="45">
        <f t="shared" si="16"/>
        <v>903241</v>
      </c>
      <c r="O127" s="46">
        <f t="shared" si="14"/>
        <v>0.69379370098940996</v>
      </c>
      <c r="P127" s="9"/>
    </row>
    <row r="128" spans="1:16">
      <c r="A128" s="12"/>
      <c r="B128" s="38">
        <v>351.8</v>
      </c>
      <c r="C128" s="20" t="s">
        <v>233</v>
      </c>
      <c r="D128" s="45">
        <v>0</v>
      </c>
      <c r="E128" s="45">
        <v>1270281</v>
      </c>
      <c r="F128" s="45">
        <v>0</v>
      </c>
      <c r="G128" s="45">
        <v>0</v>
      </c>
      <c r="H128" s="45">
        <v>0</v>
      </c>
      <c r="I128" s="45">
        <v>0</v>
      </c>
      <c r="J128" s="45">
        <v>0</v>
      </c>
      <c r="K128" s="45">
        <v>0</v>
      </c>
      <c r="L128" s="45">
        <v>0</v>
      </c>
      <c r="M128" s="45">
        <v>0</v>
      </c>
      <c r="N128" s="45">
        <f t="shared" si="16"/>
        <v>1270281</v>
      </c>
      <c r="O128" s="46">
        <f t="shared" si="14"/>
        <v>0.97572293140648925</v>
      </c>
      <c r="P128" s="9"/>
    </row>
    <row r="129" spans="1:16">
      <c r="A129" s="12"/>
      <c r="B129" s="38">
        <v>351.9</v>
      </c>
      <c r="C129" s="20" t="s">
        <v>234</v>
      </c>
      <c r="D129" s="45">
        <v>0</v>
      </c>
      <c r="E129" s="45">
        <v>992022</v>
      </c>
      <c r="F129" s="45">
        <v>0</v>
      </c>
      <c r="G129" s="45">
        <v>0</v>
      </c>
      <c r="H129" s="45">
        <v>0</v>
      </c>
      <c r="I129" s="45">
        <v>0</v>
      </c>
      <c r="J129" s="45">
        <v>0</v>
      </c>
      <c r="K129" s="45">
        <v>0</v>
      </c>
      <c r="L129" s="45">
        <v>0</v>
      </c>
      <c r="M129" s="45">
        <v>0</v>
      </c>
      <c r="N129" s="45">
        <f t="shared" si="16"/>
        <v>992022</v>
      </c>
      <c r="O129" s="46">
        <f t="shared" si="14"/>
        <v>0.76198779156716367</v>
      </c>
      <c r="P129" s="9"/>
    </row>
    <row r="130" spans="1:16">
      <c r="A130" s="12"/>
      <c r="B130" s="38">
        <v>352</v>
      </c>
      <c r="C130" s="20" t="s">
        <v>138</v>
      </c>
      <c r="D130" s="45">
        <v>0</v>
      </c>
      <c r="E130" s="45">
        <v>455689</v>
      </c>
      <c r="F130" s="45">
        <v>0</v>
      </c>
      <c r="G130" s="45">
        <v>0</v>
      </c>
      <c r="H130" s="45">
        <v>0</v>
      </c>
      <c r="I130" s="45">
        <v>0</v>
      </c>
      <c r="J130" s="45">
        <v>0</v>
      </c>
      <c r="K130" s="45">
        <v>0</v>
      </c>
      <c r="L130" s="45">
        <v>0</v>
      </c>
      <c r="M130" s="45">
        <v>0</v>
      </c>
      <c r="N130" s="45">
        <f t="shared" si="16"/>
        <v>455689</v>
      </c>
      <c r="O130" s="46">
        <f t="shared" si="14"/>
        <v>0.35002192970664886</v>
      </c>
      <c r="P130" s="9"/>
    </row>
    <row r="131" spans="1:16">
      <c r="A131" s="12"/>
      <c r="B131" s="38">
        <v>353</v>
      </c>
      <c r="C131" s="20" t="s">
        <v>139</v>
      </c>
      <c r="D131" s="45">
        <v>0</v>
      </c>
      <c r="E131" s="45">
        <v>111254</v>
      </c>
      <c r="F131" s="45">
        <v>0</v>
      </c>
      <c r="G131" s="45">
        <v>0</v>
      </c>
      <c r="H131" s="45">
        <v>0</v>
      </c>
      <c r="I131" s="45">
        <v>0</v>
      </c>
      <c r="J131" s="45">
        <v>0</v>
      </c>
      <c r="K131" s="45">
        <v>0</v>
      </c>
      <c r="L131" s="45">
        <v>0</v>
      </c>
      <c r="M131" s="45">
        <v>0</v>
      </c>
      <c r="N131" s="45">
        <f t="shared" si="16"/>
        <v>111254</v>
      </c>
      <c r="O131" s="46">
        <f t="shared" si="14"/>
        <v>8.5455957391079251E-2</v>
      </c>
      <c r="P131" s="9"/>
    </row>
    <row r="132" spans="1:16">
      <c r="A132" s="12"/>
      <c r="B132" s="38">
        <v>354</v>
      </c>
      <c r="C132" s="20" t="s">
        <v>140</v>
      </c>
      <c r="D132" s="45">
        <v>3603969</v>
      </c>
      <c r="E132" s="45">
        <v>88536</v>
      </c>
      <c r="F132" s="45">
        <v>0</v>
      </c>
      <c r="G132" s="45">
        <v>0</v>
      </c>
      <c r="H132" s="45">
        <v>0</v>
      </c>
      <c r="I132" s="45">
        <v>0</v>
      </c>
      <c r="J132" s="45">
        <v>110</v>
      </c>
      <c r="K132" s="45">
        <v>0</v>
      </c>
      <c r="L132" s="45">
        <v>0</v>
      </c>
      <c r="M132" s="45">
        <v>0</v>
      </c>
      <c r="N132" s="45">
        <f t="shared" si="16"/>
        <v>3692615</v>
      </c>
      <c r="O132" s="46">
        <f t="shared" si="14"/>
        <v>2.8363559971026673</v>
      </c>
      <c r="P132" s="9"/>
    </row>
    <row r="133" spans="1:16">
      <c r="A133" s="12"/>
      <c r="B133" s="38">
        <v>359</v>
      </c>
      <c r="C133" s="20" t="s">
        <v>141</v>
      </c>
      <c r="D133" s="45">
        <v>109502</v>
      </c>
      <c r="E133" s="45">
        <v>468815</v>
      </c>
      <c r="F133" s="45">
        <v>0</v>
      </c>
      <c r="G133" s="45">
        <v>0</v>
      </c>
      <c r="H133" s="45">
        <v>0</v>
      </c>
      <c r="I133" s="45">
        <v>0</v>
      </c>
      <c r="J133" s="45">
        <v>0</v>
      </c>
      <c r="K133" s="45">
        <v>0</v>
      </c>
      <c r="L133" s="45">
        <v>0</v>
      </c>
      <c r="M133" s="45">
        <v>0</v>
      </c>
      <c r="N133" s="45">
        <f t="shared" si="16"/>
        <v>578317</v>
      </c>
      <c r="O133" s="46">
        <f t="shared" ref="O133:O150" si="17">(N133/O$152)</f>
        <v>0.44421443642958258</v>
      </c>
      <c r="P133" s="9"/>
    </row>
    <row r="134" spans="1:16" ht="15.75">
      <c r="A134" s="28" t="s">
        <v>5</v>
      </c>
      <c r="B134" s="29"/>
      <c r="C134" s="30"/>
      <c r="D134" s="31">
        <f t="shared" ref="D134:M134" si="18">SUM(D135:D142)</f>
        <v>6421138</v>
      </c>
      <c r="E134" s="31">
        <f t="shared" si="18"/>
        <v>14594566</v>
      </c>
      <c r="F134" s="31">
        <f t="shared" si="18"/>
        <v>251498</v>
      </c>
      <c r="G134" s="31">
        <f t="shared" si="18"/>
        <v>656727</v>
      </c>
      <c r="H134" s="31">
        <f t="shared" si="18"/>
        <v>0</v>
      </c>
      <c r="I134" s="31">
        <f t="shared" si="18"/>
        <v>-530000</v>
      </c>
      <c r="J134" s="31">
        <f t="shared" si="18"/>
        <v>1641179</v>
      </c>
      <c r="K134" s="31">
        <f t="shared" si="18"/>
        <v>0</v>
      </c>
      <c r="L134" s="31">
        <f t="shared" si="18"/>
        <v>0</v>
      </c>
      <c r="M134" s="31">
        <f t="shared" si="18"/>
        <v>863383</v>
      </c>
      <c r="N134" s="31">
        <f>SUM(D134:M134)</f>
        <v>23898491</v>
      </c>
      <c r="O134" s="44">
        <f t="shared" si="17"/>
        <v>18.356809001088418</v>
      </c>
      <c r="P134" s="10"/>
    </row>
    <row r="135" spans="1:16">
      <c r="A135" s="11"/>
      <c r="B135" s="24">
        <v>361.1</v>
      </c>
      <c r="C135" s="19" t="s">
        <v>142</v>
      </c>
      <c r="D135" s="45">
        <v>1442538</v>
      </c>
      <c r="E135" s="45">
        <v>1364459</v>
      </c>
      <c r="F135" s="45">
        <v>83829</v>
      </c>
      <c r="G135" s="45">
        <v>76597</v>
      </c>
      <c r="H135" s="45">
        <v>0</v>
      </c>
      <c r="I135" s="45">
        <v>0</v>
      </c>
      <c r="J135" s="45">
        <v>0</v>
      </c>
      <c r="K135" s="45">
        <v>0</v>
      </c>
      <c r="L135" s="45">
        <v>0</v>
      </c>
      <c r="M135" s="45">
        <v>760964</v>
      </c>
      <c r="N135" s="45">
        <f>SUM(D135:M135)</f>
        <v>3728387</v>
      </c>
      <c r="O135" s="46">
        <f t="shared" si="17"/>
        <v>2.8638330362005306</v>
      </c>
      <c r="P135" s="9"/>
    </row>
    <row r="136" spans="1:16">
      <c r="A136" s="11"/>
      <c r="B136" s="24">
        <v>361.4</v>
      </c>
      <c r="C136" s="19" t="s">
        <v>261</v>
      </c>
      <c r="D136" s="45">
        <v>0</v>
      </c>
      <c r="E136" s="45">
        <v>0</v>
      </c>
      <c r="F136" s="45">
        <v>0</v>
      </c>
      <c r="G136" s="45">
        <v>0</v>
      </c>
      <c r="H136" s="45">
        <v>0</v>
      </c>
      <c r="I136" s="45">
        <v>0</v>
      </c>
      <c r="J136" s="45">
        <v>0</v>
      </c>
      <c r="K136" s="45">
        <v>0</v>
      </c>
      <c r="L136" s="45">
        <v>0</v>
      </c>
      <c r="M136" s="45">
        <v>102419</v>
      </c>
      <c r="N136" s="45">
        <f t="shared" ref="N136:N142" si="19">SUM(D136:M136)</f>
        <v>102419</v>
      </c>
      <c r="O136" s="46">
        <f t="shared" si="17"/>
        <v>7.8669654125127608E-2</v>
      </c>
      <c r="P136" s="9"/>
    </row>
    <row r="137" spans="1:16">
      <c r="A137" s="11"/>
      <c r="B137" s="24">
        <v>362</v>
      </c>
      <c r="C137" s="19" t="s">
        <v>145</v>
      </c>
      <c r="D137" s="45">
        <v>1218677</v>
      </c>
      <c r="E137" s="45">
        <v>-1778</v>
      </c>
      <c r="F137" s="45">
        <v>167669</v>
      </c>
      <c r="G137" s="45">
        <v>494423</v>
      </c>
      <c r="H137" s="45">
        <v>0</v>
      </c>
      <c r="I137" s="45">
        <v>0</v>
      </c>
      <c r="J137" s="45">
        <v>0</v>
      </c>
      <c r="K137" s="45">
        <v>0</v>
      </c>
      <c r="L137" s="45">
        <v>0</v>
      </c>
      <c r="M137" s="45">
        <v>0</v>
      </c>
      <c r="N137" s="45">
        <f t="shared" si="19"/>
        <v>1878991</v>
      </c>
      <c r="O137" s="46">
        <f t="shared" si="17"/>
        <v>1.4432827119404372</v>
      </c>
      <c r="P137" s="9"/>
    </row>
    <row r="138" spans="1:16">
      <c r="A138" s="11"/>
      <c r="B138" s="24">
        <v>364</v>
      </c>
      <c r="C138" s="19" t="s">
        <v>237</v>
      </c>
      <c r="D138" s="45">
        <v>1114540</v>
      </c>
      <c r="E138" s="45">
        <v>36105</v>
      </c>
      <c r="F138" s="45">
        <v>0</v>
      </c>
      <c r="G138" s="45">
        <v>85707</v>
      </c>
      <c r="H138" s="45">
        <v>0</v>
      </c>
      <c r="I138" s="45">
        <v>-530000</v>
      </c>
      <c r="J138" s="45">
        <v>1608264</v>
      </c>
      <c r="K138" s="45">
        <v>0</v>
      </c>
      <c r="L138" s="45">
        <v>0</v>
      </c>
      <c r="M138" s="45">
        <v>0</v>
      </c>
      <c r="N138" s="45">
        <f t="shared" si="19"/>
        <v>2314616</v>
      </c>
      <c r="O138" s="46">
        <f t="shared" si="17"/>
        <v>1.7778931658431185</v>
      </c>
      <c r="P138" s="9"/>
    </row>
    <row r="139" spans="1:16">
      <c r="A139" s="11"/>
      <c r="B139" s="24">
        <v>365</v>
      </c>
      <c r="C139" s="19" t="s">
        <v>238</v>
      </c>
      <c r="D139" s="45">
        <v>155733</v>
      </c>
      <c r="E139" s="45">
        <v>41598</v>
      </c>
      <c r="F139" s="45">
        <v>0</v>
      </c>
      <c r="G139" s="45">
        <v>0</v>
      </c>
      <c r="H139" s="45">
        <v>0</v>
      </c>
      <c r="I139" s="45">
        <v>0</v>
      </c>
      <c r="J139" s="45">
        <v>32915</v>
      </c>
      <c r="K139" s="45">
        <v>0</v>
      </c>
      <c r="L139" s="45">
        <v>0</v>
      </c>
      <c r="M139" s="45">
        <v>0</v>
      </c>
      <c r="N139" s="45">
        <f t="shared" si="19"/>
        <v>230246</v>
      </c>
      <c r="O139" s="46">
        <f t="shared" si="17"/>
        <v>0.17685559499403558</v>
      </c>
      <c r="P139" s="9"/>
    </row>
    <row r="140" spans="1:16">
      <c r="A140" s="11"/>
      <c r="B140" s="24">
        <v>366</v>
      </c>
      <c r="C140" s="19" t="s">
        <v>148</v>
      </c>
      <c r="D140" s="45">
        <v>328784</v>
      </c>
      <c r="E140" s="45">
        <v>2397160</v>
      </c>
      <c r="F140" s="45">
        <v>0</v>
      </c>
      <c r="G140" s="45">
        <v>0</v>
      </c>
      <c r="H140" s="45">
        <v>0</v>
      </c>
      <c r="I140" s="45">
        <v>0</v>
      </c>
      <c r="J140" s="45">
        <v>0</v>
      </c>
      <c r="K140" s="45">
        <v>0</v>
      </c>
      <c r="L140" s="45">
        <v>0</v>
      </c>
      <c r="M140" s="45">
        <v>0</v>
      </c>
      <c r="N140" s="45">
        <f t="shared" si="19"/>
        <v>2725944</v>
      </c>
      <c r="O140" s="46">
        <f t="shared" si="17"/>
        <v>2.093840709677568</v>
      </c>
      <c r="P140" s="9"/>
    </row>
    <row r="141" spans="1:16">
      <c r="A141" s="11"/>
      <c r="B141" s="24">
        <v>369.3</v>
      </c>
      <c r="C141" s="19" t="s">
        <v>150</v>
      </c>
      <c r="D141" s="45">
        <v>171231</v>
      </c>
      <c r="E141" s="45">
        <v>659943</v>
      </c>
      <c r="F141" s="45">
        <v>0</v>
      </c>
      <c r="G141" s="45">
        <v>0</v>
      </c>
      <c r="H141" s="45">
        <v>0</v>
      </c>
      <c r="I141" s="45">
        <v>0</v>
      </c>
      <c r="J141" s="45">
        <v>0</v>
      </c>
      <c r="K141" s="45">
        <v>0</v>
      </c>
      <c r="L141" s="45">
        <v>0</v>
      </c>
      <c r="M141" s="45">
        <v>0</v>
      </c>
      <c r="N141" s="45">
        <f t="shared" si="19"/>
        <v>831174</v>
      </c>
      <c r="O141" s="46">
        <f t="shared" si="17"/>
        <v>0.63843789822004526</v>
      </c>
      <c r="P141" s="9"/>
    </row>
    <row r="142" spans="1:16">
      <c r="A142" s="11"/>
      <c r="B142" s="24">
        <v>369.9</v>
      </c>
      <c r="C142" s="19" t="s">
        <v>151</v>
      </c>
      <c r="D142" s="45">
        <v>1989635</v>
      </c>
      <c r="E142" s="45">
        <v>10097079</v>
      </c>
      <c r="F142" s="45">
        <v>0</v>
      </c>
      <c r="G142" s="45">
        <v>0</v>
      </c>
      <c r="H142" s="45">
        <v>0</v>
      </c>
      <c r="I142" s="45">
        <v>0</v>
      </c>
      <c r="J142" s="45">
        <v>0</v>
      </c>
      <c r="K142" s="45">
        <v>0</v>
      </c>
      <c r="L142" s="45">
        <v>0</v>
      </c>
      <c r="M142" s="45">
        <v>0</v>
      </c>
      <c r="N142" s="45">
        <f t="shared" si="19"/>
        <v>12086714</v>
      </c>
      <c r="O142" s="46">
        <f t="shared" si="17"/>
        <v>9.283996230087558</v>
      </c>
      <c r="P142" s="9"/>
    </row>
    <row r="143" spans="1:16" ht="15.75">
      <c r="A143" s="28" t="s">
        <v>77</v>
      </c>
      <c r="B143" s="29"/>
      <c r="C143" s="30"/>
      <c r="D143" s="31">
        <f t="shared" ref="D143:M143" si="20">SUM(D144:D149)</f>
        <v>591096328</v>
      </c>
      <c r="E143" s="31">
        <f t="shared" si="20"/>
        <v>113505465</v>
      </c>
      <c r="F143" s="31">
        <f t="shared" si="20"/>
        <v>49038978</v>
      </c>
      <c r="G143" s="31">
        <f t="shared" si="20"/>
        <v>22474915</v>
      </c>
      <c r="H143" s="31">
        <f t="shared" si="20"/>
        <v>0</v>
      </c>
      <c r="I143" s="31">
        <f t="shared" si="20"/>
        <v>41581000</v>
      </c>
      <c r="J143" s="31">
        <f t="shared" si="20"/>
        <v>7389332</v>
      </c>
      <c r="K143" s="31">
        <f t="shared" si="20"/>
        <v>0</v>
      </c>
      <c r="L143" s="31">
        <f t="shared" si="20"/>
        <v>0</v>
      </c>
      <c r="M143" s="31">
        <f t="shared" si="20"/>
        <v>0</v>
      </c>
      <c r="N143" s="31">
        <f t="shared" ref="N143:N150" si="21">SUM(D143:M143)</f>
        <v>825086018</v>
      </c>
      <c r="O143" s="44">
        <f t="shared" si="17"/>
        <v>633.76162293655284</v>
      </c>
      <c r="P143" s="9"/>
    </row>
    <row r="144" spans="1:16">
      <c r="A144" s="11"/>
      <c r="B144" s="24">
        <v>381</v>
      </c>
      <c r="C144" s="19" t="s">
        <v>152</v>
      </c>
      <c r="D144" s="45">
        <v>591029591</v>
      </c>
      <c r="E144" s="45">
        <v>103468647</v>
      </c>
      <c r="F144" s="45">
        <v>49038978</v>
      </c>
      <c r="G144" s="45">
        <v>16474915</v>
      </c>
      <c r="H144" s="45">
        <v>0</v>
      </c>
      <c r="I144" s="45">
        <v>0</v>
      </c>
      <c r="J144" s="45">
        <v>6647391</v>
      </c>
      <c r="K144" s="45">
        <v>0</v>
      </c>
      <c r="L144" s="45">
        <v>0</v>
      </c>
      <c r="M144" s="45">
        <v>0</v>
      </c>
      <c r="N144" s="45">
        <f t="shared" si="21"/>
        <v>766659522</v>
      </c>
      <c r="O144" s="46">
        <f t="shared" si="17"/>
        <v>588.88330707657428</v>
      </c>
      <c r="P144" s="9"/>
    </row>
    <row r="145" spans="1:119">
      <c r="A145" s="11"/>
      <c r="B145" s="24">
        <v>383</v>
      </c>
      <c r="C145" s="19" t="s">
        <v>199</v>
      </c>
      <c r="D145" s="45">
        <v>66737</v>
      </c>
      <c r="E145" s="45">
        <v>0</v>
      </c>
      <c r="F145" s="45">
        <v>0</v>
      </c>
      <c r="G145" s="45">
        <v>0</v>
      </c>
      <c r="H145" s="45">
        <v>0</v>
      </c>
      <c r="I145" s="45">
        <v>0</v>
      </c>
      <c r="J145" s="45">
        <v>0</v>
      </c>
      <c r="K145" s="45">
        <v>0</v>
      </c>
      <c r="L145" s="45">
        <v>0</v>
      </c>
      <c r="M145" s="45">
        <v>0</v>
      </c>
      <c r="N145" s="45">
        <f t="shared" si="21"/>
        <v>66737</v>
      </c>
      <c r="O145" s="46">
        <f t="shared" si="17"/>
        <v>5.1261745451026089E-2</v>
      </c>
      <c r="P145" s="9"/>
    </row>
    <row r="146" spans="1:119">
      <c r="A146" s="11"/>
      <c r="B146" s="24">
        <v>384</v>
      </c>
      <c r="C146" s="19" t="s">
        <v>153</v>
      </c>
      <c r="D146" s="45">
        <v>0</v>
      </c>
      <c r="E146" s="45">
        <v>10036818</v>
      </c>
      <c r="F146" s="45">
        <v>0</v>
      </c>
      <c r="G146" s="45">
        <v>6000000</v>
      </c>
      <c r="H146" s="45">
        <v>0</v>
      </c>
      <c r="I146" s="45">
        <v>0</v>
      </c>
      <c r="J146" s="45">
        <v>0</v>
      </c>
      <c r="K146" s="45">
        <v>0</v>
      </c>
      <c r="L146" s="45">
        <v>0</v>
      </c>
      <c r="M146" s="45">
        <v>0</v>
      </c>
      <c r="N146" s="45">
        <f t="shared" si="21"/>
        <v>16036818</v>
      </c>
      <c r="O146" s="46">
        <f t="shared" si="17"/>
        <v>12.318133601456962</v>
      </c>
      <c r="P146" s="9"/>
    </row>
    <row r="147" spans="1:119">
      <c r="A147" s="11"/>
      <c r="B147" s="24">
        <v>389.1</v>
      </c>
      <c r="C147" s="19" t="s">
        <v>239</v>
      </c>
      <c r="D147" s="45">
        <v>0</v>
      </c>
      <c r="E147" s="45">
        <v>0</v>
      </c>
      <c r="F147" s="45">
        <v>0</v>
      </c>
      <c r="G147" s="45">
        <v>0</v>
      </c>
      <c r="H147" s="45">
        <v>0</v>
      </c>
      <c r="I147" s="45">
        <v>6325000</v>
      </c>
      <c r="J147" s="45">
        <v>741740</v>
      </c>
      <c r="K147" s="45">
        <v>0</v>
      </c>
      <c r="L147" s="45">
        <v>0</v>
      </c>
      <c r="M147" s="45">
        <v>0</v>
      </c>
      <c r="N147" s="45">
        <f t="shared" si="21"/>
        <v>7066740</v>
      </c>
      <c r="O147" s="46">
        <f t="shared" si="17"/>
        <v>5.428074786828657</v>
      </c>
      <c r="P147" s="9"/>
    </row>
    <row r="148" spans="1:119">
      <c r="A148" s="11"/>
      <c r="B148" s="24">
        <v>389.4</v>
      </c>
      <c r="C148" s="19" t="s">
        <v>240</v>
      </c>
      <c r="D148" s="45">
        <v>0</v>
      </c>
      <c r="E148" s="45">
        <v>0</v>
      </c>
      <c r="F148" s="45">
        <v>0</v>
      </c>
      <c r="G148" s="45">
        <v>0</v>
      </c>
      <c r="H148" s="45">
        <v>0</v>
      </c>
      <c r="I148" s="45">
        <v>32019000</v>
      </c>
      <c r="J148" s="45">
        <v>0</v>
      </c>
      <c r="K148" s="45">
        <v>0</v>
      </c>
      <c r="L148" s="45">
        <v>0</v>
      </c>
      <c r="M148" s="45">
        <v>0</v>
      </c>
      <c r="N148" s="45">
        <f t="shared" si="21"/>
        <v>32019000</v>
      </c>
      <c r="O148" s="46">
        <f t="shared" si="17"/>
        <v>24.594300426995584</v>
      </c>
      <c r="P148" s="9"/>
    </row>
    <row r="149" spans="1:119" ht="15.75" thickBot="1">
      <c r="A149" s="11"/>
      <c r="B149" s="24">
        <v>389.9</v>
      </c>
      <c r="C149" s="19" t="s">
        <v>241</v>
      </c>
      <c r="D149" s="45">
        <v>0</v>
      </c>
      <c r="E149" s="45">
        <v>0</v>
      </c>
      <c r="F149" s="45">
        <v>0</v>
      </c>
      <c r="G149" s="45">
        <v>0</v>
      </c>
      <c r="H149" s="45">
        <v>0</v>
      </c>
      <c r="I149" s="45">
        <v>3237000</v>
      </c>
      <c r="J149" s="45">
        <v>201</v>
      </c>
      <c r="K149" s="45">
        <v>0</v>
      </c>
      <c r="L149" s="45">
        <v>0</v>
      </c>
      <c r="M149" s="45">
        <v>0</v>
      </c>
      <c r="N149" s="45">
        <f t="shared" si="21"/>
        <v>3237201</v>
      </c>
      <c r="O149" s="46">
        <f t="shared" si="17"/>
        <v>2.4865452992464014</v>
      </c>
      <c r="P149" s="9"/>
    </row>
    <row r="150" spans="1:119" ht="16.5" thickBot="1">
      <c r="A150" s="13" t="s">
        <v>114</v>
      </c>
      <c r="B150" s="22"/>
      <c r="C150" s="21"/>
      <c r="D150" s="14">
        <f t="shared" ref="D150:M150" si="22">SUM(D5,D13,D26,D66,D123,D134,D143)</f>
        <v>1258001013</v>
      </c>
      <c r="E150" s="14">
        <f t="shared" si="22"/>
        <v>810937778</v>
      </c>
      <c r="F150" s="14">
        <f t="shared" si="22"/>
        <v>54476535</v>
      </c>
      <c r="G150" s="14">
        <f t="shared" si="22"/>
        <v>24063144</v>
      </c>
      <c r="H150" s="14">
        <f t="shared" si="22"/>
        <v>0</v>
      </c>
      <c r="I150" s="14">
        <f t="shared" si="22"/>
        <v>350495000</v>
      </c>
      <c r="J150" s="14">
        <f t="shared" si="22"/>
        <v>165166806</v>
      </c>
      <c r="K150" s="14">
        <f t="shared" si="22"/>
        <v>0</v>
      </c>
      <c r="L150" s="14">
        <f t="shared" si="22"/>
        <v>0</v>
      </c>
      <c r="M150" s="14">
        <f t="shared" si="22"/>
        <v>6449512</v>
      </c>
      <c r="N150" s="14">
        <f t="shared" si="21"/>
        <v>2669589788</v>
      </c>
      <c r="O150" s="37">
        <f t="shared" si="17"/>
        <v>2050.5541479406429</v>
      </c>
      <c r="P150" s="6"/>
      <c r="Q150" s="2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</row>
    <row r="151" spans="1:119">
      <c r="A151" s="15"/>
      <c r="B151" s="17"/>
      <c r="C151" s="17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8"/>
    </row>
    <row r="152" spans="1:119">
      <c r="A152" s="39"/>
      <c r="B152" s="40"/>
      <c r="C152" s="40"/>
      <c r="D152" s="41"/>
      <c r="E152" s="41"/>
      <c r="F152" s="41"/>
      <c r="G152" s="41"/>
      <c r="H152" s="41"/>
      <c r="I152" s="41"/>
      <c r="J152" s="41"/>
      <c r="K152" s="41"/>
      <c r="L152" s="48" t="s">
        <v>262</v>
      </c>
      <c r="M152" s="48"/>
      <c r="N152" s="48"/>
      <c r="O152" s="42">
        <v>1301887</v>
      </c>
    </row>
    <row r="153" spans="1:119">
      <c r="A153" s="49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1"/>
    </row>
    <row r="154" spans="1:119" ht="15.75" customHeight="1" thickBot="1">
      <c r="A154" s="52" t="s">
        <v>178</v>
      </c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4"/>
    </row>
  </sheetData>
  <mergeCells count="10">
    <mergeCell ref="L152:N152"/>
    <mergeCell ref="A153:O153"/>
    <mergeCell ref="A154:O154"/>
    <mergeCell ref="A1:O1"/>
    <mergeCell ref="A2:O2"/>
    <mergeCell ref="A3:C4"/>
    <mergeCell ref="D3:H3"/>
    <mergeCell ref="I3:J3"/>
    <mergeCell ref="K3:L3"/>
    <mergeCell ref="O3:O4"/>
  </mergeCells>
  <printOptions horizontalCentered="1"/>
  <pageMargins left="0.5" right="0.5" top="0.5" bottom="0.5" header="0.3" footer="0.3"/>
  <pageSetup paperSize="5" scale="54" fitToHeight="0" orientation="landscape" r:id="rId1"/>
  <headerFooter>
    <oddFooter>&amp;L&amp;14Office of Economic and Demographic Research&amp;R&amp;14Page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EC144"/>
  <sheetViews>
    <sheetView workbookViewId="0">
      <selection sqref="A1:O1"/>
    </sheetView>
  </sheetViews>
  <sheetFormatPr defaultColWidth="9.77734375" defaultRowHeight="15"/>
  <cols>
    <col min="1" max="1" width="1.77734375" style="3" customWidth="1"/>
    <col min="2" max="2" width="6.77734375" style="3" customWidth="1"/>
    <col min="3" max="3" width="60.77734375" style="3" customWidth="1"/>
    <col min="4" max="5" width="16.77734375" style="4" customWidth="1"/>
    <col min="6" max="7" width="15.77734375" style="4" customWidth="1"/>
    <col min="8" max="8" width="13.77734375" style="4" customWidth="1"/>
    <col min="9" max="10" width="15.77734375" style="4" customWidth="1"/>
    <col min="11" max="13" width="13.77734375" style="4" customWidth="1"/>
    <col min="14" max="14" width="16.77734375" style="4" customWidth="1"/>
    <col min="15" max="15" width="13.77734375" style="3" customWidth="1"/>
    <col min="16" max="16" width="9.77734375" style="3" customWidth="1"/>
    <col min="17" max="17" width="9.77734375" style="3"/>
  </cols>
  <sheetData>
    <row r="1" spans="1:133" ht="27.75">
      <c r="A1" s="55" t="s">
        <v>165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7"/>
      <c r="P1" s="7"/>
      <c r="Q1"/>
    </row>
    <row r="2" spans="1:133" ht="24" thickBot="1">
      <c r="A2" s="58" t="s">
        <v>201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60"/>
      <c r="P2" s="7"/>
      <c r="Q2"/>
    </row>
    <row r="3" spans="1:133" ht="18" customHeight="1">
      <c r="A3" s="61" t="s">
        <v>158</v>
      </c>
      <c r="B3" s="62"/>
      <c r="C3" s="63"/>
      <c r="D3" s="67" t="s">
        <v>71</v>
      </c>
      <c r="E3" s="68"/>
      <c r="F3" s="68"/>
      <c r="G3" s="68"/>
      <c r="H3" s="69"/>
      <c r="I3" s="67" t="s">
        <v>72</v>
      </c>
      <c r="J3" s="69"/>
      <c r="K3" s="67" t="s">
        <v>74</v>
      </c>
      <c r="L3" s="69"/>
      <c r="M3" s="35"/>
      <c r="N3" s="36"/>
      <c r="O3" s="70" t="s">
        <v>163</v>
      </c>
      <c r="P3" s="5"/>
      <c r="Q3"/>
    </row>
    <row r="4" spans="1:133" ht="32.25" customHeight="1" thickBot="1">
      <c r="A4" s="64"/>
      <c r="B4" s="65"/>
      <c r="C4" s="66"/>
      <c r="D4" s="33" t="s">
        <v>6</v>
      </c>
      <c r="E4" s="33" t="s">
        <v>159</v>
      </c>
      <c r="F4" s="33" t="s">
        <v>160</v>
      </c>
      <c r="G4" s="33" t="s">
        <v>161</v>
      </c>
      <c r="H4" s="33" t="s">
        <v>7</v>
      </c>
      <c r="I4" s="33" t="s">
        <v>8</v>
      </c>
      <c r="J4" s="34" t="s">
        <v>162</v>
      </c>
      <c r="K4" s="34" t="s">
        <v>9</v>
      </c>
      <c r="L4" s="34" t="s">
        <v>10</v>
      </c>
      <c r="M4" s="34" t="s">
        <v>11</v>
      </c>
      <c r="N4" s="34" t="s">
        <v>73</v>
      </c>
      <c r="O4" s="71"/>
      <c r="P4" s="8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</row>
    <row r="5" spans="1:133" ht="15.75">
      <c r="A5" s="23" t="s">
        <v>2</v>
      </c>
      <c r="B5" s="25"/>
      <c r="C5" s="25"/>
      <c r="D5" s="26">
        <f t="shared" ref="D5:M5" si="0">SUM(D6:D11)</f>
        <v>496210899</v>
      </c>
      <c r="E5" s="26">
        <f t="shared" si="0"/>
        <v>307635126</v>
      </c>
      <c r="F5" s="26">
        <f t="shared" si="0"/>
        <v>4496052</v>
      </c>
      <c r="G5" s="26">
        <f t="shared" si="0"/>
        <v>0</v>
      </c>
      <c r="H5" s="26">
        <f t="shared" si="0"/>
        <v>0</v>
      </c>
      <c r="I5" s="26">
        <f t="shared" si="0"/>
        <v>0</v>
      </c>
      <c r="J5" s="26">
        <f t="shared" si="0"/>
        <v>0</v>
      </c>
      <c r="K5" s="26">
        <f t="shared" si="0"/>
        <v>0</v>
      </c>
      <c r="L5" s="26">
        <f t="shared" si="0"/>
        <v>0</v>
      </c>
      <c r="M5" s="26">
        <f t="shared" si="0"/>
        <v>40371</v>
      </c>
      <c r="N5" s="27">
        <f t="shared" ref="N5:N13" si="1">SUM(D5:M5)</f>
        <v>808382448</v>
      </c>
      <c r="O5" s="32">
        <f t="shared" ref="O5:O36" si="2">(N5/O$142)</f>
        <v>633.32506639716075</v>
      </c>
      <c r="P5" s="6"/>
    </row>
    <row r="6" spans="1:133">
      <c r="A6" s="11"/>
      <c r="B6" s="24">
        <v>311</v>
      </c>
      <c r="C6" s="19" t="s">
        <v>3</v>
      </c>
      <c r="D6" s="45">
        <v>494555511</v>
      </c>
      <c r="E6" s="45">
        <v>31562773</v>
      </c>
      <c r="F6" s="45">
        <v>4496052</v>
      </c>
      <c r="G6" s="45">
        <v>0</v>
      </c>
      <c r="H6" s="45">
        <v>0</v>
      </c>
      <c r="I6" s="45">
        <v>0</v>
      </c>
      <c r="J6" s="45">
        <v>0</v>
      </c>
      <c r="K6" s="45">
        <v>0</v>
      </c>
      <c r="L6" s="45">
        <v>0</v>
      </c>
      <c r="M6" s="45">
        <v>0</v>
      </c>
      <c r="N6" s="45">
        <f t="shared" si="1"/>
        <v>530614336</v>
      </c>
      <c r="O6" s="46">
        <f t="shared" si="2"/>
        <v>415.70838210292931</v>
      </c>
      <c r="P6" s="9"/>
    </row>
    <row r="7" spans="1:133">
      <c r="A7" s="11"/>
      <c r="B7" s="24">
        <v>312.10000000000002</v>
      </c>
      <c r="C7" s="19" t="s">
        <v>12</v>
      </c>
      <c r="D7" s="45">
        <v>0</v>
      </c>
      <c r="E7" s="45">
        <v>220714855</v>
      </c>
      <c r="F7" s="45">
        <v>0</v>
      </c>
      <c r="G7" s="45">
        <v>0</v>
      </c>
      <c r="H7" s="45">
        <v>0</v>
      </c>
      <c r="I7" s="45">
        <v>0</v>
      </c>
      <c r="J7" s="45">
        <v>0</v>
      </c>
      <c r="K7" s="45">
        <v>0</v>
      </c>
      <c r="L7" s="45">
        <v>0</v>
      </c>
      <c r="M7" s="45">
        <v>0</v>
      </c>
      <c r="N7" s="45">
        <f t="shared" si="1"/>
        <v>220714855</v>
      </c>
      <c r="O7" s="46">
        <f t="shared" si="2"/>
        <v>172.91846271965903</v>
      </c>
      <c r="P7" s="9"/>
    </row>
    <row r="8" spans="1:133">
      <c r="A8" s="11"/>
      <c r="B8" s="24">
        <v>312.3</v>
      </c>
      <c r="C8" s="19" t="s">
        <v>13</v>
      </c>
      <c r="D8" s="45">
        <v>0</v>
      </c>
      <c r="E8" s="45">
        <v>6379249</v>
      </c>
      <c r="F8" s="45">
        <v>0</v>
      </c>
      <c r="G8" s="45">
        <v>0</v>
      </c>
      <c r="H8" s="45">
        <v>0</v>
      </c>
      <c r="I8" s="45">
        <v>0</v>
      </c>
      <c r="J8" s="45">
        <v>0</v>
      </c>
      <c r="K8" s="45">
        <v>0</v>
      </c>
      <c r="L8" s="45">
        <v>0</v>
      </c>
      <c r="M8" s="45">
        <v>0</v>
      </c>
      <c r="N8" s="45">
        <f t="shared" si="1"/>
        <v>6379249</v>
      </c>
      <c r="O8" s="46">
        <f t="shared" si="2"/>
        <v>4.9978055640429018</v>
      </c>
      <c r="P8" s="9"/>
    </row>
    <row r="9" spans="1:133">
      <c r="A9" s="11"/>
      <c r="B9" s="24">
        <v>312.41000000000003</v>
      </c>
      <c r="C9" s="19" t="s">
        <v>14</v>
      </c>
      <c r="D9" s="45">
        <v>0</v>
      </c>
      <c r="E9" s="45">
        <v>24074771</v>
      </c>
      <c r="F9" s="45">
        <v>0</v>
      </c>
      <c r="G9" s="45">
        <v>0</v>
      </c>
      <c r="H9" s="45">
        <v>0</v>
      </c>
      <c r="I9" s="45">
        <v>0</v>
      </c>
      <c r="J9" s="45">
        <v>0</v>
      </c>
      <c r="K9" s="45">
        <v>0</v>
      </c>
      <c r="L9" s="45">
        <v>0</v>
      </c>
      <c r="M9" s="45">
        <v>0</v>
      </c>
      <c r="N9" s="45">
        <f t="shared" si="1"/>
        <v>24074771</v>
      </c>
      <c r="O9" s="46">
        <f t="shared" si="2"/>
        <v>18.861314937990144</v>
      </c>
      <c r="P9" s="9"/>
    </row>
    <row r="10" spans="1:133">
      <c r="A10" s="11"/>
      <c r="B10" s="24">
        <v>315</v>
      </c>
      <c r="C10" s="19" t="s">
        <v>202</v>
      </c>
      <c r="D10" s="45">
        <v>175</v>
      </c>
      <c r="E10" s="45">
        <v>24347559</v>
      </c>
      <c r="F10" s="45">
        <v>0</v>
      </c>
      <c r="G10" s="45">
        <v>0</v>
      </c>
      <c r="H10" s="45">
        <v>0</v>
      </c>
      <c r="I10" s="45">
        <v>0</v>
      </c>
      <c r="J10" s="45">
        <v>0</v>
      </c>
      <c r="K10" s="45">
        <v>0</v>
      </c>
      <c r="L10" s="45">
        <v>0</v>
      </c>
      <c r="M10" s="45">
        <v>0</v>
      </c>
      <c r="N10" s="45">
        <f t="shared" si="1"/>
        <v>24347734</v>
      </c>
      <c r="O10" s="46">
        <f t="shared" si="2"/>
        <v>19.07516707014204</v>
      </c>
      <c r="P10" s="9"/>
    </row>
    <row r="11" spans="1:133">
      <c r="A11" s="11"/>
      <c r="B11" s="24">
        <v>316</v>
      </c>
      <c r="C11" s="19" t="s">
        <v>203</v>
      </c>
      <c r="D11" s="45">
        <v>1655213</v>
      </c>
      <c r="E11" s="45">
        <v>555919</v>
      </c>
      <c r="F11" s="45">
        <v>0</v>
      </c>
      <c r="G11" s="45">
        <v>0</v>
      </c>
      <c r="H11" s="45">
        <v>0</v>
      </c>
      <c r="I11" s="45">
        <v>0</v>
      </c>
      <c r="J11" s="45">
        <v>0</v>
      </c>
      <c r="K11" s="45">
        <v>0</v>
      </c>
      <c r="L11" s="45">
        <v>0</v>
      </c>
      <c r="M11" s="45">
        <v>40371</v>
      </c>
      <c r="N11" s="45">
        <f t="shared" si="1"/>
        <v>2251503</v>
      </c>
      <c r="O11" s="46">
        <f t="shared" si="2"/>
        <v>1.7639340023973489</v>
      </c>
      <c r="P11" s="9"/>
    </row>
    <row r="12" spans="1:133" ht="15.75">
      <c r="A12" s="28" t="s">
        <v>18</v>
      </c>
      <c r="B12" s="29"/>
      <c r="C12" s="30"/>
      <c r="D12" s="31">
        <f t="shared" ref="D12:M12" si="3">SUM(D13:D24)</f>
        <v>2761917</v>
      </c>
      <c r="E12" s="31">
        <f t="shared" si="3"/>
        <v>47642887</v>
      </c>
      <c r="F12" s="31">
        <f t="shared" si="3"/>
        <v>0</v>
      </c>
      <c r="G12" s="31">
        <f t="shared" si="3"/>
        <v>0</v>
      </c>
      <c r="H12" s="31">
        <f t="shared" si="3"/>
        <v>0</v>
      </c>
      <c r="I12" s="31">
        <f t="shared" si="3"/>
        <v>0</v>
      </c>
      <c r="J12" s="31">
        <f t="shared" si="3"/>
        <v>0</v>
      </c>
      <c r="K12" s="31">
        <f t="shared" si="3"/>
        <v>0</v>
      </c>
      <c r="L12" s="31">
        <f t="shared" si="3"/>
        <v>0</v>
      </c>
      <c r="M12" s="31">
        <f t="shared" si="3"/>
        <v>0</v>
      </c>
      <c r="N12" s="43">
        <f t="shared" si="1"/>
        <v>50404804</v>
      </c>
      <c r="O12" s="44">
        <f t="shared" si="2"/>
        <v>39.489508856872007</v>
      </c>
      <c r="P12" s="10"/>
    </row>
    <row r="13" spans="1:133">
      <c r="A13" s="11"/>
      <c r="B13" s="24">
        <v>322</v>
      </c>
      <c r="C13" s="19" t="s">
        <v>0</v>
      </c>
      <c r="D13" s="45">
        <v>0</v>
      </c>
      <c r="E13" s="45">
        <v>5947522</v>
      </c>
      <c r="F13" s="45">
        <v>0</v>
      </c>
      <c r="G13" s="45">
        <v>0</v>
      </c>
      <c r="H13" s="45">
        <v>0</v>
      </c>
      <c r="I13" s="45">
        <v>0</v>
      </c>
      <c r="J13" s="45">
        <v>0</v>
      </c>
      <c r="K13" s="45">
        <v>0</v>
      </c>
      <c r="L13" s="45">
        <v>0</v>
      </c>
      <c r="M13" s="45">
        <v>0</v>
      </c>
      <c r="N13" s="45">
        <f t="shared" si="1"/>
        <v>5947522</v>
      </c>
      <c r="O13" s="46">
        <f t="shared" si="2"/>
        <v>4.6595702007975497</v>
      </c>
      <c r="P13" s="9"/>
    </row>
    <row r="14" spans="1:133">
      <c r="A14" s="11"/>
      <c r="B14" s="24">
        <v>323.3</v>
      </c>
      <c r="C14" s="19" t="s">
        <v>19</v>
      </c>
      <c r="D14" s="45">
        <v>29130</v>
      </c>
      <c r="E14" s="45">
        <v>0</v>
      </c>
      <c r="F14" s="45">
        <v>0</v>
      </c>
      <c r="G14" s="45">
        <v>0</v>
      </c>
      <c r="H14" s="45">
        <v>0</v>
      </c>
      <c r="I14" s="45">
        <v>0</v>
      </c>
      <c r="J14" s="45">
        <v>0</v>
      </c>
      <c r="K14" s="45">
        <v>0</v>
      </c>
      <c r="L14" s="45">
        <v>0</v>
      </c>
      <c r="M14" s="45">
        <v>0</v>
      </c>
      <c r="N14" s="45">
        <f t="shared" ref="N14:N22" si="4">SUM(D14:M14)</f>
        <v>29130</v>
      </c>
      <c r="O14" s="46">
        <f t="shared" si="2"/>
        <v>2.2821820574893646E-2</v>
      </c>
      <c r="P14" s="9"/>
    </row>
    <row r="15" spans="1:133">
      <c r="A15" s="11"/>
      <c r="B15" s="24">
        <v>323.60000000000002</v>
      </c>
      <c r="C15" s="19" t="s">
        <v>20</v>
      </c>
      <c r="D15" s="45">
        <v>19747</v>
      </c>
      <c r="E15" s="45">
        <v>0</v>
      </c>
      <c r="F15" s="45">
        <v>0</v>
      </c>
      <c r="G15" s="45">
        <v>0</v>
      </c>
      <c r="H15" s="45">
        <v>0</v>
      </c>
      <c r="I15" s="45">
        <v>0</v>
      </c>
      <c r="J15" s="45">
        <v>0</v>
      </c>
      <c r="K15" s="45">
        <v>0</v>
      </c>
      <c r="L15" s="45">
        <v>0</v>
      </c>
      <c r="M15" s="45">
        <v>0</v>
      </c>
      <c r="N15" s="45">
        <f t="shared" si="4"/>
        <v>19747</v>
      </c>
      <c r="O15" s="46">
        <f t="shared" si="2"/>
        <v>1.5470734325177647E-2</v>
      </c>
      <c r="P15" s="9"/>
    </row>
    <row r="16" spans="1:133">
      <c r="A16" s="11"/>
      <c r="B16" s="24">
        <v>324.11</v>
      </c>
      <c r="C16" s="19" t="s">
        <v>21</v>
      </c>
      <c r="D16" s="45">
        <v>0</v>
      </c>
      <c r="E16" s="45">
        <v>194360</v>
      </c>
      <c r="F16" s="45">
        <v>0</v>
      </c>
      <c r="G16" s="45">
        <v>0</v>
      </c>
      <c r="H16" s="45">
        <v>0</v>
      </c>
      <c r="I16" s="45">
        <v>0</v>
      </c>
      <c r="J16" s="45">
        <v>0</v>
      </c>
      <c r="K16" s="45">
        <v>0</v>
      </c>
      <c r="L16" s="45">
        <v>0</v>
      </c>
      <c r="M16" s="45">
        <v>0</v>
      </c>
      <c r="N16" s="45">
        <f t="shared" si="4"/>
        <v>194360</v>
      </c>
      <c r="O16" s="46">
        <f t="shared" si="2"/>
        <v>0.15227082207127804</v>
      </c>
      <c r="P16" s="9"/>
    </row>
    <row r="17" spans="1:16">
      <c r="A17" s="11"/>
      <c r="B17" s="24">
        <v>324.12</v>
      </c>
      <c r="C17" s="19" t="s">
        <v>180</v>
      </c>
      <c r="D17" s="45">
        <v>0</v>
      </c>
      <c r="E17" s="45">
        <v>16716</v>
      </c>
      <c r="F17" s="45">
        <v>0</v>
      </c>
      <c r="G17" s="45">
        <v>0</v>
      </c>
      <c r="H17" s="45">
        <v>0</v>
      </c>
      <c r="I17" s="45">
        <v>0</v>
      </c>
      <c r="J17" s="45">
        <v>0</v>
      </c>
      <c r="K17" s="45">
        <v>0</v>
      </c>
      <c r="L17" s="45">
        <v>0</v>
      </c>
      <c r="M17" s="45">
        <v>0</v>
      </c>
      <c r="N17" s="45">
        <f t="shared" si="4"/>
        <v>16716</v>
      </c>
      <c r="O17" s="46">
        <f t="shared" si="2"/>
        <v>1.3096105483347827E-2</v>
      </c>
      <c r="P17" s="9"/>
    </row>
    <row r="18" spans="1:16">
      <c r="A18" s="11"/>
      <c r="B18" s="24">
        <v>324.20999999999998</v>
      </c>
      <c r="C18" s="19" t="s">
        <v>22</v>
      </c>
      <c r="D18" s="45">
        <v>0</v>
      </c>
      <c r="E18" s="45">
        <v>20392792</v>
      </c>
      <c r="F18" s="45">
        <v>0</v>
      </c>
      <c r="G18" s="45">
        <v>0</v>
      </c>
      <c r="H18" s="45">
        <v>0</v>
      </c>
      <c r="I18" s="45">
        <v>0</v>
      </c>
      <c r="J18" s="45">
        <v>0</v>
      </c>
      <c r="K18" s="45">
        <v>0</v>
      </c>
      <c r="L18" s="45">
        <v>0</v>
      </c>
      <c r="M18" s="45">
        <v>0</v>
      </c>
      <c r="N18" s="45">
        <f t="shared" si="4"/>
        <v>20392792</v>
      </c>
      <c r="O18" s="46">
        <f t="shared" si="2"/>
        <v>15.976678340031809</v>
      </c>
      <c r="P18" s="9"/>
    </row>
    <row r="19" spans="1:16">
      <c r="A19" s="11"/>
      <c r="B19" s="24">
        <v>324.31</v>
      </c>
      <c r="C19" s="19" t="s">
        <v>23</v>
      </c>
      <c r="D19" s="45">
        <v>0</v>
      </c>
      <c r="E19" s="45">
        <v>2384471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5">
        <v>0</v>
      </c>
      <c r="L19" s="45">
        <v>0</v>
      </c>
      <c r="M19" s="45">
        <v>0</v>
      </c>
      <c r="N19" s="45">
        <f t="shared" si="4"/>
        <v>2384471</v>
      </c>
      <c r="O19" s="46">
        <f t="shared" si="2"/>
        <v>1.8681074262971928</v>
      </c>
      <c r="P19" s="9"/>
    </row>
    <row r="20" spans="1:16">
      <c r="A20" s="11"/>
      <c r="B20" s="24">
        <v>324.32</v>
      </c>
      <c r="C20" s="19" t="s">
        <v>167</v>
      </c>
      <c r="D20" s="45">
        <v>0</v>
      </c>
      <c r="E20" s="45">
        <v>656601</v>
      </c>
      <c r="F20" s="45">
        <v>0</v>
      </c>
      <c r="G20" s="45">
        <v>0</v>
      </c>
      <c r="H20" s="45">
        <v>0</v>
      </c>
      <c r="I20" s="45">
        <v>0</v>
      </c>
      <c r="J20" s="45">
        <v>0</v>
      </c>
      <c r="K20" s="45">
        <v>0</v>
      </c>
      <c r="L20" s="45">
        <v>0</v>
      </c>
      <c r="M20" s="45">
        <v>0</v>
      </c>
      <c r="N20" s="45">
        <f t="shared" si="4"/>
        <v>656601</v>
      </c>
      <c r="O20" s="46">
        <f t="shared" si="2"/>
        <v>0.51441229698921198</v>
      </c>
      <c r="P20" s="9"/>
    </row>
    <row r="21" spans="1:16">
      <c r="A21" s="11"/>
      <c r="B21" s="24">
        <v>324.61</v>
      </c>
      <c r="C21" s="19" t="s">
        <v>24</v>
      </c>
      <c r="D21" s="45">
        <v>0</v>
      </c>
      <c r="E21" s="45">
        <v>1323455</v>
      </c>
      <c r="F21" s="45">
        <v>0</v>
      </c>
      <c r="G21" s="45">
        <v>0</v>
      </c>
      <c r="H21" s="45">
        <v>0</v>
      </c>
      <c r="I21" s="45">
        <v>0</v>
      </c>
      <c r="J21" s="45">
        <v>0</v>
      </c>
      <c r="K21" s="45">
        <v>0</v>
      </c>
      <c r="L21" s="45">
        <v>0</v>
      </c>
      <c r="M21" s="45">
        <v>0</v>
      </c>
      <c r="N21" s="45">
        <f t="shared" si="4"/>
        <v>1323455</v>
      </c>
      <c r="O21" s="46">
        <f t="shared" si="2"/>
        <v>1.0368572794008195</v>
      </c>
      <c r="P21" s="9"/>
    </row>
    <row r="22" spans="1:16">
      <c r="A22" s="11"/>
      <c r="B22" s="24">
        <v>325.10000000000002</v>
      </c>
      <c r="C22" s="19" t="s">
        <v>25</v>
      </c>
      <c r="D22" s="45">
        <v>0</v>
      </c>
      <c r="E22" s="45">
        <v>16103986</v>
      </c>
      <c r="F22" s="45">
        <v>0</v>
      </c>
      <c r="G22" s="45">
        <v>0</v>
      </c>
      <c r="H22" s="45">
        <v>0</v>
      </c>
      <c r="I22" s="45">
        <v>0</v>
      </c>
      <c r="J22" s="45">
        <v>0</v>
      </c>
      <c r="K22" s="45">
        <v>0</v>
      </c>
      <c r="L22" s="45">
        <v>0</v>
      </c>
      <c r="M22" s="45">
        <v>0</v>
      </c>
      <c r="N22" s="45">
        <f t="shared" si="4"/>
        <v>16103986</v>
      </c>
      <c r="O22" s="46">
        <f t="shared" si="2"/>
        <v>12.616624752234783</v>
      </c>
      <c r="P22" s="9"/>
    </row>
    <row r="23" spans="1:16">
      <c r="A23" s="11"/>
      <c r="B23" s="24">
        <v>329</v>
      </c>
      <c r="C23" s="19" t="s">
        <v>27</v>
      </c>
      <c r="D23" s="45">
        <v>588223</v>
      </c>
      <c r="E23" s="45">
        <v>486484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45">
        <v>0</v>
      </c>
      <c r="L23" s="45">
        <v>0</v>
      </c>
      <c r="M23" s="45">
        <v>0</v>
      </c>
      <c r="N23" s="45">
        <f>SUM(D23:M23)</f>
        <v>1074707</v>
      </c>
      <c r="O23" s="46">
        <f t="shared" si="2"/>
        <v>0.84197632422184099</v>
      </c>
      <c r="P23" s="9"/>
    </row>
    <row r="24" spans="1:16">
      <c r="A24" s="11"/>
      <c r="B24" s="24">
        <v>367</v>
      </c>
      <c r="C24" s="19" t="s">
        <v>149</v>
      </c>
      <c r="D24" s="45">
        <v>2124817</v>
      </c>
      <c r="E24" s="45">
        <v>136500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5">
        <v>0</v>
      </c>
      <c r="L24" s="45">
        <v>0</v>
      </c>
      <c r="M24" s="45">
        <v>0</v>
      </c>
      <c r="N24" s="45">
        <f>SUM(D24:M24)</f>
        <v>2261317</v>
      </c>
      <c r="O24" s="46">
        <f t="shared" si="2"/>
        <v>1.771622754444105</v>
      </c>
      <c r="P24" s="9"/>
    </row>
    <row r="25" spans="1:16" ht="15.75">
      <c r="A25" s="28" t="s">
        <v>30</v>
      </c>
      <c r="B25" s="29"/>
      <c r="C25" s="30"/>
      <c r="D25" s="31">
        <f t="shared" ref="D25:M25" si="5">SUM(D26:D69)</f>
        <v>29927223</v>
      </c>
      <c r="E25" s="31">
        <f t="shared" si="5"/>
        <v>242803095</v>
      </c>
      <c r="F25" s="31">
        <f t="shared" si="5"/>
        <v>0</v>
      </c>
      <c r="G25" s="31">
        <f t="shared" si="5"/>
        <v>960110</v>
      </c>
      <c r="H25" s="31">
        <f t="shared" si="5"/>
        <v>0</v>
      </c>
      <c r="I25" s="31">
        <f t="shared" si="5"/>
        <v>0</v>
      </c>
      <c r="J25" s="31">
        <f t="shared" si="5"/>
        <v>309000</v>
      </c>
      <c r="K25" s="31">
        <f t="shared" si="5"/>
        <v>0</v>
      </c>
      <c r="L25" s="31">
        <f t="shared" si="5"/>
        <v>0</v>
      </c>
      <c r="M25" s="31">
        <f t="shared" si="5"/>
        <v>0</v>
      </c>
      <c r="N25" s="43">
        <f>SUM(D25:M25)</f>
        <v>273999428</v>
      </c>
      <c r="O25" s="44">
        <f t="shared" si="2"/>
        <v>214.66411889596603</v>
      </c>
      <c r="P25" s="10"/>
    </row>
    <row r="26" spans="1:16">
      <c r="A26" s="11"/>
      <c r="B26" s="24">
        <v>331.1</v>
      </c>
      <c r="C26" s="19" t="s">
        <v>28</v>
      </c>
      <c r="D26" s="45">
        <v>0</v>
      </c>
      <c r="E26" s="45">
        <v>148923</v>
      </c>
      <c r="F26" s="45">
        <v>0</v>
      </c>
      <c r="G26" s="45">
        <v>0</v>
      </c>
      <c r="H26" s="45">
        <v>0</v>
      </c>
      <c r="I26" s="45">
        <v>0</v>
      </c>
      <c r="J26" s="45">
        <v>0</v>
      </c>
      <c r="K26" s="45">
        <v>0</v>
      </c>
      <c r="L26" s="45">
        <v>0</v>
      </c>
      <c r="M26" s="45">
        <v>0</v>
      </c>
      <c r="N26" s="45">
        <f>SUM(D26:M26)</f>
        <v>148923</v>
      </c>
      <c r="O26" s="46">
        <f t="shared" si="2"/>
        <v>0.11667332596892847</v>
      </c>
      <c r="P26" s="9"/>
    </row>
    <row r="27" spans="1:16">
      <c r="A27" s="11"/>
      <c r="B27" s="24">
        <v>331.2</v>
      </c>
      <c r="C27" s="19" t="s">
        <v>29</v>
      </c>
      <c r="D27" s="45">
        <v>3587166</v>
      </c>
      <c r="E27" s="45">
        <v>8668924</v>
      </c>
      <c r="F27" s="45">
        <v>0</v>
      </c>
      <c r="G27" s="45">
        <v>0</v>
      </c>
      <c r="H27" s="45">
        <v>0</v>
      </c>
      <c r="I27" s="45">
        <v>0</v>
      </c>
      <c r="J27" s="45">
        <v>0</v>
      </c>
      <c r="K27" s="45">
        <v>0</v>
      </c>
      <c r="L27" s="45">
        <v>0</v>
      </c>
      <c r="M27" s="45">
        <v>0</v>
      </c>
      <c r="N27" s="45">
        <f>SUM(D27:M27)</f>
        <v>12256090</v>
      </c>
      <c r="O27" s="46">
        <f t="shared" si="2"/>
        <v>9.602000924467843</v>
      </c>
      <c r="P27" s="9"/>
    </row>
    <row r="28" spans="1:16">
      <c r="A28" s="11"/>
      <c r="B28" s="24">
        <v>331.39</v>
      </c>
      <c r="C28" s="19" t="s">
        <v>35</v>
      </c>
      <c r="D28" s="45">
        <v>0</v>
      </c>
      <c r="E28" s="45">
        <v>1497063</v>
      </c>
      <c r="F28" s="45">
        <v>0</v>
      </c>
      <c r="G28" s="45">
        <v>0</v>
      </c>
      <c r="H28" s="45">
        <v>0</v>
      </c>
      <c r="I28" s="45">
        <v>0</v>
      </c>
      <c r="J28" s="45">
        <v>0</v>
      </c>
      <c r="K28" s="45">
        <v>0</v>
      </c>
      <c r="L28" s="45">
        <v>0</v>
      </c>
      <c r="M28" s="45">
        <v>0</v>
      </c>
      <c r="N28" s="45">
        <f t="shared" ref="N28:N37" si="6">SUM(D28:M28)</f>
        <v>1497063</v>
      </c>
      <c r="O28" s="46">
        <f t="shared" si="2"/>
        <v>1.1728700025853762</v>
      </c>
      <c r="P28" s="9"/>
    </row>
    <row r="29" spans="1:16">
      <c r="A29" s="11"/>
      <c r="B29" s="24">
        <v>331.49</v>
      </c>
      <c r="C29" s="19" t="s">
        <v>36</v>
      </c>
      <c r="D29" s="45">
        <v>0</v>
      </c>
      <c r="E29" s="45">
        <v>9922211</v>
      </c>
      <c r="F29" s="45">
        <v>0</v>
      </c>
      <c r="G29" s="45">
        <v>0</v>
      </c>
      <c r="H29" s="45">
        <v>0</v>
      </c>
      <c r="I29" s="45">
        <v>0</v>
      </c>
      <c r="J29" s="45">
        <v>0</v>
      </c>
      <c r="K29" s="45">
        <v>0</v>
      </c>
      <c r="L29" s="45">
        <v>0</v>
      </c>
      <c r="M29" s="45">
        <v>0</v>
      </c>
      <c r="N29" s="45">
        <f t="shared" si="6"/>
        <v>9922211</v>
      </c>
      <c r="O29" s="46">
        <f t="shared" si="2"/>
        <v>7.7735296652329584</v>
      </c>
      <c r="P29" s="9"/>
    </row>
    <row r="30" spans="1:16">
      <c r="A30" s="11"/>
      <c r="B30" s="24">
        <v>331.5</v>
      </c>
      <c r="C30" s="19" t="s">
        <v>31</v>
      </c>
      <c r="D30" s="45">
        <v>0</v>
      </c>
      <c r="E30" s="45">
        <v>17124877</v>
      </c>
      <c r="F30" s="45">
        <v>0</v>
      </c>
      <c r="G30" s="45">
        <v>960110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f t="shared" si="6"/>
        <v>18084987</v>
      </c>
      <c r="O30" s="46">
        <f t="shared" si="2"/>
        <v>14.168634686346863</v>
      </c>
      <c r="P30" s="9"/>
    </row>
    <row r="31" spans="1:16">
      <c r="A31" s="11"/>
      <c r="B31" s="24">
        <v>331.61</v>
      </c>
      <c r="C31" s="19" t="s">
        <v>37</v>
      </c>
      <c r="D31" s="45">
        <v>0</v>
      </c>
      <c r="E31" s="45">
        <v>3611002</v>
      </c>
      <c r="F31" s="45">
        <v>0</v>
      </c>
      <c r="G31" s="45">
        <v>0</v>
      </c>
      <c r="H31" s="45">
        <v>0</v>
      </c>
      <c r="I31" s="45">
        <v>0</v>
      </c>
      <c r="J31" s="45">
        <v>0</v>
      </c>
      <c r="K31" s="45">
        <v>0</v>
      </c>
      <c r="L31" s="45">
        <v>0</v>
      </c>
      <c r="M31" s="45">
        <v>0</v>
      </c>
      <c r="N31" s="45">
        <f t="shared" si="6"/>
        <v>3611002</v>
      </c>
      <c r="O31" s="46">
        <f t="shared" si="2"/>
        <v>2.8290298571775527</v>
      </c>
      <c r="P31" s="9"/>
    </row>
    <row r="32" spans="1:16">
      <c r="A32" s="11"/>
      <c r="B32" s="24">
        <v>331.65</v>
      </c>
      <c r="C32" s="19" t="s">
        <v>38</v>
      </c>
      <c r="D32" s="45">
        <v>1080756</v>
      </c>
      <c r="E32" s="45">
        <v>0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45">
        <f t="shared" si="6"/>
        <v>1080756</v>
      </c>
      <c r="O32" s="46">
        <f t="shared" si="2"/>
        <v>0.84671539709027666</v>
      </c>
      <c r="P32" s="9"/>
    </row>
    <row r="33" spans="1:16">
      <c r="A33" s="11"/>
      <c r="B33" s="24">
        <v>331.69</v>
      </c>
      <c r="C33" s="19" t="s">
        <v>39</v>
      </c>
      <c r="D33" s="45">
        <v>-1200</v>
      </c>
      <c r="E33" s="45">
        <v>46862412</v>
      </c>
      <c r="F33" s="45">
        <v>0</v>
      </c>
      <c r="G33" s="45">
        <v>0</v>
      </c>
      <c r="H33" s="45">
        <v>0</v>
      </c>
      <c r="I33" s="45">
        <v>0</v>
      </c>
      <c r="J33" s="45">
        <v>0</v>
      </c>
      <c r="K33" s="45">
        <v>0</v>
      </c>
      <c r="L33" s="45">
        <v>0</v>
      </c>
      <c r="M33" s="45">
        <v>0</v>
      </c>
      <c r="N33" s="45">
        <f t="shared" si="6"/>
        <v>46861212</v>
      </c>
      <c r="O33" s="46">
        <f t="shared" si="2"/>
        <v>36.713291183867256</v>
      </c>
      <c r="P33" s="9"/>
    </row>
    <row r="34" spans="1:16">
      <c r="A34" s="11"/>
      <c r="B34" s="24">
        <v>331.7</v>
      </c>
      <c r="C34" s="19" t="s">
        <v>169</v>
      </c>
      <c r="D34" s="45">
        <v>0</v>
      </c>
      <c r="E34" s="45">
        <v>17000</v>
      </c>
      <c r="F34" s="45">
        <v>0</v>
      </c>
      <c r="G34" s="45">
        <v>0</v>
      </c>
      <c r="H34" s="45">
        <v>0</v>
      </c>
      <c r="I34" s="45">
        <v>0</v>
      </c>
      <c r="J34" s="45">
        <v>0</v>
      </c>
      <c r="K34" s="45">
        <v>0</v>
      </c>
      <c r="L34" s="45">
        <v>0</v>
      </c>
      <c r="M34" s="45">
        <v>0</v>
      </c>
      <c r="N34" s="45">
        <f t="shared" si="6"/>
        <v>17000</v>
      </c>
      <c r="O34" s="46">
        <f t="shared" si="2"/>
        <v>1.3318604523624855E-2</v>
      </c>
      <c r="P34" s="9"/>
    </row>
    <row r="35" spans="1:16">
      <c r="A35" s="11"/>
      <c r="B35" s="24">
        <v>331.82</v>
      </c>
      <c r="C35" s="19" t="s">
        <v>181</v>
      </c>
      <c r="D35" s="45">
        <v>0</v>
      </c>
      <c r="E35" s="45">
        <v>487945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f t="shared" si="6"/>
        <v>487945</v>
      </c>
      <c r="O35" s="46">
        <f t="shared" si="2"/>
        <v>0.38227920495765466</v>
      </c>
      <c r="P35" s="9"/>
    </row>
    <row r="36" spans="1:16">
      <c r="A36" s="11"/>
      <c r="B36" s="24">
        <v>333</v>
      </c>
      <c r="C36" s="19" t="s">
        <v>4</v>
      </c>
      <c r="D36" s="45">
        <v>790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f t="shared" si="6"/>
        <v>790</v>
      </c>
      <c r="O36" s="46">
        <f t="shared" si="2"/>
        <v>6.1892338668609618E-4</v>
      </c>
      <c r="P36" s="9"/>
    </row>
    <row r="37" spans="1:16">
      <c r="A37" s="11"/>
      <c r="B37" s="24">
        <v>334.2</v>
      </c>
      <c r="C37" s="19" t="s">
        <v>33</v>
      </c>
      <c r="D37" s="45">
        <v>466373</v>
      </c>
      <c r="E37" s="45">
        <v>31832</v>
      </c>
      <c r="F37" s="45">
        <v>0</v>
      </c>
      <c r="G37" s="45">
        <v>0</v>
      </c>
      <c r="H37" s="45">
        <v>0</v>
      </c>
      <c r="I37" s="45">
        <v>0</v>
      </c>
      <c r="J37" s="45">
        <v>0</v>
      </c>
      <c r="K37" s="45">
        <v>0</v>
      </c>
      <c r="L37" s="45">
        <v>0</v>
      </c>
      <c r="M37" s="45">
        <v>0</v>
      </c>
      <c r="N37" s="45">
        <f t="shared" si="6"/>
        <v>498205</v>
      </c>
      <c r="O37" s="46">
        <f t="shared" ref="O37:O68" si="7">(N37/O$142)</f>
        <v>0.39031737451132476</v>
      </c>
      <c r="P37" s="9"/>
    </row>
    <row r="38" spans="1:16">
      <c r="A38" s="11"/>
      <c r="B38" s="24">
        <v>334.39</v>
      </c>
      <c r="C38" s="19" t="s">
        <v>40</v>
      </c>
      <c r="D38" s="45">
        <v>0</v>
      </c>
      <c r="E38" s="45">
        <v>3997601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5">
        <v>0</v>
      </c>
      <c r="L38" s="45">
        <v>0</v>
      </c>
      <c r="M38" s="45">
        <v>0</v>
      </c>
      <c r="N38" s="45">
        <f t="shared" ref="N38:N62" si="8">SUM(D38:M38)</f>
        <v>3997601</v>
      </c>
      <c r="O38" s="46">
        <f t="shared" si="7"/>
        <v>3.1319098095439553</v>
      </c>
      <c r="P38" s="9"/>
    </row>
    <row r="39" spans="1:16">
      <c r="A39" s="11"/>
      <c r="B39" s="24">
        <v>334.49</v>
      </c>
      <c r="C39" s="19" t="s">
        <v>41</v>
      </c>
      <c r="D39" s="45">
        <v>0</v>
      </c>
      <c r="E39" s="45">
        <v>557879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f t="shared" si="8"/>
        <v>557879</v>
      </c>
      <c r="O39" s="46">
        <f t="shared" si="7"/>
        <v>0.43706881017854765</v>
      </c>
      <c r="P39" s="9"/>
    </row>
    <row r="40" spans="1:16">
      <c r="A40" s="11"/>
      <c r="B40" s="24">
        <v>334.5</v>
      </c>
      <c r="C40" s="19" t="s">
        <v>42</v>
      </c>
      <c r="D40" s="45">
        <v>0</v>
      </c>
      <c r="E40" s="45">
        <v>5835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5">
        <v>0</v>
      </c>
      <c r="L40" s="45">
        <v>0</v>
      </c>
      <c r="M40" s="45">
        <v>0</v>
      </c>
      <c r="N40" s="45">
        <f t="shared" si="8"/>
        <v>5835</v>
      </c>
      <c r="O40" s="46">
        <f t="shared" si="7"/>
        <v>4.5714151409030016E-3</v>
      </c>
      <c r="P40" s="9"/>
    </row>
    <row r="41" spans="1:16">
      <c r="A41" s="11"/>
      <c r="B41" s="24">
        <v>334.61</v>
      </c>
      <c r="C41" s="19" t="s">
        <v>43</v>
      </c>
      <c r="D41" s="45">
        <v>0</v>
      </c>
      <c r="E41" s="45">
        <v>282530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f t="shared" si="8"/>
        <v>282530</v>
      </c>
      <c r="O41" s="46">
        <f t="shared" si="7"/>
        <v>0.22134737270939589</v>
      </c>
      <c r="P41" s="9"/>
    </row>
    <row r="42" spans="1:16">
      <c r="A42" s="11"/>
      <c r="B42" s="24">
        <v>334.69</v>
      </c>
      <c r="C42" s="19" t="s">
        <v>44</v>
      </c>
      <c r="D42" s="45">
        <v>0</v>
      </c>
      <c r="E42" s="45">
        <v>3595244</v>
      </c>
      <c r="F42" s="45">
        <v>0</v>
      </c>
      <c r="G42" s="45">
        <v>0</v>
      </c>
      <c r="H42" s="45">
        <v>0</v>
      </c>
      <c r="I42" s="45">
        <v>0</v>
      </c>
      <c r="J42" s="45">
        <v>0</v>
      </c>
      <c r="K42" s="45">
        <v>0</v>
      </c>
      <c r="L42" s="45">
        <v>0</v>
      </c>
      <c r="M42" s="45">
        <v>0</v>
      </c>
      <c r="N42" s="45">
        <f t="shared" si="8"/>
        <v>3595244</v>
      </c>
      <c r="O42" s="46">
        <f t="shared" si="7"/>
        <v>2.8166842942314774</v>
      </c>
      <c r="P42" s="9"/>
    </row>
    <row r="43" spans="1:16">
      <c r="A43" s="11"/>
      <c r="B43" s="24">
        <v>334.7</v>
      </c>
      <c r="C43" s="19" t="s">
        <v>45</v>
      </c>
      <c r="D43" s="45">
        <v>0</v>
      </c>
      <c r="E43" s="45">
        <v>1084947</v>
      </c>
      <c r="F43" s="45">
        <v>0</v>
      </c>
      <c r="G43" s="45">
        <v>0</v>
      </c>
      <c r="H43" s="45">
        <v>0</v>
      </c>
      <c r="I43" s="45">
        <v>0</v>
      </c>
      <c r="J43" s="45">
        <v>0</v>
      </c>
      <c r="K43" s="45">
        <v>0</v>
      </c>
      <c r="L43" s="45">
        <v>0</v>
      </c>
      <c r="M43" s="45">
        <v>0</v>
      </c>
      <c r="N43" s="45">
        <f t="shared" si="8"/>
        <v>1084947</v>
      </c>
      <c r="O43" s="46">
        <f t="shared" si="7"/>
        <v>0.84999882482901257</v>
      </c>
      <c r="P43" s="9"/>
    </row>
    <row r="44" spans="1:16">
      <c r="A44" s="11"/>
      <c r="B44" s="24">
        <v>334.89</v>
      </c>
      <c r="C44" s="19" t="s">
        <v>46</v>
      </c>
      <c r="D44" s="45">
        <v>0</v>
      </c>
      <c r="E44" s="45">
        <v>551341</v>
      </c>
      <c r="F44" s="45">
        <v>0</v>
      </c>
      <c r="G44" s="45">
        <v>0</v>
      </c>
      <c r="H44" s="45">
        <v>0</v>
      </c>
      <c r="I44" s="45">
        <v>0</v>
      </c>
      <c r="J44" s="45">
        <v>0</v>
      </c>
      <c r="K44" s="45">
        <v>0</v>
      </c>
      <c r="L44" s="45">
        <v>0</v>
      </c>
      <c r="M44" s="45">
        <v>0</v>
      </c>
      <c r="N44" s="45">
        <f t="shared" si="8"/>
        <v>551341</v>
      </c>
      <c r="O44" s="46">
        <f t="shared" si="7"/>
        <v>0.43194663156822649</v>
      </c>
      <c r="P44" s="9"/>
    </row>
    <row r="45" spans="1:16">
      <c r="A45" s="11"/>
      <c r="B45" s="24">
        <v>334.9</v>
      </c>
      <c r="C45" s="19" t="s">
        <v>47</v>
      </c>
      <c r="D45" s="45">
        <v>113964</v>
      </c>
      <c r="E45" s="45">
        <v>1752923</v>
      </c>
      <c r="F45" s="45">
        <v>0</v>
      </c>
      <c r="G45" s="45">
        <v>0</v>
      </c>
      <c r="H45" s="45">
        <v>0</v>
      </c>
      <c r="I45" s="45">
        <v>0</v>
      </c>
      <c r="J45" s="45">
        <v>0</v>
      </c>
      <c r="K45" s="45">
        <v>0</v>
      </c>
      <c r="L45" s="45">
        <v>0</v>
      </c>
      <c r="M45" s="45">
        <v>0</v>
      </c>
      <c r="N45" s="45">
        <f t="shared" si="8"/>
        <v>1866887</v>
      </c>
      <c r="O45" s="46">
        <f t="shared" si="7"/>
        <v>1.4626076260762608</v>
      </c>
      <c r="P45" s="9"/>
    </row>
    <row r="46" spans="1:16">
      <c r="A46" s="11"/>
      <c r="B46" s="24">
        <v>335.12</v>
      </c>
      <c r="C46" s="19" t="s">
        <v>204</v>
      </c>
      <c r="D46" s="45">
        <v>20861730</v>
      </c>
      <c r="E46" s="45">
        <v>6752474</v>
      </c>
      <c r="F46" s="45">
        <v>0</v>
      </c>
      <c r="G46" s="45">
        <v>0</v>
      </c>
      <c r="H46" s="45">
        <v>0</v>
      </c>
      <c r="I46" s="45">
        <v>0</v>
      </c>
      <c r="J46" s="45">
        <v>0</v>
      </c>
      <c r="K46" s="45">
        <v>0</v>
      </c>
      <c r="L46" s="45">
        <v>0</v>
      </c>
      <c r="M46" s="45">
        <v>0</v>
      </c>
      <c r="N46" s="45">
        <f t="shared" si="8"/>
        <v>27614204</v>
      </c>
      <c r="O46" s="46">
        <f t="shared" si="7"/>
        <v>21.63427425357056</v>
      </c>
      <c r="P46" s="9"/>
    </row>
    <row r="47" spans="1:16">
      <c r="A47" s="11"/>
      <c r="B47" s="24">
        <v>335.13</v>
      </c>
      <c r="C47" s="19" t="s">
        <v>205</v>
      </c>
      <c r="D47" s="45">
        <v>318474</v>
      </c>
      <c r="E47" s="45">
        <v>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f t="shared" si="8"/>
        <v>318474</v>
      </c>
      <c r="O47" s="46">
        <f t="shared" si="7"/>
        <v>0.24950760335628833</v>
      </c>
      <c r="P47" s="9"/>
    </row>
    <row r="48" spans="1:16">
      <c r="A48" s="11"/>
      <c r="B48" s="24">
        <v>335.14</v>
      </c>
      <c r="C48" s="19" t="s">
        <v>206</v>
      </c>
      <c r="D48" s="45">
        <v>392768</v>
      </c>
      <c r="E48" s="45">
        <v>0</v>
      </c>
      <c r="F48" s="45">
        <v>0</v>
      </c>
      <c r="G48" s="45">
        <v>0</v>
      </c>
      <c r="H48" s="45">
        <v>0</v>
      </c>
      <c r="I48" s="45">
        <v>0</v>
      </c>
      <c r="J48" s="45">
        <v>0</v>
      </c>
      <c r="K48" s="45">
        <v>0</v>
      </c>
      <c r="L48" s="45">
        <v>0</v>
      </c>
      <c r="M48" s="45">
        <v>0</v>
      </c>
      <c r="N48" s="45">
        <f t="shared" si="8"/>
        <v>392768</v>
      </c>
      <c r="O48" s="46">
        <f t="shared" si="7"/>
        <v>0.30771303891382862</v>
      </c>
      <c r="P48" s="9"/>
    </row>
    <row r="49" spans="1:16">
      <c r="A49" s="11"/>
      <c r="B49" s="24">
        <v>335.15</v>
      </c>
      <c r="C49" s="19" t="s">
        <v>207</v>
      </c>
      <c r="D49" s="45">
        <v>416935</v>
      </c>
      <c r="E49" s="45">
        <v>0</v>
      </c>
      <c r="F49" s="45">
        <v>0</v>
      </c>
      <c r="G49" s="45">
        <v>0</v>
      </c>
      <c r="H49" s="45">
        <v>0</v>
      </c>
      <c r="I49" s="45">
        <v>0</v>
      </c>
      <c r="J49" s="45">
        <v>0</v>
      </c>
      <c r="K49" s="45">
        <v>0</v>
      </c>
      <c r="L49" s="45">
        <v>0</v>
      </c>
      <c r="M49" s="45">
        <v>0</v>
      </c>
      <c r="N49" s="45">
        <f t="shared" si="8"/>
        <v>416935</v>
      </c>
      <c r="O49" s="46">
        <f t="shared" si="7"/>
        <v>0.32664661041514875</v>
      </c>
      <c r="P49" s="9"/>
    </row>
    <row r="50" spans="1:16">
      <c r="A50" s="11"/>
      <c r="B50" s="24">
        <v>335.16</v>
      </c>
      <c r="C50" s="19" t="s">
        <v>208</v>
      </c>
      <c r="D50" s="45">
        <v>2313066</v>
      </c>
      <c r="E50" s="45">
        <v>0</v>
      </c>
      <c r="F50" s="45">
        <v>0</v>
      </c>
      <c r="G50" s="45">
        <v>0</v>
      </c>
      <c r="H50" s="45">
        <v>0</v>
      </c>
      <c r="I50" s="45">
        <v>0</v>
      </c>
      <c r="J50" s="45">
        <v>0</v>
      </c>
      <c r="K50" s="45">
        <v>0</v>
      </c>
      <c r="L50" s="45">
        <v>0</v>
      </c>
      <c r="M50" s="45">
        <v>0</v>
      </c>
      <c r="N50" s="45">
        <f t="shared" si="8"/>
        <v>2313066</v>
      </c>
      <c r="O50" s="46">
        <f t="shared" si="7"/>
        <v>1.8121653700613438</v>
      </c>
      <c r="P50" s="9"/>
    </row>
    <row r="51" spans="1:16">
      <c r="A51" s="11"/>
      <c r="B51" s="24">
        <v>335.17</v>
      </c>
      <c r="C51" s="19" t="s">
        <v>209</v>
      </c>
      <c r="D51" s="45">
        <v>83354</v>
      </c>
      <c r="E51" s="45">
        <v>0</v>
      </c>
      <c r="F51" s="45">
        <v>0</v>
      </c>
      <c r="G51" s="45">
        <v>0</v>
      </c>
      <c r="H51" s="45">
        <v>0</v>
      </c>
      <c r="I51" s="45">
        <v>0</v>
      </c>
      <c r="J51" s="45">
        <v>0</v>
      </c>
      <c r="K51" s="45">
        <v>0</v>
      </c>
      <c r="L51" s="45">
        <v>0</v>
      </c>
      <c r="M51" s="45">
        <v>0</v>
      </c>
      <c r="N51" s="45">
        <f t="shared" si="8"/>
        <v>83354</v>
      </c>
      <c r="O51" s="46">
        <f t="shared" si="7"/>
        <v>6.5303468321307415E-2</v>
      </c>
      <c r="P51" s="9"/>
    </row>
    <row r="52" spans="1:16">
      <c r="A52" s="11"/>
      <c r="B52" s="24">
        <v>335.18</v>
      </c>
      <c r="C52" s="19" t="s">
        <v>210</v>
      </c>
      <c r="D52" s="45">
        <v>0</v>
      </c>
      <c r="E52" s="45">
        <v>84497151</v>
      </c>
      <c r="F52" s="45">
        <v>0</v>
      </c>
      <c r="G52" s="45">
        <v>0</v>
      </c>
      <c r="H52" s="45">
        <v>0</v>
      </c>
      <c r="I52" s="45">
        <v>0</v>
      </c>
      <c r="J52" s="45">
        <v>0</v>
      </c>
      <c r="K52" s="45">
        <v>0</v>
      </c>
      <c r="L52" s="45">
        <v>0</v>
      </c>
      <c r="M52" s="45">
        <v>0</v>
      </c>
      <c r="N52" s="45">
        <f t="shared" si="8"/>
        <v>84497151</v>
      </c>
      <c r="O52" s="46">
        <f t="shared" si="7"/>
        <v>66.199066914236028</v>
      </c>
      <c r="P52" s="9"/>
    </row>
    <row r="53" spans="1:16">
      <c r="A53" s="11"/>
      <c r="B53" s="24">
        <v>335.21</v>
      </c>
      <c r="C53" s="19" t="s">
        <v>55</v>
      </c>
      <c r="D53" s="45">
        <v>221567</v>
      </c>
      <c r="E53" s="45">
        <v>0</v>
      </c>
      <c r="F53" s="45">
        <v>0</v>
      </c>
      <c r="G53" s="45">
        <v>0</v>
      </c>
      <c r="H53" s="45">
        <v>0</v>
      </c>
      <c r="I53" s="45">
        <v>0</v>
      </c>
      <c r="J53" s="45">
        <v>0</v>
      </c>
      <c r="K53" s="45">
        <v>0</v>
      </c>
      <c r="L53" s="45">
        <v>0</v>
      </c>
      <c r="M53" s="45">
        <v>0</v>
      </c>
      <c r="N53" s="45">
        <f t="shared" si="8"/>
        <v>221567</v>
      </c>
      <c r="O53" s="46">
        <f t="shared" si="7"/>
        <v>0.17358607344035223</v>
      </c>
      <c r="P53" s="9"/>
    </row>
    <row r="54" spans="1:16">
      <c r="A54" s="11"/>
      <c r="B54" s="24">
        <v>335.22</v>
      </c>
      <c r="C54" s="19" t="s">
        <v>56</v>
      </c>
      <c r="D54" s="45">
        <v>0</v>
      </c>
      <c r="E54" s="45">
        <v>6594001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f t="shared" si="8"/>
        <v>6594001</v>
      </c>
      <c r="O54" s="46">
        <f t="shared" si="7"/>
        <v>5.1660524439639302</v>
      </c>
      <c r="P54" s="9"/>
    </row>
    <row r="55" spans="1:16">
      <c r="A55" s="11"/>
      <c r="B55" s="24">
        <v>335.23</v>
      </c>
      <c r="C55" s="19" t="s">
        <v>171</v>
      </c>
      <c r="D55" s="45">
        <v>0</v>
      </c>
      <c r="E55" s="45">
        <v>97409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f t="shared" si="8"/>
        <v>97409</v>
      </c>
      <c r="O55" s="46">
        <f t="shared" si="7"/>
        <v>7.6314820473045497E-2</v>
      </c>
      <c r="P55" s="9"/>
    </row>
    <row r="56" spans="1:16">
      <c r="A56" s="11"/>
      <c r="B56" s="24">
        <v>335.29</v>
      </c>
      <c r="C56" s="19" t="s">
        <v>57</v>
      </c>
      <c r="D56" s="45">
        <v>19560</v>
      </c>
      <c r="E56" s="45">
        <v>0</v>
      </c>
      <c r="F56" s="45">
        <v>0</v>
      </c>
      <c r="G56" s="45">
        <v>0</v>
      </c>
      <c r="H56" s="45">
        <v>0</v>
      </c>
      <c r="I56" s="45">
        <v>0</v>
      </c>
      <c r="J56" s="45">
        <v>0</v>
      </c>
      <c r="K56" s="45">
        <v>0</v>
      </c>
      <c r="L56" s="45">
        <v>0</v>
      </c>
      <c r="M56" s="45">
        <v>0</v>
      </c>
      <c r="N56" s="45">
        <f t="shared" si="8"/>
        <v>19560</v>
      </c>
      <c r="O56" s="46">
        <f t="shared" si="7"/>
        <v>1.5324229675417774E-2</v>
      </c>
      <c r="P56" s="9"/>
    </row>
    <row r="57" spans="1:16">
      <c r="A57" s="11"/>
      <c r="B57" s="24">
        <v>335.39</v>
      </c>
      <c r="C57" s="19" t="s">
        <v>58</v>
      </c>
      <c r="D57" s="45">
        <v>0</v>
      </c>
      <c r="E57" s="45">
        <v>995249</v>
      </c>
      <c r="F57" s="45">
        <v>0</v>
      </c>
      <c r="G57" s="45">
        <v>0</v>
      </c>
      <c r="H57" s="45">
        <v>0</v>
      </c>
      <c r="I57" s="45">
        <v>0</v>
      </c>
      <c r="J57" s="45">
        <v>0</v>
      </c>
      <c r="K57" s="45">
        <v>0</v>
      </c>
      <c r="L57" s="45">
        <v>0</v>
      </c>
      <c r="M57" s="45">
        <v>0</v>
      </c>
      <c r="N57" s="45">
        <f t="shared" si="8"/>
        <v>995249</v>
      </c>
      <c r="O57" s="46">
        <f t="shared" si="7"/>
        <v>0.7797251666784184</v>
      </c>
      <c r="P57" s="9"/>
    </row>
    <row r="58" spans="1:16">
      <c r="A58" s="11"/>
      <c r="B58" s="24">
        <v>335.49</v>
      </c>
      <c r="C58" s="19" t="s">
        <v>59</v>
      </c>
      <c r="D58" s="45">
        <v>0</v>
      </c>
      <c r="E58" s="45">
        <v>16010357</v>
      </c>
      <c r="F58" s="45">
        <v>0</v>
      </c>
      <c r="G58" s="45">
        <v>0</v>
      </c>
      <c r="H58" s="45">
        <v>0</v>
      </c>
      <c r="I58" s="45">
        <v>0</v>
      </c>
      <c r="J58" s="45">
        <v>0</v>
      </c>
      <c r="K58" s="45">
        <v>0</v>
      </c>
      <c r="L58" s="45">
        <v>0</v>
      </c>
      <c r="M58" s="45">
        <v>0</v>
      </c>
      <c r="N58" s="45">
        <f t="shared" si="8"/>
        <v>16010357</v>
      </c>
      <c r="O58" s="46">
        <f t="shared" si="7"/>
        <v>12.543271362649932</v>
      </c>
      <c r="P58" s="9"/>
    </row>
    <row r="59" spans="1:16">
      <c r="A59" s="11"/>
      <c r="B59" s="24">
        <v>335.5</v>
      </c>
      <c r="C59" s="19" t="s">
        <v>60</v>
      </c>
      <c r="D59" s="45">
        <v>0</v>
      </c>
      <c r="E59" s="45">
        <v>1682370</v>
      </c>
      <c r="F59" s="45">
        <v>0</v>
      </c>
      <c r="G59" s="45">
        <v>0</v>
      </c>
      <c r="H59" s="45">
        <v>0</v>
      </c>
      <c r="I59" s="45">
        <v>0</v>
      </c>
      <c r="J59" s="45">
        <v>0</v>
      </c>
      <c r="K59" s="45">
        <v>0</v>
      </c>
      <c r="L59" s="45">
        <v>0</v>
      </c>
      <c r="M59" s="45">
        <v>0</v>
      </c>
      <c r="N59" s="45">
        <f t="shared" si="8"/>
        <v>1682370</v>
      </c>
      <c r="O59" s="46">
        <f t="shared" si="7"/>
        <v>1.3180482760241614</v>
      </c>
      <c r="P59" s="9"/>
    </row>
    <row r="60" spans="1:16">
      <c r="A60" s="11"/>
      <c r="B60" s="24">
        <v>335.69</v>
      </c>
      <c r="C60" s="19" t="s">
        <v>61</v>
      </c>
      <c r="D60" s="45">
        <v>0</v>
      </c>
      <c r="E60" s="45">
        <v>0</v>
      </c>
      <c r="F60" s="45">
        <v>0</v>
      </c>
      <c r="G60" s="45">
        <v>0</v>
      </c>
      <c r="H60" s="45">
        <v>0</v>
      </c>
      <c r="I60" s="45">
        <v>0</v>
      </c>
      <c r="J60" s="45">
        <v>309000</v>
      </c>
      <c r="K60" s="45">
        <v>0</v>
      </c>
      <c r="L60" s="45">
        <v>0</v>
      </c>
      <c r="M60" s="45">
        <v>0</v>
      </c>
      <c r="N60" s="45">
        <f t="shared" si="8"/>
        <v>309000</v>
      </c>
      <c r="O60" s="46">
        <f t="shared" si="7"/>
        <v>0.24208522340000471</v>
      </c>
      <c r="P60" s="9"/>
    </row>
    <row r="61" spans="1:16">
      <c r="A61" s="11"/>
      <c r="B61" s="24">
        <v>335.7</v>
      </c>
      <c r="C61" s="19" t="s">
        <v>62</v>
      </c>
      <c r="D61" s="45">
        <v>0</v>
      </c>
      <c r="E61" s="45">
        <v>3318337</v>
      </c>
      <c r="F61" s="45">
        <v>0</v>
      </c>
      <c r="G61" s="45">
        <v>0</v>
      </c>
      <c r="H61" s="45">
        <v>0</v>
      </c>
      <c r="I61" s="45">
        <v>0</v>
      </c>
      <c r="J61" s="45">
        <v>0</v>
      </c>
      <c r="K61" s="45">
        <v>0</v>
      </c>
      <c r="L61" s="45">
        <v>0</v>
      </c>
      <c r="M61" s="45">
        <v>0</v>
      </c>
      <c r="N61" s="45">
        <f t="shared" si="8"/>
        <v>3318337</v>
      </c>
      <c r="O61" s="46">
        <f t="shared" si="7"/>
        <v>2.5997422458301016</v>
      </c>
      <c r="P61" s="9"/>
    </row>
    <row r="62" spans="1:16">
      <c r="A62" s="11"/>
      <c r="B62" s="24">
        <v>335.8</v>
      </c>
      <c r="C62" s="19" t="s">
        <v>63</v>
      </c>
      <c r="D62" s="45">
        <v>0</v>
      </c>
      <c r="E62" s="45">
        <v>21804622</v>
      </c>
      <c r="F62" s="45">
        <v>0</v>
      </c>
      <c r="G62" s="45">
        <v>0</v>
      </c>
      <c r="H62" s="45">
        <v>0</v>
      </c>
      <c r="I62" s="45">
        <v>0</v>
      </c>
      <c r="J62" s="45">
        <v>0</v>
      </c>
      <c r="K62" s="45">
        <v>0</v>
      </c>
      <c r="L62" s="45">
        <v>0</v>
      </c>
      <c r="M62" s="45">
        <v>0</v>
      </c>
      <c r="N62" s="45">
        <f t="shared" si="8"/>
        <v>21804622</v>
      </c>
      <c r="O62" s="46">
        <f t="shared" si="7"/>
        <v>17.082772776772355</v>
      </c>
      <c r="P62" s="9"/>
    </row>
    <row r="63" spans="1:16">
      <c r="A63" s="11"/>
      <c r="B63" s="24">
        <v>337.1</v>
      </c>
      <c r="C63" s="19" t="s">
        <v>64</v>
      </c>
      <c r="D63" s="45">
        <v>0</v>
      </c>
      <c r="E63" s="45">
        <v>14668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0</v>
      </c>
      <c r="N63" s="45">
        <f t="shared" ref="N63:N71" si="9">SUM(D63:M63)</f>
        <v>14668</v>
      </c>
      <c r="O63" s="46">
        <f t="shared" si="7"/>
        <v>1.1491605361913492E-2</v>
      </c>
      <c r="P63" s="9"/>
    </row>
    <row r="64" spans="1:16">
      <c r="A64" s="11"/>
      <c r="B64" s="24">
        <v>337.2</v>
      </c>
      <c r="C64" s="19" t="s">
        <v>65</v>
      </c>
      <c r="D64" s="45">
        <v>0</v>
      </c>
      <c r="E64" s="45">
        <v>285220</v>
      </c>
      <c r="F64" s="45">
        <v>0</v>
      </c>
      <c r="G64" s="45">
        <v>0</v>
      </c>
      <c r="H64" s="45">
        <v>0</v>
      </c>
      <c r="I64" s="45">
        <v>0</v>
      </c>
      <c r="J64" s="45">
        <v>0</v>
      </c>
      <c r="K64" s="45">
        <v>0</v>
      </c>
      <c r="L64" s="45">
        <v>0</v>
      </c>
      <c r="M64" s="45">
        <v>0</v>
      </c>
      <c r="N64" s="45">
        <f t="shared" si="9"/>
        <v>285220</v>
      </c>
      <c r="O64" s="46">
        <f t="shared" si="7"/>
        <v>0.2234548460134283</v>
      </c>
      <c r="P64" s="9"/>
    </row>
    <row r="65" spans="1:16">
      <c r="A65" s="11"/>
      <c r="B65" s="24">
        <v>337.3</v>
      </c>
      <c r="C65" s="19" t="s">
        <v>66</v>
      </c>
      <c r="D65" s="45">
        <v>0</v>
      </c>
      <c r="E65" s="45">
        <v>-4588</v>
      </c>
      <c r="F65" s="45">
        <v>0</v>
      </c>
      <c r="G65" s="45">
        <v>0</v>
      </c>
      <c r="H65" s="45">
        <v>0</v>
      </c>
      <c r="I65" s="45">
        <v>0</v>
      </c>
      <c r="J65" s="45">
        <v>0</v>
      </c>
      <c r="K65" s="45">
        <v>0</v>
      </c>
      <c r="L65" s="45">
        <v>0</v>
      </c>
      <c r="M65" s="45">
        <v>0</v>
      </c>
      <c r="N65" s="45">
        <f t="shared" si="9"/>
        <v>-4588</v>
      </c>
      <c r="O65" s="46">
        <f t="shared" si="7"/>
        <v>-3.5944563267288725E-3</v>
      </c>
      <c r="P65" s="9"/>
    </row>
    <row r="66" spans="1:16">
      <c r="A66" s="11"/>
      <c r="B66" s="24">
        <v>337.4</v>
      </c>
      <c r="C66" s="19" t="s">
        <v>172</v>
      </c>
      <c r="D66" s="45">
        <v>0</v>
      </c>
      <c r="E66" s="45">
        <v>55092</v>
      </c>
      <c r="F66" s="45">
        <v>0</v>
      </c>
      <c r="G66" s="45">
        <v>0</v>
      </c>
      <c r="H66" s="45">
        <v>0</v>
      </c>
      <c r="I66" s="45">
        <v>0</v>
      </c>
      <c r="J66" s="45">
        <v>0</v>
      </c>
      <c r="K66" s="45">
        <v>0</v>
      </c>
      <c r="L66" s="45">
        <v>0</v>
      </c>
      <c r="M66" s="45">
        <v>0</v>
      </c>
      <c r="N66" s="45">
        <f t="shared" si="9"/>
        <v>55092</v>
      </c>
      <c r="O66" s="46">
        <f t="shared" si="7"/>
        <v>4.3161680024443559E-2</v>
      </c>
      <c r="P66" s="9"/>
    </row>
    <row r="67" spans="1:16">
      <c r="A67" s="11"/>
      <c r="B67" s="24">
        <v>337.5</v>
      </c>
      <c r="C67" s="19" t="s">
        <v>67</v>
      </c>
      <c r="D67" s="45">
        <v>51920</v>
      </c>
      <c r="E67" s="45">
        <v>0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>
        <v>0</v>
      </c>
      <c r="N67" s="45">
        <f t="shared" si="9"/>
        <v>51920</v>
      </c>
      <c r="O67" s="46">
        <f t="shared" si="7"/>
        <v>4.0676585109800142E-2</v>
      </c>
      <c r="P67" s="9"/>
    </row>
    <row r="68" spans="1:16">
      <c r="A68" s="11"/>
      <c r="B68" s="24">
        <v>337.6</v>
      </c>
      <c r="C68" s="19" t="s">
        <v>211</v>
      </c>
      <c r="D68" s="45">
        <v>0</v>
      </c>
      <c r="E68" s="45">
        <v>406889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</v>
      </c>
      <c r="L68" s="45">
        <v>0</v>
      </c>
      <c r="M68" s="45">
        <v>0</v>
      </c>
      <c r="N68" s="45">
        <f t="shared" si="9"/>
        <v>406889</v>
      </c>
      <c r="O68" s="46">
        <f t="shared" si="7"/>
        <v>0.31877609858901135</v>
      </c>
      <c r="P68" s="9"/>
    </row>
    <row r="69" spans="1:16">
      <c r="A69" s="11"/>
      <c r="B69" s="24">
        <v>337.9</v>
      </c>
      <c r="C69" s="19" t="s">
        <v>69</v>
      </c>
      <c r="D69" s="45">
        <v>0</v>
      </c>
      <c r="E69" s="45">
        <v>93355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5">
        <v>0</v>
      </c>
      <c r="L69" s="45">
        <v>0</v>
      </c>
      <c r="M69" s="45">
        <v>0</v>
      </c>
      <c r="N69" s="45">
        <f t="shared" si="9"/>
        <v>93355</v>
      </c>
      <c r="O69" s="46">
        <f t="shared" ref="O69:O100" si="10">(N69/O$142)</f>
        <v>7.3138725017823425E-2</v>
      </c>
      <c r="P69" s="9"/>
    </row>
    <row r="70" spans="1:16" ht="15.75">
      <c r="A70" s="28" t="s">
        <v>75</v>
      </c>
      <c r="B70" s="29"/>
      <c r="C70" s="30"/>
      <c r="D70" s="31">
        <f t="shared" ref="D70:M70" si="11">SUM(D71:D110)</f>
        <v>100157353</v>
      </c>
      <c r="E70" s="31">
        <f t="shared" si="11"/>
        <v>32629521</v>
      </c>
      <c r="F70" s="31">
        <f t="shared" si="11"/>
        <v>380085</v>
      </c>
      <c r="G70" s="31">
        <f t="shared" si="11"/>
        <v>0</v>
      </c>
      <c r="H70" s="31">
        <f t="shared" si="11"/>
        <v>0</v>
      </c>
      <c r="I70" s="31">
        <f t="shared" si="11"/>
        <v>305941000</v>
      </c>
      <c r="J70" s="31">
        <f t="shared" si="11"/>
        <v>157077922</v>
      </c>
      <c r="K70" s="31">
        <f t="shared" si="11"/>
        <v>0</v>
      </c>
      <c r="L70" s="31">
        <f t="shared" si="11"/>
        <v>0</v>
      </c>
      <c r="M70" s="31">
        <f t="shared" si="11"/>
        <v>1909242</v>
      </c>
      <c r="N70" s="31">
        <f t="shared" si="9"/>
        <v>598095123</v>
      </c>
      <c r="O70" s="44">
        <f t="shared" si="10"/>
        <v>468.57602416151548</v>
      </c>
      <c r="P70" s="10"/>
    </row>
    <row r="71" spans="1:16">
      <c r="A71" s="11"/>
      <c r="B71" s="24">
        <v>341.1</v>
      </c>
      <c r="C71" s="19" t="s">
        <v>212</v>
      </c>
      <c r="D71" s="45">
        <v>5834399</v>
      </c>
      <c r="E71" s="45">
        <v>0</v>
      </c>
      <c r="F71" s="45">
        <v>0</v>
      </c>
      <c r="G71" s="45">
        <v>0</v>
      </c>
      <c r="H71" s="45">
        <v>0</v>
      </c>
      <c r="I71" s="45">
        <v>0</v>
      </c>
      <c r="J71" s="45">
        <v>0</v>
      </c>
      <c r="K71" s="45">
        <v>0</v>
      </c>
      <c r="L71" s="45">
        <v>0</v>
      </c>
      <c r="M71" s="45">
        <v>0</v>
      </c>
      <c r="N71" s="45">
        <f t="shared" si="9"/>
        <v>5834399</v>
      </c>
      <c r="O71" s="46">
        <f t="shared" si="10"/>
        <v>4.5709442890607246</v>
      </c>
      <c r="P71" s="9"/>
    </row>
    <row r="72" spans="1:16">
      <c r="A72" s="11"/>
      <c r="B72" s="24">
        <v>341.15</v>
      </c>
      <c r="C72" s="19" t="s">
        <v>213</v>
      </c>
      <c r="D72" s="45">
        <v>0</v>
      </c>
      <c r="E72" s="45">
        <v>2719392</v>
      </c>
      <c r="F72" s="45">
        <v>0</v>
      </c>
      <c r="G72" s="45">
        <v>0</v>
      </c>
      <c r="H72" s="45">
        <v>0</v>
      </c>
      <c r="I72" s="45">
        <v>0</v>
      </c>
      <c r="J72" s="45">
        <v>0</v>
      </c>
      <c r="K72" s="45">
        <v>0</v>
      </c>
      <c r="L72" s="45">
        <v>0</v>
      </c>
      <c r="M72" s="45">
        <v>0</v>
      </c>
      <c r="N72" s="45">
        <f t="shared" ref="N72:N110" si="12">SUM(D72:M72)</f>
        <v>2719392</v>
      </c>
      <c r="O72" s="46">
        <f t="shared" si="10"/>
        <v>2.1305003878064257</v>
      </c>
      <c r="P72" s="9"/>
    </row>
    <row r="73" spans="1:16">
      <c r="A73" s="11"/>
      <c r="B73" s="24">
        <v>341.16</v>
      </c>
      <c r="C73" s="19" t="s">
        <v>214</v>
      </c>
      <c r="D73" s="45">
        <v>0</v>
      </c>
      <c r="E73" s="45">
        <v>2147878</v>
      </c>
      <c r="F73" s="45">
        <v>0</v>
      </c>
      <c r="G73" s="45">
        <v>0</v>
      </c>
      <c r="H73" s="45">
        <v>0</v>
      </c>
      <c r="I73" s="45">
        <v>0</v>
      </c>
      <c r="J73" s="45">
        <v>0</v>
      </c>
      <c r="K73" s="45">
        <v>0</v>
      </c>
      <c r="L73" s="45">
        <v>0</v>
      </c>
      <c r="M73" s="45">
        <v>0</v>
      </c>
      <c r="N73" s="45">
        <f t="shared" si="12"/>
        <v>2147878</v>
      </c>
      <c r="O73" s="46">
        <f t="shared" si="10"/>
        <v>1.6827492733526062</v>
      </c>
      <c r="P73" s="9"/>
    </row>
    <row r="74" spans="1:16">
      <c r="A74" s="11"/>
      <c r="B74" s="24">
        <v>341.2</v>
      </c>
      <c r="C74" s="19" t="s">
        <v>215</v>
      </c>
      <c r="D74" s="45">
        <v>62</v>
      </c>
      <c r="E74" s="45">
        <v>0</v>
      </c>
      <c r="F74" s="45">
        <v>0</v>
      </c>
      <c r="G74" s="45">
        <v>0</v>
      </c>
      <c r="H74" s="45">
        <v>0</v>
      </c>
      <c r="I74" s="45">
        <v>0</v>
      </c>
      <c r="J74" s="45">
        <v>127137948</v>
      </c>
      <c r="K74" s="45">
        <v>0</v>
      </c>
      <c r="L74" s="45">
        <v>0</v>
      </c>
      <c r="M74" s="45">
        <v>0</v>
      </c>
      <c r="N74" s="45">
        <f t="shared" si="12"/>
        <v>127138010</v>
      </c>
      <c r="O74" s="46">
        <f t="shared" si="10"/>
        <v>99.605933830038936</v>
      </c>
      <c r="P74" s="9"/>
    </row>
    <row r="75" spans="1:16">
      <c r="A75" s="11"/>
      <c r="B75" s="24">
        <v>341.3</v>
      </c>
      <c r="C75" s="19" t="s">
        <v>216</v>
      </c>
      <c r="D75" s="45">
        <v>106380</v>
      </c>
      <c r="E75" s="45">
        <v>510</v>
      </c>
      <c r="F75" s="45">
        <v>0</v>
      </c>
      <c r="G75" s="45">
        <v>0</v>
      </c>
      <c r="H75" s="45">
        <v>0</v>
      </c>
      <c r="I75" s="45">
        <v>0</v>
      </c>
      <c r="J75" s="45">
        <v>0</v>
      </c>
      <c r="K75" s="45">
        <v>0</v>
      </c>
      <c r="L75" s="45">
        <v>0</v>
      </c>
      <c r="M75" s="45">
        <v>0</v>
      </c>
      <c r="N75" s="45">
        <f t="shared" si="12"/>
        <v>106890</v>
      </c>
      <c r="O75" s="46">
        <f t="shared" si="10"/>
        <v>8.3742684560603561E-2</v>
      </c>
      <c r="P75" s="9"/>
    </row>
    <row r="76" spans="1:16">
      <c r="A76" s="11"/>
      <c r="B76" s="24">
        <v>341.52</v>
      </c>
      <c r="C76" s="19" t="s">
        <v>217</v>
      </c>
      <c r="D76" s="45">
        <v>1846216</v>
      </c>
      <c r="E76" s="45">
        <v>125488</v>
      </c>
      <c r="F76" s="45">
        <v>0</v>
      </c>
      <c r="G76" s="45">
        <v>0</v>
      </c>
      <c r="H76" s="45">
        <v>0</v>
      </c>
      <c r="I76" s="45">
        <v>0</v>
      </c>
      <c r="J76" s="45">
        <v>0</v>
      </c>
      <c r="K76" s="45">
        <v>0</v>
      </c>
      <c r="L76" s="45">
        <v>0</v>
      </c>
      <c r="M76" s="45">
        <v>0</v>
      </c>
      <c r="N76" s="45">
        <f t="shared" si="12"/>
        <v>1971704</v>
      </c>
      <c r="O76" s="46">
        <f t="shared" si="10"/>
        <v>1.544726224332307</v>
      </c>
      <c r="P76" s="9"/>
    </row>
    <row r="77" spans="1:16">
      <c r="A77" s="11"/>
      <c r="B77" s="24">
        <v>341.55</v>
      </c>
      <c r="C77" s="19" t="s">
        <v>218</v>
      </c>
      <c r="D77" s="45">
        <v>2524</v>
      </c>
      <c r="E77" s="45">
        <v>0</v>
      </c>
      <c r="F77" s="45">
        <v>0</v>
      </c>
      <c r="G77" s="45">
        <v>0</v>
      </c>
      <c r="H77" s="45">
        <v>0</v>
      </c>
      <c r="I77" s="45">
        <v>0</v>
      </c>
      <c r="J77" s="45">
        <v>0</v>
      </c>
      <c r="K77" s="45">
        <v>0</v>
      </c>
      <c r="L77" s="45">
        <v>0</v>
      </c>
      <c r="M77" s="45">
        <v>0</v>
      </c>
      <c r="N77" s="45">
        <f t="shared" si="12"/>
        <v>2524</v>
      </c>
      <c r="O77" s="46">
        <f t="shared" si="10"/>
        <v>1.9774210480958312E-3</v>
      </c>
      <c r="P77" s="9"/>
    </row>
    <row r="78" spans="1:16">
      <c r="A78" s="11"/>
      <c r="B78" s="24">
        <v>341.8</v>
      </c>
      <c r="C78" s="19" t="s">
        <v>219</v>
      </c>
      <c r="D78" s="45">
        <v>971796</v>
      </c>
      <c r="E78" s="45">
        <v>0</v>
      </c>
      <c r="F78" s="45">
        <v>0</v>
      </c>
      <c r="G78" s="45">
        <v>0</v>
      </c>
      <c r="H78" s="45">
        <v>0</v>
      </c>
      <c r="I78" s="45">
        <v>0</v>
      </c>
      <c r="J78" s="45">
        <v>0</v>
      </c>
      <c r="K78" s="45">
        <v>0</v>
      </c>
      <c r="L78" s="45">
        <v>0</v>
      </c>
      <c r="M78" s="45">
        <v>0</v>
      </c>
      <c r="N78" s="45">
        <f t="shared" si="12"/>
        <v>971796</v>
      </c>
      <c r="O78" s="46">
        <f t="shared" si="10"/>
        <v>0.7613509765670905</v>
      </c>
      <c r="P78" s="9"/>
    </row>
    <row r="79" spans="1:16">
      <c r="A79" s="11"/>
      <c r="B79" s="24">
        <v>341.9</v>
      </c>
      <c r="C79" s="19" t="s">
        <v>220</v>
      </c>
      <c r="D79" s="45">
        <v>50120266</v>
      </c>
      <c r="E79" s="45">
        <v>1406763</v>
      </c>
      <c r="F79" s="45">
        <v>0</v>
      </c>
      <c r="G79" s="45">
        <v>0</v>
      </c>
      <c r="H79" s="45">
        <v>0</v>
      </c>
      <c r="I79" s="45">
        <v>0</v>
      </c>
      <c r="J79" s="45">
        <v>8180801</v>
      </c>
      <c r="K79" s="45">
        <v>0</v>
      </c>
      <c r="L79" s="45">
        <v>0</v>
      </c>
      <c r="M79" s="45">
        <v>607724</v>
      </c>
      <c r="N79" s="45">
        <f t="shared" si="12"/>
        <v>60315554</v>
      </c>
      <c r="O79" s="46">
        <f t="shared" si="10"/>
        <v>47.254059432314065</v>
      </c>
      <c r="P79" s="9"/>
    </row>
    <row r="80" spans="1:16">
      <c r="A80" s="11"/>
      <c r="B80" s="24">
        <v>342.1</v>
      </c>
      <c r="C80" s="19" t="s">
        <v>87</v>
      </c>
      <c r="D80" s="45">
        <v>4031862</v>
      </c>
      <c r="E80" s="45">
        <v>7123409</v>
      </c>
      <c r="F80" s="45">
        <v>0</v>
      </c>
      <c r="G80" s="45">
        <v>0</v>
      </c>
      <c r="H80" s="45">
        <v>0</v>
      </c>
      <c r="I80" s="45">
        <v>0</v>
      </c>
      <c r="J80" s="45">
        <v>0</v>
      </c>
      <c r="K80" s="45">
        <v>0</v>
      </c>
      <c r="L80" s="45">
        <v>0</v>
      </c>
      <c r="M80" s="45">
        <v>0</v>
      </c>
      <c r="N80" s="45">
        <f t="shared" si="12"/>
        <v>11155271</v>
      </c>
      <c r="O80" s="46">
        <f t="shared" si="10"/>
        <v>8.7395672236977155</v>
      </c>
      <c r="P80" s="9"/>
    </row>
    <row r="81" spans="1:16">
      <c r="A81" s="11"/>
      <c r="B81" s="24">
        <v>342.2</v>
      </c>
      <c r="C81" s="19" t="s">
        <v>88</v>
      </c>
      <c r="D81" s="45">
        <v>1017399</v>
      </c>
      <c r="E81" s="45">
        <v>0</v>
      </c>
      <c r="F81" s="45">
        <v>0</v>
      </c>
      <c r="G81" s="45">
        <v>0</v>
      </c>
      <c r="H81" s="45">
        <v>0</v>
      </c>
      <c r="I81" s="45">
        <v>0</v>
      </c>
      <c r="J81" s="45">
        <v>0</v>
      </c>
      <c r="K81" s="45">
        <v>0</v>
      </c>
      <c r="L81" s="45">
        <v>0</v>
      </c>
      <c r="M81" s="45">
        <v>0</v>
      </c>
      <c r="N81" s="45">
        <f t="shared" si="12"/>
        <v>1017399</v>
      </c>
      <c r="O81" s="46">
        <f t="shared" si="10"/>
        <v>0.79707852492537667</v>
      </c>
      <c r="P81" s="9"/>
    </row>
    <row r="82" spans="1:16">
      <c r="A82" s="11"/>
      <c r="B82" s="24">
        <v>342.3</v>
      </c>
      <c r="C82" s="19" t="s">
        <v>89</v>
      </c>
      <c r="D82" s="45">
        <v>275852</v>
      </c>
      <c r="E82" s="45">
        <v>2684665</v>
      </c>
      <c r="F82" s="45">
        <v>0</v>
      </c>
      <c r="G82" s="45">
        <v>0</v>
      </c>
      <c r="H82" s="45">
        <v>0</v>
      </c>
      <c r="I82" s="45">
        <v>0</v>
      </c>
      <c r="J82" s="45">
        <v>0</v>
      </c>
      <c r="K82" s="45">
        <v>0</v>
      </c>
      <c r="L82" s="45">
        <v>0</v>
      </c>
      <c r="M82" s="45">
        <v>0</v>
      </c>
      <c r="N82" s="45">
        <f t="shared" si="12"/>
        <v>2960517</v>
      </c>
      <c r="O82" s="46">
        <f t="shared" si="10"/>
        <v>2.3194091240275458</v>
      </c>
      <c r="P82" s="9"/>
    </row>
    <row r="83" spans="1:16">
      <c r="A83" s="11"/>
      <c r="B83" s="24">
        <v>342.5</v>
      </c>
      <c r="C83" s="19" t="s">
        <v>90</v>
      </c>
      <c r="D83" s="45">
        <v>190817</v>
      </c>
      <c r="E83" s="45">
        <v>0</v>
      </c>
      <c r="F83" s="45">
        <v>0</v>
      </c>
      <c r="G83" s="45">
        <v>0</v>
      </c>
      <c r="H83" s="45">
        <v>0</v>
      </c>
      <c r="I83" s="45">
        <v>0</v>
      </c>
      <c r="J83" s="45">
        <v>0</v>
      </c>
      <c r="K83" s="45">
        <v>0</v>
      </c>
      <c r="L83" s="45">
        <v>0</v>
      </c>
      <c r="M83" s="45">
        <v>0</v>
      </c>
      <c r="N83" s="45">
        <f t="shared" si="12"/>
        <v>190817</v>
      </c>
      <c r="O83" s="46">
        <f t="shared" si="10"/>
        <v>0.14949506819908964</v>
      </c>
      <c r="P83" s="9"/>
    </row>
    <row r="84" spans="1:16">
      <c r="A84" s="11"/>
      <c r="B84" s="24">
        <v>342.6</v>
      </c>
      <c r="C84" s="19" t="s">
        <v>91</v>
      </c>
      <c r="D84" s="45">
        <v>10005683</v>
      </c>
      <c r="E84" s="45">
        <v>0</v>
      </c>
      <c r="F84" s="45">
        <v>0</v>
      </c>
      <c r="G84" s="45">
        <v>0</v>
      </c>
      <c r="H84" s="45">
        <v>0</v>
      </c>
      <c r="I84" s="45">
        <v>0</v>
      </c>
      <c r="J84" s="45">
        <v>0</v>
      </c>
      <c r="K84" s="45">
        <v>0</v>
      </c>
      <c r="L84" s="45">
        <v>0</v>
      </c>
      <c r="M84" s="45">
        <v>0</v>
      </c>
      <c r="N84" s="45">
        <f t="shared" si="12"/>
        <v>10005683</v>
      </c>
      <c r="O84" s="46">
        <f t="shared" si="10"/>
        <v>7.8389255803386062</v>
      </c>
      <c r="P84" s="9"/>
    </row>
    <row r="85" spans="1:16">
      <c r="A85" s="11"/>
      <c r="B85" s="24">
        <v>342.9</v>
      </c>
      <c r="C85" s="19" t="s">
        <v>92</v>
      </c>
      <c r="D85" s="45">
        <v>390664</v>
      </c>
      <c r="E85" s="45">
        <v>439911</v>
      </c>
      <c r="F85" s="45">
        <v>0</v>
      </c>
      <c r="G85" s="45">
        <v>0</v>
      </c>
      <c r="H85" s="45">
        <v>0</v>
      </c>
      <c r="I85" s="45">
        <v>0</v>
      </c>
      <c r="J85" s="45">
        <v>0</v>
      </c>
      <c r="K85" s="45">
        <v>0</v>
      </c>
      <c r="L85" s="45">
        <v>0</v>
      </c>
      <c r="M85" s="45">
        <v>0</v>
      </c>
      <c r="N85" s="45">
        <f t="shared" si="12"/>
        <v>830575</v>
      </c>
      <c r="O85" s="46">
        <f t="shared" si="10"/>
        <v>0.65071176189468904</v>
      </c>
      <c r="P85" s="9"/>
    </row>
    <row r="86" spans="1:16">
      <c r="A86" s="11"/>
      <c r="B86" s="24">
        <v>343.4</v>
      </c>
      <c r="C86" s="19" t="s">
        <v>93</v>
      </c>
      <c r="D86" s="45">
        <v>0</v>
      </c>
      <c r="E86" s="45">
        <v>0</v>
      </c>
      <c r="F86" s="45">
        <v>0</v>
      </c>
      <c r="G86" s="45">
        <v>0</v>
      </c>
      <c r="H86" s="45">
        <v>0</v>
      </c>
      <c r="I86" s="45">
        <v>100744000</v>
      </c>
      <c r="J86" s="45">
        <v>0</v>
      </c>
      <c r="K86" s="45">
        <v>0</v>
      </c>
      <c r="L86" s="45">
        <v>0</v>
      </c>
      <c r="M86" s="45">
        <v>0</v>
      </c>
      <c r="N86" s="45">
        <f t="shared" si="12"/>
        <v>100744000</v>
      </c>
      <c r="O86" s="46">
        <f t="shared" si="10"/>
        <v>78.927617301650727</v>
      </c>
      <c r="P86" s="9"/>
    </row>
    <row r="87" spans="1:16">
      <c r="A87" s="11"/>
      <c r="B87" s="24">
        <v>343.6</v>
      </c>
      <c r="C87" s="19" t="s">
        <v>94</v>
      </c>
      <c r="D87" s="45">
        <v>0</v>
      </c>
      <c r="E87" s="45">
        <v>0</v>
      </c>
      <c r="F87" s="45">
        <v>0</v>
      </c>
      <c r="G87" s="45">
        <v>0</v>
      </c>
      <c r="H87" s="45">
        <v>0</v>
      </c>
      <c r="I87" s="45">
        <v>205197000</v>
      </c>
      <c r="J87" s="45">
        <v>0</v>
      </c>
      <c r="K87" s="45">
        <v>0</v>
      </c>
      <c r="L87" s="45">
        <v>0</v>
      </c>
      <c r="M87" s="45">
        <v>0</v>
      </c>
      <c r="N87" s="45">
        <f t="shared" si="12"/>
        <v>205197000</v>
      </c>
      <c r="O87" s="46">
        <f t="shared" si="10"/>
        <v>160.76104073142642</v>
      </c>
      <c r="P87" s="9"/>
    </row>
    <row r="88" spans="1:16">
      <c r="A88" s="11"/>
      <c r="B88" s="24">
        <v>343.7</v>
      </c>
      <c r="C88" s="19" t="s">
        <v>95</v>
      </c>
      <c r="D88" s="45">
        <v>2154665</v>
      </c>
      <c r="E88" s="45">
        <v>227300</v>
      </c>
      <c r="F88" s="45">
        <v>0</v>
      </c>
      <c r="G88" s="45">
        <v>0</v>
      </c>
      <c r="H88" s="45">
        <v>0</v>
      </c>
      <c r="I88" s="45">
        <v>0</v>
      </c>
      <c r="J88" s="45">
        <v>0</v>
      </c>
      <c r="K88" s="45">
        <v>0</v>
      </c>
      <c r="L88" s="45">
        <v>0</v>
      </c>
      <c r="M88" s="45">
        <v>48058</v>
      </c>
      <c r="N88" s="45">
        <f t="shared" si="12"/>
        <v>2430023</v>
      </c>
      <c r="O88" s="46">
        <f t="shared" si="10"/>
        <v>1.9037950188419082</v>
      </c>
      <c r="P88" s="9"/>
    </row>
    <row r="89" spans="1:16">
      <c r="A89" s="11"/>
      <c r="B89" s="24">
        <v>343.9</v>
      </c>
      <c r="C89" s="19" t="s">
        <v>96</v>
      </c>
      <c r="D89" s="45">
        <v>1050272</v>
      </c>
      <c r="E89" s="45">
        <v>51135</v>
      </c>
      <c r="F89" s="45">
        <v>0</v>
      </c>
      <c r="G89" s="45">
        <v>0</v>
      </c>
      <c r="H89" s="45">
        <v>0</v>
      </c>
      <c r="I89" s="45">
        <v>0</v>
      </c>
      <c r="J89" s="45">
        <v>0</v>
      </c>
      <c r="K89" s="45">
        <v>0</v>
      </c>
      <c r="L89" s="45">
        <v>0</v>
      </c>
      <c r="M89" s="45">
        <v>0</v>
      </c>
      <c r="N89" s="45">
        <f t="shared" si="12"/>
        <v>1101407</v>
      </c>
      <c r="O89" s="46">
        <f t="shared" si="10"/>
        <v>0.86289436779718121</v>
      </c>
      <c r="P89" s="9"/>
    </row>
    <row r="90" spans="1:16">
      <c r="A90" s="11"/>
      <c r="B90" s="24">
        <v>344.5</v>
      </c>
      <c r="C90" s="19" t="s">
        <v>221</v>
      </c>
      <c r="D90" s="45">
        <v>737474</v>
      </c>
      <c r="E90" s="45">
        <v>0</v>
      </c>
      <c r="F90" s="45">
        <v>0</v>
      </c>
      <c r="G90" s="45">
        <v>0</v>
      </c>
      <c r="H90" s="45">
        <v>0</v>
      </c>
      <c r="I90" s="45">
        <v>0</v>
      </c>
      <c r="J90" s="45">
        <v>440</v>
      </c>
      <c r="K90" s="45">
        <v>0</v>
      </c>
      <c r="L90" s="45">
        <v>0</v>
      </c>
      <c r="M90" s="45">
        <v>0</v>
      </c>
      <c r="N90" s="45">
        <f t="shared" si="12"/>
        <v>737914</v>
      </c>
      <c r="O90" s="46">
        <f t="shared" si="10"/>
        <v>0.57811674932035939</v>
      </c>
      <c r="P90" s="9"/>
    </row>
    <row r="91" spans="1:16">
      <c r="A91" s="11"/>
      <c r="B91" s="24">
        <v>344.9</v>
      </c>
      <c r="C91" s="19" t="s">
        <v>222</v>
      </c>
      <c r="D91" s="45">
        <v>979750</v>
      </c>
      <c r="E91" s="45">
        <v>1584388</v>
      </c>
      <c r="F91" s="45">
        <v>0</v>
      </c>
      <c r="G91" s="45">
        <v>0</v>
      </c>
      <c r="H91" s="45">
        <v>0</v>
      </c>
      <c r="I91" s="45">
        <v>0</v>
      </c>
      <c r="J91" s="45">
        <v>0</v>
      </c>
      <c r="K91" s="45">
        <v>0</v>
      </c>
      <c r="L91" s="45">
        <v>0</v>
      </c>
      <c r="M91" s="45">
        <v>0</v>
      </c>
      <c r="N91" s="45">
        <f t="shared" si="12"/>
        <v>2564138</v>
      </c>
      <c r="O91" s="46">
        <f t="shared" si="10"/>
        <v>2.0088670568234344</v>
      </c>
      <c r="P91" s="9"/>
    </row>
    <row r="92" spans="1:16">
      <c r="A92" s="11"/>
      <c r="B92" s="24">
        <v>345.1</v>
      </c>
      <c r="C92" s="19" t="s">
        <v>99</v>
      </c>
      <c r="D92" s="45">
        <v>0</v>
      </c>
      <c r="E92" s="45">
        <v>0</v>
      </c>
      <c r="F92" s="45">
        <v>0</v>
      </c>
      <c r="G92" s="45">
        <v>0</v>
      </c>
      <c r="H92" s="45">
        <v>0</v>
      </c>
      <c r="I92" s="45">
        <v>0</v>
      </c>
      <c r="J92" s="45">
        <v>0</v>
      </c>
      <c r="K92" s="45">
        <v>0</v>
      </c>
      <c r="L92" s="45">
        <v>0</v>
      </c>
      <c r="M92" s="45">
        <v>830826</v>
      </c>
      <c r="N92" s="45">
        <f t="shared" si="12"/>
        <v>830826</v>
      </c>
      <c r="O92" s="46">
        <f t="shared" si="10"/>
        <v>0.65090840717324372</v>
      </c>
      <c r="P92" s="9"/>
    </row>
    <row r="93" spans="1:16">
      <c r="A93" s="11"/>
      <c r="B93" s="24">
        <v>345.9</v>
      </c>
      <c r="C93" s="19" t="s">
        <v>100</v>
      </c>
      <c r="D93" s="45">
        <v>146544</v>
      </c>
      <c r="E93" s="45">
        <v>0</v>
      </c>
      <c r="F93" s="45">
        <v>0</v>
      </c>
      <c r="G93" s="45">
        <v>0</v>
      </c>
      <c r="H93" s="45">
        <v>0</v>
      </c>
      <c r="I93" s="45">
        <v>0</v>
      </c>
      <c r="J93" s="45">
        <v>0</v>
      </c>
      <c r="K93" s="45">
        <v>0</v>
      </c>
      <c r="L93" s="45">
        <v>0</v>
      </c>
      <c r="M93" s="45">
        <v>0</v>
      </c>
      <c r="N93" s="45">
        <f t="shared" si="12"/>
        <v>146544</v>
      </c>
      <c r="O93" s="46">
        <f t="shared" si="10"/>
        <v>0.11480950478294592</v>
      </c>
      <c r="P93" s="9"/>
    </row>
    <row r="94" spans="1:16">
      <c r="A94" s="11"/>
      <c r="B94" s="24">
        <v>346.4</v>
      </c>
      <c r="C94" s="19" t="s">
        <v>101</v>
      </c>
      <c r="D94" s="45">
        <v>414974</v>
      </c>
      <c r="E94" s="45">
        <v>-670</v>
      </c>
      <c r="F94" s="45">
        <v>0</v>
      </c>
      <c r="G94" s="45">
        <v>0</v>
      </c>
      <c r="H94" s="45">
        <v>0</v>
      </c>
      <c r="I94" s="45">
        <v>0</v>
      </c>
      <c r="J94" s="45">
        <v>0</v>
      </c>
      <c r="K94" s="45">
        <v>0</v>
      </c>
      <c r="L94" s="45">
        <v>0</v>
      </c>
      <c r="M94" s="45">
        <v>0</v>
      </c>
      <c r="N94" s="45">
        <f t="shared" si="12"/>
        <v>414304</v>
      </c>
      <c r="O94" s="46">
        <f t="shared" si="10"/>
        <v>0.32458536050328657</v>
      </c>
      <c r="P94" s="9"/>
    </row>
    <row r="95" spans="1:16">
      <c r="A95" s="11"/>
      <c r="B95" s="24">
        <v>346.9</v>
      </c>
      <c r="C95" s="19" t="s">
        <v>102</v>
      </c>
      <c r="D95" s="45">
        <v>520158</v>
      </c>
      <c r="E95" s="45">
        <v>949095</v>
      </c>
      <c r="F95" s="45">
        <v>0</v>
      </c>
      <c r="G95" s="45">
        <v>0</v>
      </c>
      <c r="H95" s="45">
        <v>0</v>
      </c>
      <c r="I95" s="45">
        <v>0</v>
      </c>
      <c r="J95" s="45">
        <v>21758733</v>
      </c>
      <c r="K95" s="45">
        <v>0</v>
      </c>
      <c r="L95" s="45">
        <v>0</v>
      </c>
      <c r="M95" s="45">
        <v>0</v>
      </c>
      <c r="N95" s="45">
        <f t="shared" si="12"/>
        <v>23227986</v>
      </c>
      <c r="O95" s="46">
        <f t="shared" si="10"/>
        <v>18.197903494958517</v>
      </c>
      <c r="P95" s="9"/>
    </row>
    <row r="96" spans="1:16">
      <c r="A96" s="11"/>
      <c r="B96" s="24">
        <v>347.1</v>
      </c>
      <c r="C96" s="19" t="s">
        <v>103</v>
      </c>
      <c r="D96" s="45">
        <v>0</v>
      </c>
      <c r="E96" s="45">
        <v>42855</v>
      </c>
      <c r="F96" s="45">
        <v>0</v>
      </c>
      <c r="G96" s="45">
        <v>0</v>
      </c>
      <c r="H96" s="45">
        <v>0</v>
      </c>
      <c r="I96" s="45">
        <v>0</v>
      </c>
      <c r="J96" s="45">
        <v>0</v>
      </c>
      <c r="K96" s="45">
        <v>0</v>
      </c>
      <c r="L96" s="45">
        <v>0</v>
      </c>
      <c r="M96" s="45">
        <v>1252</v>
      </c>
      <c r="N96" s="45">
        <f t="shared" si="12"/>
        <v>44107</v>
      </c>
      <c r="O96" s="46">
        <f t="shared" si="10"/>
        <v>3.4555511160207143E-2</v>
      </c>
      <c r="P96" s="9"/>
    </row>
    <row r="97" spans="1:16">
      <c r="A97" s="11"/>
      <c r="B97" s="24">
        <v>347.2</v>
      </c>
      <c r="C97" s="19" t="s">
        <v>104</v>
      </c>
      <c r="D97" s="45">
        <v>2638483</v>
      </c>
      <c r="E97" s="45">
        <v>0</v>
      </c>
      <c r="F97" s="45">
        <v>0</v>
      </c>
      <c r="G97" s="45">
        <v>0</v>
      </c>
      <c r="H97" s="45">
        <v>0</v>
      </c>
      <c r="I97" s="45">
        <v>0</v>
      </c>
      <c r="J97" s="45">
        <v>0</v>
      </c>
      <c r="K97" s="45">
        <v>0</v>
      </c>
      <c r="L97" s="45">
        <v>0</v>
      </c>
      <c r="M97" s="45">
        <v>0</v>
      </c>
      <c r="N97" s="45">
        <f t="shared" si="12"/>
        <v>2638483</v>
      </c>
      <c r="O97" s="46">
        <f t="shared" si="10"/>
        <v>2.0671124481945458</v>
      </c>
      <c r="P97" s="9"/>
    </row>
    <row r="98" spans="1:16">
      <c r="A98" s="11"/>
      <c r="B98" s="24">
        <v>347.4</v>
      </c>
      <c r="C98" s="19" t="s">
        <v>105</v>
      </c>
      <c r="D98" s="45">
        <v>14729</v>
      </c>
      <c r="E98" s="45">
        <v>0</v>
      </c>
      <c r="F98" s="45">
        <v>380085</v>
      </c>
      <c r="G98" s="45">
        <v>0</v>
      </c>
      <c r="H98" s="45">
        <v>0</v>
      </c>
      <c r="I98" s="45">
        <v>0</v>
      </c>
      <c r="J98" s="45">
        <v>0</v>
      </c>
      <c r="K98" s="45">
        <v>0</v>
      </c>
      <c r="L98" s="45">
        <v>0</v>
      </c>
      <c r="M98" s="45">
        <v>0</v>
      </c>
      <c r="N98" s="45">
        <f t="shared" si="12"/>
        <v>394814</v>
      </c>
      <c r="O98" s="46">
        <f t="shared" si="10"/>
        <v>0.30931597214061313</v>
      </c>
      <c r="P98" s="9"/>
    </row>
    <row r="99" spans="1:16">
      <c r="A99" s="11"/>
      <c r="B99" s="24">
        <v>347.5</v>
      </c>
      <c r="C99" s="19" t="s">
        <v>106</v>
      </c>
      <c r="D99" s="45">
        <v>241698</v>
      </c>
      <c r="E99" s="45">
        <v>0</v>
      </c>
      <c r="F99" s="45">
        <v>0</v>
      </c>
      <c r="G99" s="45">
        <v>0</v>
      </c>
      <c r="H99" s="45">
        <v>0</v>
      </c>
      <c r="I99" s="45">
        <v>0</v>
      </c>
      <c r="J99" s="45">
        <v>0</v>
      </c>
      <c r="K99" s="45">
        <v>0</v>
      </c>
      <c r="L99" s="45">
        <v>0</v>
      </c>
      <c r="M99" s="45">
        <v>0</v>
      </c>
      <c r="N99" s="45">
        <f t="shared" si="12"/>
        <v>241698</v>
      </c>
      <c r="O99" s="46">
        <f t="shared" si="10"/>
        <v>0.18935765153829881</v>
      </c>
      <c r="P99" s="9"/>
    </row>
    <row r="100" spans="1:16">
      <c r="A100" s="11"/>
      <c r="B100" s="24">
        <v>347.9</v>
      </c>
      <c r="C100" s="19" t="s">
        <v>107</v>
      </c>
      <c r="D100" s="45">
        <v>212439</v>
      </c>
      <c r="E100" s="45">
        <v>0</v>
      </c>
      <c r="F100" s="45">
        <v>0</v>
      </c>
      <c r="G100" s="45">
        <v>0</v>
      </c>
      <c r="H100" s="45">
        <v>0</v>
      </c>
      <c r="I100" s="45">
        <v>0</v>
      </c>
      <c r="J100" s="45">
        <v>0</v>
      </c>
      <c r="K100" s="45">
        <v>0</v>
      </c>
      <c r="L100" s="45">
        <v>0</v>
      </c>
      <c r="M100" s="45">
        <v>0</v>
      </c>
      <c r="N100" s="45">
        <f t="shared" si="12"/>
        <v>212439</v>
      </c>
      <c r="O100" s="46">
        <f t="shared" si="10"/>
        <v>0.1664347662584906</v>
      </c>
      <c r="P100" s="9"/>
    </row>
    <row r="101" spans="1:16">
      <c r="A101" s="11"/>
      <c r="B101" s="24">
        <v>348.88</v>
      </c>
      <c r="C101" s="19" t="s">
        <v>223</v>
      </c>
      <c r="D101" s="45">
        <v>101870</v>
      </c>
      <c r="E101" s="45">
        <v>0</v>
      </c>
      <c r="F101" s="45">
        <v>0</v>
      </c>
      <c r="G101" s="45">
        <v>0</v>
      </c>
      <c r="H101" s="45">
        <v>0</v>
      </c>
      <c r="I101" s="45">
        <v>0</v>
      </c>
      <c r="J101" s="45">
        <v>0</v>
      </c>
      <c r="K101" s="45">
        <v>0</v>
      </c>
      <c r="L101" s="45">
        <v>0</v>
      </c>
      <c r="M101" s="45">
        <v>0</v>
      </c>
      <c r="N101" s="45">
        <f t="shared" si="12"/>
        <v>101870</v>
      </c>
      <c r="O101" s="46">
        <f t="shared" ref="O101:O132" si="13">(N101/O$142)</f>
        <v>7.9809778989509639E-2</v>
      </c>
      <c r="P101" s="9"/>
    </row>
    <row r="102" spans="1:16">
      <c r="A102" s="11"/>
      <c r="B102" s="24">
        <v>348.92099999999999</v>
      </c>
      <c r="C102" s="19" t="s">
        <v>224</v>
      </c>
      <c r="D102" s="45">
        <v>0</v>
      </c>
      <c r="E102" s="45">
        <v>421444</v>
      </c>
      <c r="F102" s="45">
        <v>0</v>
      </c>
      <c r="G102" s="45">
        <v>0</v>
      </c>
      <c r="H102" s="45">
        <v>0</v>
      </c>
      <c r="I102" s="45">
        <v>0</v>
      </c>
      <c r="J102" s="45">
        <v>0</v>
      </c>
      <c r="K102" s="45">
        <v>0</v>
      </c>
      <c r="L102" s="45">
        <v>0</v>
      </c>
      <c r="M102" s="45">
        <v>0</v>
      </c>
      <c r="N102" s="45">
        <f t="shared" si="12"/>
        <v>421444</v>
      </c>
      <c r="O102" s="46">
        <f t="shared" si="13"/>
        <v>0.33017917440320899</v>
      </c>
      <c r="P102" s="9"/>
    </row>
    <row r="103" spans="1:16">
      <c r="A103" s="11"/>
      <c r="B103" s="24">
        <v>348.92200000000003</v>
      </c>
      <c r="C103" s="19" t="s">
        <v>225</v>
      </c>
      <c r="D103" s="45">
        <v>0</v>
      </c>
      <c r="E103" s="45">
        <v>421319</v>
      </c>
      <c r="F103" s="45">
        <v>0</v>
      </c>
      <c r="G103" s="45">
        <v>0</v>
      </c>
      <c r="H103" s="45">
        <v>0</v>
      </c>
      <c r="I103" s="45">
        <v>0</v>
      </c>
      <c r="J103" s="45">
        <v>0</v>
      </c>
      <c r="K103" s="45">
        <v>0</v>
      </c>
      <c r="L103" s="45">
        <v>0</v>
      </c>
      <c r="M103" s="45">
        <v>0</v>
      </c>
      <c r="N103" s="45">
        <f t="shared" si="12"/>
        <v>421319</v>
      </c>
      <c r="O103" s="46">
        <f t="shared" si="13"/>
        <v>0.3300812434875941</v>
      </c>
      <c r="P103" s="9"/>
    </row>
    <row r="104" spans="1:16">
      <c r="A104" s="11"/>
      <c r="B104" s="24">
        <v>348.923</v>
      </c>
      <c r="C104" s="19" t="s">
        <v>226</v>
      </c>
      <c r="D104" s="45">
        <v>0</v>
      </c>
      <c r="E104" s="45">
        <v>0</v>
      </c>
      <c r="F104" s="45">
        <v>0</v>
      </c>
      <c r="G104" s="45">
        <v>0</v>
      </c>
      <c r="H104" s="45">
        <v>0</v>
      </c>
      <c r="I104" s="45">
        <v>0</v>
      </c>
      <c r="J104" s="45">
        <v>0</v>
      </c>
      <c r="K104" s="45">
        <v>0</v>
      </c>
      <c r="L104" s="45">
        <v>0</v>
      </c>
      <c r="M104" s="45">
        <v>421382</v>
      </c>
      <c r="N104" s="45">
        <f t="shared" si="12"/>
        <v>421382</v>
      </c>
      <c r="O104" s="46">
        <f t="shared" si="13"/>
        <v>0.33013060066906402</v>
      </c>
      <c r="P104" s="9"/>
    </row>
    <row r="105" spans="1:16">
      <c r="A105" s="11"/>
      <c r="B105" s="24">
        <v>348.92399999999998</v>
      </c>
      <c r="C105" s="19" t="s">
        <v>227</v>
      </c>
      <c r="D105" s="45">
        <v>0</v>
      </c>
      <c r="E105" s="45">
        <v>421382</v>
      </c>
      <c r="F105" s="45">
        <v>0</v>
      </c>
      <c r="G105" s="45">
        <v>0</v>
      </c>
      <c r="H105" s="45">
        <v>0</v>
      </c>
      <c r="I105" s="45">
        <v>0</v>
      </c>
      <c r="J105" s="45">
        <v>0</v>
      </c>
      <c r="K105" s="45">
        <v>0</v>
      </c>
      <c r="L105" s="45">
        <v>0</v>
      </c>
      <c r="M105" s="45">
        <v>0</v>
      </c>
      <c r="N105" s="45">
        <f t="shared" si="12"/>
        <v>421382</v>
      </c>
      <c r="O105" s="46">
        <f t="shared" si="13"/>
        <v>0.33013060066906402</v>
      </c>
      <c r="P105" s="9"/>
    </row>
    <row r="106" spans="1:16">
      <c r="A106" s="11"/>
      <c r="B106" s="24">
        <v>348.93</v>
      </c>
      <c r="C106" s="19" t="s">
        <v>228</v>
      </c>
      <c r="D106" s="45">
        <v>0</v>
      </c>
      <c r="E106" s="45">
        <v>2826067</v>
      </c>
      <c r="F106" s="45">
        <v>0</v>
      </c>
      <c r="G106" s="45">
        <v>0</v>
      </c>
      <c r="H106" s="45">
        <v>0</v>
      </c>
      <c r="I106" s="45">
        <v>0</v>
      </c>
      <c r="J106" s="45">
        <v>0</v>
      </c>
      <c r="K106" s="45">
        <v>0</v>
      </c>
      <c r="L106" s="45">
        <v>0</v>
      </c>
      <c r="M106" s="45">
        <v>0</v>
      </c>
      <c r="N106" s="45">
        <f t="shared" si="12"/>
        <v>2826067</v>
      </c>
      <c r="O106" s="46">
        <f t="shared" si="13"/>
        <v>2.214074631192172</v>
      </c>
      <c r="P106" s="9"/>
    </row>
    <row r="107" spans="1:16">
      <c r="A107" s="11"/>
      <c r="B107" s="24">
        <v>348.93200000000002</v>
      </c>
      <c r="C107" s="19" t="s">
        <v>229</v>
      </c>
      <c r="D107" s="45">
        <v>60746</v>
      </c>
      <c r="E107" s="45">
        <v>0</v>
      </c>
      <c r="F107" s="45">
        <v>0</v>
      </c>
      <c r="G107" s="45">
        <v>0</v>
      </c>
      <c r="H107" s="45">
        <v>0</v>
      </c>
      <c r="I107" s="45">
        <v>0</v>
      </c>
      <c r="J107" s="45">
        <v>0</v>
      </c>
      <c r="K107" s="45">
        <v>0</v>
      </c>
      <c r="L107" s="45">
        <v>0</v>
      </c>
      <c r="M107" s="45">
        <v>0</v>
      </c>
      <c r="N107" s="45">
        <f t="shared" si="12"/>
        <v>60746</v>
      </c>
      <c r="O107" s="46">
        <f t="shared" si="13"/>
        <v>4.7591291199536201E-2</v>
      </c>
      <c r="P107" s="9"/>
    </row>
    <row r="108" spans="1:16">
      <c r="A108" s="11"/>
      <c r="B108" s="24">
        <v>348.93299999999999</v>
      </c>
      <c r="C108" s="19" t="s">
        <v>230</v>
      </c>
      <c r="D108" s="45">
        <v>4502</v>
      </c>
      <c r="E108" s="45">
        <v>0</v>
      </c>
      <c r="F108" s="45">
        <v>0</v>
      </c>
      <c r="G108" s="45">
        <v>0</v>
      </c>
      <c r="H108" s="45">
        <v>0</v>
      </c>
      <c r="I108" s="45">
        <v>0</v>
      </c>
      <c r="J108" s="45">
        <v>0</v>
      </c>
      <c r="K108" s="45">
        <v>0</v>
      </c>
      <c r="L108" s="45">
        <v>0</v>
      </c>
      <c r="M108" s="45">
        <v>0</v>
      </c>
      <c r="N108" s="45">
        <f t="shared" si="12"/>
        <v>4502</v>
      </c>
      <c r="O108" s="46">
        <f t="shared" si="13"/>
        <v>3.5270798567858292E-3</v>
      </c>
      <c r="P108" s="9"/>
    </row>
    <row r="109" spans="1:16">
      <c r="A109" s="11"/>
      <c r="B109" s="24">
        <v>348.99</v>
      </c>
      <c r="C109" s="19" t="s">
        <v>231</v>
      </c>
      <c r="D109" s="45">
        <v>0</v>
      </c>
      <c r="E109" s="45">
        <v>1094683</v>
      </c>
      <c r="F109" s="45">
        <v>0</v>
      </c>
      <c r="G109" s="45">
        <v>0</v>
      </c>
      <c r="H109" s="45">
        <v>0</v>
      </c>
      <c r="I109" s="45">
        <v>0</v>
      </c>
      <c r="J109" s="45">
        <v>0</v>
      </c>
      <c r="K109" s="45">
        <v>0</v>
      </c>
      <c r="L109" s="45">
        <v>0</v>
      </c>
      <c r="M109" s="45">
        <v>0</v>
      </c>
      <c r="N109" s="45">
        <f t="shared" si="12"/>
        <v>1094683</v>
      </c>
      <c r="O109" s="46">
        <f t="shared" si="13"/>
        <v>0.8576264679844251</v>
      </c>
      <c r="P109" s="9"/>
    </row>
    <row r="110" spans="1:16">
      <c r="A110" s="11"/>
      <c r="B110" s="24">
        <v>349</v>
      </c>
      <c r="C110" s="19" t="s">
        <v>1</v>
      </c>
      <c r="D110" s="45">
        <v>16085129</v>
      </c>
      <c r="E110" s="45">
        <v>7942507</v>
      </c>
      <c r="F110" s="45">
        <v>0</v>
      </c>
      <c r="G110" s="45">
        <v>0</v>
      </c>
      <c r="H110" s="45">
        <v>0</v>
      </c>
      <c r="I110" s="45">
        <v>0</v>
      </c>
      <c r="J110" s="45">
        <v>0</v>
      </c>
      <c r="K110" s="45">
        <v>0</v>
      </c>
      <c r="L110" s="45">
        <v>0</v>
      </c>
      <c r="M110" s="45">
        <v>0</v>
      </c>
      <c r="N110" s="45">
        <f t="shared" si="12"/>
        <v>24027636</v>
      </c>
      <c r="O110" s="46">
        <f t="shared" si="13"/>
        <v>18.824387148330082</v>
      </c>
      <c r="P110" s="9"/>
    </row>
    <row r="111" spans="1:16" ht="15.75">
      <c r="A111" s="28" t="s">
        <v>76</v>
      </c>
      <c r="B111" s="29"/>
      <c r="C111" s="30"/>
      <c r="D111" s="31">
        <f t="shared" ref="D111:M111" si="14">SUM(D112:D123)</f>
        <v>4219074</v>
      </c>
      <c r="E111" s="31">
        <f t="shared" si="14"/>
        <v>5691172</v>
      </c>
      <c r="F111" s="31">
        <f t="shared" si="14"/>
        <v>0</v>
      </c>
      <c r="G111" s="31">
        <f t="shared" si="14"/>
        <v>0</v>
      </c>
      <c r="H111" s="31">
        <f t="shared" si="14"/>
        <v>0</v>
      </c>
      <c r="I111" s="31">
        <f t="shared" si="14"/>
        <v>0</v>
      </c>
      <c r="J111" s="31">
        <f t="shared" si="14"/>
        <v>0</v>
      </c>
      <c r="K111" s="31">
        <f t="shared" si="14"/>
        <v>0</v>
      </c>
      <c r="L111" s="31">
        <f t="shared" si="14"/>
        <v>0</v>
      </c>
      <c r="M111" s="31">
        <f t="shared" si="14"/>
        <v>0</v>
      </c>
      <c r="N111" s="31">
        <f>SUM(D111:M111)</f>
        <v>9910246</v>
      </c>
      <c r="O111" s="44">
        <f t="shared" si="13"/>
        <v>7.7641557179903007</v>
      </c>
      <c r="P111" s="10"/>
    </row>
    <row r="112" spans="1:16">
      <c r="A112" s="12"/>
      <c r="B112" s="38">
        <v>351.1</v>
      </c>
      <c r="C112" s="20" t="s">
        <v>134</v>
      </c>
      <c r="D112" s="45">
        <v>0</v>
      </c>
      <c r="E112" s="45">
        <v>57901</v>
      </c>
      <c r="F112" s="45">
        <v>0</v>
      </c>
      <c r="G112" s="45">
        <v>0</v>
      </c>
      <c r="H112" s="45">
        <v>0</v>
      </c>
      <c r="I112" s="45">
        <v>0</v>
      </c>
      <c r="J112" s="45">
        <v>0</v>
      </c>
      <c r="K112" s="45">
        <v>0</v>
      </c>
      <c r="L112" s="45">
        <v>0</v>
      </c>
      <c r="M112" s="45">
        <v>0</v>
      </c>
      <c r="N112" s="45">
        <f>SUM(D112:M112)</f>
        <v>57901</v>
      </c>
      <c r="O112" s="46">
        <f t="shared" si="13"/>
        <v>4.5362383560141335E-2</v>
      </c>
      <c r="P112" s="9"/>
    </row>
    <row r="113" spans="1:16">
      <c r="A113" s="12"/>
      <c r="B113" s="38">
        <v>351.2</v>
      </c>
      <c r="C113" s="20" t="s">
        <v>136</v>
      </c>
      <c r="D113" s="45">
        <v>0</v>
      </c>
      <c r="E113" s="45">
        <v>42927</v>
      </c>
      <c r="F113" s="45">
        <v>0</v>
      </c>
      <c r="G113" s="45">
        <v>0</v>
      </c>
      <c r="H113" s="45">
        <v>0</v>
      </c>
      <c r="I113" s="45">
        <v>0</v>
      </c>
      <c r="J113" s="45">
        <v>0</v>
      </c>
      <c r="K113" s="45">
        <v>0</v>
      </c>
      <c r="L113" s="45">
        <v>0</v>
      </c>
      <c r="M113" s="45">
        <v>0</v>
      </c>
      <c r="N113" s="45">
        <f t="shared" ref="N113:N123" si="15">SUM(D113:M113)</f>
        <v>42927</v>
      </c>
      <c r="O113" s="46">
        <f t="shared" si="13"/>
        <v>3.3631043316802597E-2</v>
      </c>
      <c r="P113" s="9"/>
    </row>
    <row r="114" spans="1:16">
      <c r="A114" s="12"/>
      <c r="B114" s="38">
        <v>351.5</v>
      </c>
      <c r="C114" s="20" t="s">
        <v>137</v>
      </c>
      <c r="D114" s="45">
        <v>380362</v>
      </c>
      <c r="E114" s="45">
        <v>1343385</v>
      </c>
      <c r="F114" s="45">
        <v>0</v>
      </c>
      <c r="G114" s="45">
        <v>0</v>
      </c>
      <c r="H114" s="45">
        <v>0</v>
      </c>
      <c r="I114" s="45">
        <v>0</v>
      </c>
      <c r="J114" s="45">
        <v>0</v>
      </c>
      <c r="K114" s="45">
        <v>0</v>
      </c>
      <c r="L114" s="45">
        <v>0</v>
      </c>
      <c r="M114" s="45">
        <v>0</v>
      </c>
      <c r="N114" s="45">
        <f t="shared" si="15"/>
        <v>1723747</v>
      </c>
      <c r="O114" s="46">
        <f t="shared" si="13"/>
        <v>1.3504649759873395</v>
      </c>
      <c r="P114" s="9"/>
    </row>
    <row r="115" spans="1:16">
      <c r="A115" s="12"/>
      <c r="B115" s="38">
        <v>351.7</v>
      </c>
      <c r="C115" s="20" t="s">
        <v>232</v>
      </c>
      <c r="D115" s="45">
        <v>0</v>
      </c>
      <c r="E115" s="45">
        <v>881470</v>
      </c>
      <c r="F115" s="45">
        <v>0</v>
      </c>
      <c r="G115" s="45">
        <v>0</v>
      </c>
      <c r="H115" s="45">
        <v>0</v>
      </c>
      <c r="I115" s="45">
        <v>0</v>
      </c>
      <c r="J115" s="45">
        <v>0</v>
      </c>
      <c r="K115" s="45">
        <v>0</v>
      </c>
      <c r="L115" s="45">
        <v>0</v>
      </c>
      <c r="M115" s="45">
        <v>0</v>
      </c>
      <c r="N115" s="45">
        <f t="shared" si="15"/>
        <v>881470</v>
      </c>
      <c r="O115" s="46">
        <f t="shared" si="13"/>
        <v>0.69058531349644703</v>
      </c>
      <c r="P115" s="9"/>
    </row>
    <row r="116" spans="1:16">
      <c r="A116" s="12"/>
      <c r="B116" s="38">
        <v>351.8</v>
      </c>
      <c r="C116" s="20" t="s">
        <v>233</v>
      </c>
      <c r="D116" s="45">
        <v>0</v>
      </c>
      <c r="E116" s="45">
        <v>1374433</v>
      </c>
      <c r="F116" s="45">
        <v>0</v>
      </c>
      <c r="G116" s="45">
        <v>0</v>
      </c>
      <c r="H116" s="45">
        <v>0</v>
      </c>
      <c r="I116" s="45">
        <v>0</v>
      </c>
      <c r="J116" s="45">
        <v>0</v>
      </c>
      <c r="K116" s="45">
        <v>0</v>
      </c>
      <c r="L116" s="45">
        <v>0</v>
      </c>
      <c r="M116" s="45">
        <v>0</v>
      </c>
      <c r="N116" s="45">
        <f t="shared" si="15"/>
        <v>1374433</v>
      </c>
      <c r="O116" s="46">
        <f t="shared" si="13"/>
        <v>1.0767958571305458</v>
      </c>
      <c r="P116" s="9"/>
    </row>
    <row r="117" spans="1:16">
      <c r="A117" s="12"/>
      <c r="B117" s="38">
        <v>351.9</v>
      </c>
      <c r="C117" s="20" t="s">
        <v>234</v>
      </c>
      <c r="D117" s="45">
        <v>0</v>
      </c>
      <c r="E117" s="45">
        <v>397311</v>
      </c>
      <c r="F117" s="45">
        <v>0</v>
      </c>
      <c r="G117" s="45">
        <v>0</v>
      </c>
      <c r="H117" s="45">
        <v>0</v>
      </c>
      <c r="I117" s="45">
        <v>0</v>
      </c>
      <c r="J117" s="45">
        <v>0</v>
      </c>
      <c r="K117" s="45">
        <v>0</v>
      </c>
      <c r="L117" s="45">
        <v>0</v>
      </c>
      <c r="M117" s="45">
        <v>0</v>
      </c>
      <c r="N117" s="45">
        <f t="shared" si="15"/>
        <v>397311</v>
      </c>
      <c r="O117" s="46">
        <f t="shared" si="13"/>
        <v>0.31127224011093613</v>
      </c>
      <c r="P117" s="9"/>
    </row>
    <row r="118" spans="1:16">
      <c r="A118" s="12"/>
      <c r="B118" s="38">
        <v>352</v>
      </c>
      <c r="C118" s="20" t="s">
        <v>138</v>
      </c>
      <c r="D118" s="45">
        <v>0</v>
      </c>
      <c r="E118" s="45">
        <v>369334</v>
      </c>
      <c r="F118" s="45">
        <v>0</v>
      </c>
      <c r="G118" s="45">
        <v>0</v>
      </c>
      <c r="H118" s="45">
        <v>0</v>
      </c>
      <c r="I118" s="45">
        <v>0</v>
      </c>
      <c r="J118" s="45">
        <v>0</v>
      </c>
      <c r="K118" s="45">
        <v>0</v>
      </c>
      <c r="L118" s="45">
        <v>0</v>
      </c>
      <c r="M118" s="45">
        <v>0</v>
      </c>
      <c r="N118" s="45">
        <f t="shared" si="15"/>
        <v>369334</v>
      </c>
      <c r="O118" s="46">
        <f t="shared" si="13"/>
        <v>0.28935373430167421</v>
      </c>
      <c r="P118" s="9"/>
    </row>
    <row r="119" spans="1:16">
      <c r="A119" s="12"/>
      <c r="B119" s="38">
        <v>353</v>
      </c>
      <c r="C119" s="20" t="s">
        <v>139</v>
      </c>
      <c r="D119" s="45">
        <v>0</v>
      </c>
      <c r="E119" s="45">
        <v>150423</v>
      </c>
      <c r="F119" s="45">
        <v>0</v>
      </c>
      <c r="G119" s="45">
        <v>0</v>
      </c>
      <c r="H119" s="45">
        <v>0</v>
      </c>
      <c r="I119" s="45">
        <v>0</v>
      </c>
      <c r="J119" s="45">
        <v>0</v>
      </c>
      <c r="K119" s="45">
        <v>0</v>
      </c>
      <c r="L119" s="45">
        <v>0</v>
      </c>
      <c r="M119" s="45">
        <v>0</v>
      </c>
      <c r="N119" s="45">
        <f t="shared" si="15"/>
        <v>150423</v>
      </c>
      <c r="O119" s="46">
        <f t="shared" si="13"/>
        <v>0.11784849695630714</v>
      </c>
      <c r="P119" s="9"/>
    </row>
    <row r="120" spans="1:16">
      <c r="A120" s="12"/>
      <c r="B120" s="38">
        <v>354</v>
      </c>
      <c r="C120" s="20" t="s">
        <v>140</v>
      </c>
      <c r="D120" s="45">
        <v>3660522</v>
      </c>
      <c r="E120" s="45">
        <v>314450</v>
      </c>
      <c r="F120" s="45">
        <v>0</v>
      </c>
      <c r="G120" s="45">
        <v>0</v>
      </c>
      <c r="H120" s="45">
        <v>0</v>
      </c>
      <c r="I120" s="45">
        <v>0</v>
      </c>
      <c r="J120" s="45">
        <v>0</v>
      </c>
      <c r="K120" s="45">
        <v>0</v>
      </c>
      <c r="L120" s="45">
        <v>0</v>
      </c>
      <c r="M120" s="45">
        <v>0</v>
      </c>
      <c r="N120" s="45">
        <f t="shared" si="15"/>
        <v>3974972</v>
      </c>
      <c r="O120" s="46">
        <f t="shared" si="13"/>
        <v>3.114181180028361</v>
      </c>
      <c r="P120" s="9"/>
    </row>
    <row r="121" spans="1:16">
      <c r="A121" s="12"/>
      <c r="B121" s="38">
        <v>358.1</v>
      </c>
      <c r="C121" s="20" t="s">
        <v>235</v>
      </c>
      <c r="D121" s="45">
        <v>100</v>
      </c>
      <c r="E121" s="45">
        <v>0</v>
      </c>
      <c r="F121" s="45">
        <v>0</v>
      </c>
      <c r="G121" s="45">
        <v>0</v>
      </c>
      <c r="H121" s="45">
        <v>0</v>
      </c>
      <c r="I121" s="45">
        <v>0</v>
      </c>
      <c r="J121" s="45">
        <v>0</v>
      </c>
      <c r="K121" s="45">
        <v>0</v>
      </c>
      <c r="L121" s="45">
        <v>0</v>
      </c>
      <c r="M121" s="45">
        <v>0</v>
      </c>
      <c r="N121" s="45">
        <f t="shared" si="15"/>
        <v>100</v>
      </c>
      <c r="O121" s="46">
        <f t="shared" si="13"/>
        <v>7.8344732491910911E-5</v>
      </c>
      <c r="P121" s="9"/>
    </row>
    <row r="122" spans="1:16">
      <c r="A122" s="12"/>
      <c r="B122" s="38">
        <v>358.2</v>
      </c>
      <c r="C122" s="20" t="s">
        <v>236</v>
      </c>
      <c r="D122" s="45">
        <v>0</v>
      </c>
      <c r="E122" s="45">
        <v>759538</v>
      </c>
      <c r="F122" s="45">
        <v>0</v>
      </c>
      <c r="G122" s="45">
        <v>0</v>
      </c>
      <c r="H122" s="45">
        <v>0</v>
      </c>
      <c r="I122" s="45">
        <v>0</v>
      </c>
      <c r="J122" s="45">
        <v>0</v>
      </c>
      <c r="K122" s="45">
        <v>0</v>
      </c>
      <c r="L122" s="45">
        <v>0</v>
      </c>
      <c r="M122" s="45">
        <v>0</v>
      </c>
      <c r="N122" s="45">
        <f t="shared" si="15"/>
        <v>759538</v>
      </c>
      <c r="O122" s="46">
        <f t="shared" si="13"/>
        <v>0.5950580142744103</v>
      </c>
      <c r="P122" s="9"/>
    </row>
    <row r="123" spans="1:16">
      <c r="A123" s="12"/>
      <c r="B123" s="38">
        <v>359</v>
      </c>
      <c r="C123" s="20" t="s">
        <v>141</v>
      </c>
      <c r="D123" s="45">
        <v>178090</v>
      </c>
      <c r="E123" s="45">
        <v>0</v>
      </c>
      <c r="F123" s="45">
        <v>0</v>
      </c>
      <c r="G123" s="45">
        <v>0</v>
      </c>
      <c r="H123" s="45">
        <v>0</v>
      </c>
      <c r="I123" s="45">
        <v>0</v>
      </c>
      <c r="J123" s="45">
        <v>0</v>
      </c>
      <c r="K123" s="45">
        <v>0</v>
      </c>
      <c r="L123" s="45">
        <v>0</v>
      </c>
      <c r="M123" s="45">
        <v>0</v>
      </c>
      <c r="N123" s="45">
        <f t="shared" si="15"/>
        <v>178090</v>
      </c>
      <c r="O123" s="46">
        <f t="shared" si="13"/>
        <v>0.13952413409484413</v>
      </c>
      <c r="P123" s="9"/>
    </row>
    <row r="124" spans="1:16" ht="15.75">
      <c r="A124" s="28" t="s">
        <v>5</v>
      </c>
      <c r="B124" s="29"/>
      <c r="C124" s="30"/>
      <c r="D124" s="31">
        <f t="shared" ref="D124:M124" si="16">SUM(D125:D132)</f>
        <v>8430686</v>
      </c>
      <c r="E124" s="31">
        <f t="shared" si="16"/>
        <v>16353642</v>
      </c>
      <c r="F124" s="31">
        <f t="shared" si="16"/>
        <v>289204</v>
      </c>
      <c r="G124" s="31">
        <f t="shared" si="16"/>
        <v>276240</v>
      </c>
      <c r="H124" s="31">
        <f t="shared" si="16"/>
        <v>0</v>
      </c>
      <c r="I124" s="31">
        <f t="shared" si="16"/>
        <v>-1173000</v>
      </c>
      <c r="J124" s="31">
        <f t="shared" si="16"/>
        <v>1774686</v>
      </c>
      <c r="K124" s="31">
        <f t="shared" si="16"/>
        <v>0</v>
      </c>
      <c r="L124" s="31">
        <f t="shared" si="16"/>
        <v>0</v>
      </c>
      <c r="M124" s="31">
        <f t="shared" si="16"/>
        <v>638966</v>
      </c>
      <c r="N124" s="31">
        <f>SUM(D124:M124)</f>
        <v>26590424</v>
      </c>
      <c r="O124" s="44">
        <f t="shared" si="13"/>
        <v>20.832196551264875</v>
      </c>
      <c r="P124" s="10"/>
    </row>
    <row r="125" spans="1:16">
      <c r="A125" s="11"/>
      <c r="B125" s="24">
        <v>361.1</v>
      </c>
      <c r="C125" s="19" t="s">
        <v>142</v>
      </c>
      <c r="D125" s="45">
        <v>2516737</v>
      </c>
      <c r="E125" s="45">
        <v>2592721</v>
      </c>
      <c r="F125" s="45">
        <v>165086</v>
      </c>
      <c r="G125" s="45">
        <v>166302</v>
      </c>
      <c r="H125" s="45">
        <v>0</v>
      </c>
      <c r="I125" s="45">
        <v>0</v>
      </c>
      <c r="J125" s="45">
        <v>0</v>
      </c>
      <c r="K125" s="45">
        <v>0</v>
      </c>
      <c r="L125" s="45">
        <v>0</v>
      </c>
      <c r="M125" s="45">
        <v>636681</v>
      </c>
      <c r="N125" s="45">
        <f>SUM(D125:M125)</f>
        <v>6077527</v>
      </c>
      <c r="O125" s="46">
        <f t="shared" si="13"/>
        <v>4.7614222702736582</v>
      </c>
      <c r="P125" s="9"/>
    </row>
    <row r="126" spans="1:16">
      <c r="A126" s="11"/>
      <c r="B126" s="24">
        <v>361.3</v>
      </c>
      <c r="C126" s="19" t="s">
        <v>143</v>
      </c>
      <c r="D126" s="45">
        <v>-600067</v>
      </c>
      <c r="E126" s="45">
        <v>-678598</v>
      </c>
      <c r="F126" s="45">
        <v>-51433</v>
      </c>
      <c r="G126" s="45">
        <v>-46471</v>
      </c>
      <c r="H126" s="45">
        <v>0</v>
      </c>
      <c r="I126" s="45">
        <v>0</v>
      </c>
      <c r="J126" s="45">
        <v>0</v>
      </c>
      <c r="K126" s="45">
        <v>0</v>
      </c>
      <c r="L126" s="45">
        <v>0</v>
      </c>
      <c r="M126" s="45">
        <v>-167</v>
      </c>
      <c r="N126" s="45">
        <f t="shared" ref="N126:N132" si="17">SUM(D126:M126)</f>
        <v>-1376736</v>
      </c>
      <c r="O126" s="46">
        <f t="shared" si="13"/>
        <v>-1.0786001363198345</v>
      </c>
      <c r="P126" s="9"/>
    </row>
    <row r="127" spans="1:16">
      <c r="A127" s="11"/>
      <c r="B127" s="24">
        <v>362</v>
      </c>
      <c r="C127" s="19" t="s">
        <v>145</v>
      </c>
      <c r="D127" s="45">
        <v>1297880</v>
      </c>
      <c r="E127" s="45">
        <v>11247</v>
      </c>
      <c r="F127" s="45">
        <v>168669</v>
      </c>
      <c r="G127" s="45">
        <v>152976</v>
      </c>
      <c r="H127" s="45">
        <v>0</v>
      </c>
      <c r="I127" s="45">
        <v>0</v>
      </c>
      <c r="J127" s="45">
        <v>0</v>
      </c>
      <c r="K127" s="45">
        <v>0</v>
      </c>
      <c r="L127" s="45">
        <v>0</v>
      </c>
      <c r="M127" s="45">
        <v>0</v>
      </c>
      <c r="N127" s="45">
        <f t="shared" si="17"/>
        <v>1630772</v>
      </c>
      <c r="O127" s="46">
        <f t="shared" si="13"/>
        <v>1.2776239609529854</v>
      </c>
      <c r="P127" s="9"/>
    </row>
    <row r="128" spans="1:16">
      <c r="A128" s="11"/>
      <c r="B128" s="24">
        <v>364</v>
      </c>
      <c r="C128" s="19" t="s">
        <v>237</v>
      </c>
      <c r="D128" s="45">
        <v>1182881</v>
      </c>
      <c r="E128" s="45">
        <v>74287</v>
      </c>
      <c r="F128" s="45">
        <v>0</v>
      </c>
      <c r="G128" s="45">
        <v>0</v>
      </c>
      <c r="H128" s="45">
        <v>0</v>
      </c>
      <c r="I128" s="45">
        <v>-1173000</v>
      </c>
      <c r="J128" s="45">
        <v>1520000</v>
      </c>
      <c r="K128" s="45">
        <v>0</v>
      </c>
      <c r="L128" s="45">
        <v>0</v>
      </c>
      <c r="M128" s="45">
        <v>0</v>
      </c>
      <c r="N128" s="45">
        <f t="shared" si="17"/>
        <v>1604168</v>
      </c>
      <c r="O128" s="46">
        <f t="shared" si="13"/>
        <v>1.2567811283208374</v>
      </c>
      <c r="P128" s="9"/>
    </row>
    <row r="129" spans="1:119">
      <c r="A129" s="11"/>
      <c r="B129" s="24">
        <v>365</v>
      </c>
      <c r="C129" s="19" t="s">
        <v>238</v>
      </c>
      <c r="D129" s="45">
        <v>127306</v>
      </c>
      <c r="E129" s="45">
        <v>39288</v>
      </c>
      <c r="F129" s="45">
        <v>0</v>
      </c>
      <c r="G129" s="45">
        <v>0</v>
      </c>
      <c r="H129" s="45">
        <v>0</v>
      </c>
      <c r="I129" s="45">
        <v>0</v>
      </c>
      <c r="J129" s="45">
        <v>0</v>
      </c>
      <c r="K129" s="45">
        <v>0</v>
      </c>
      <c r="L129" s="45">
        <v>0</v>
      </c>
      <c r="M129" s="45">
        <v>0</v>
      </c>
      <c r="N129" s="45">
        <f t="shared" si="17"/>
        <v>166594</v>
      </c>
      <c r="O129" s="46">
        <f t="shared" si="13"/>
        <v>0.13051762364757405</v>
      </c>
      <c r="P129" s="9"/>
    </row>
    <row r="130" spans="1:119">
      <c r="A130" s="11"/>
      <c r="B130" s="24">
        <v>366</v>
      </c>
      <c r="C130" s="19" t="s">
        <v>148</v>
      </c>
      <c r="D130" s="45">
        <v>402930</v>
      </c>
      <c r="E130" s="45">
        <v>4431966</v>
      </c>
      <c r="F130" s="45">
        <v>0</v>
      </c>
      <c r="G130" s="45">
        <v>0</v>
      </c>
      <c r="H130" s="45">
        <v>0</v>
      </c>
      <c r="I130" s="45">
        <v>0</v>
      </c>
      <c r="J130" s="45">
        <v>0</v>
      </c>
      <c r="K130" s="45">
        <v>0</v>
      </c>
      <c r="L130" s="45">
        <v>0</v>
      </c>
      <c r="M130" s="45">
        <v>0</v>
      </c>
      <c r="N130" s="45">
        <f t="shared" si="17"/>
        <v>4834896</v>
      </c>
      <c r="O130" s="46">
        <f t="shared" si="13"/>
        <v>3.7878863374621008</v>
      </c>
      <c r="P130" s="9"/>
    </row>
    <row r="131" spans="1:119">
      <c r="A131" s="11"/>
      <c r="B131" s="24">
        <v>369.3</v>
      </c>
      <c r="C131" s="19" t="s">
        <v>150</v>
      </c>
      <c r="D131" s="45">
        <v>97120</v>
      </c>
      <c r="E131" s="45">
        <v>802488</v>
      </c>
      <c r="F131" s="45">
        <v>0</v>
      </c>
      <c r="G131" s="45">
        <v>0</v>
      </c>
      <c r="H131" s="45">
        <v>0</v>
      </c>
      <c r="I131" s="45">
        <v>0</v>
      </c>
      <c r="J131" s="45">
        <v>0</v>
      </c>
      <c r="K131" s="45">
        <v>0</v>
      </c>
      <c r="L131" s="45">
        <v>0</v>
      </c>
      <c r="M131" s="45">
        <v>0</v>
      </c>
      <c r="N131" s="45">
        <f t="shared" si="17"/>
        <v>899608</v>
      </c>
      <c r="O131" s="46">
        <f t="shared" si="13"/>
        <v>0.7047954810758299</v>
      </c>
      <c r="P131" s="9"/>
    </row>
    <row r="132" spans="1:119">
      <c r="A132" s="11"/>
      <c r="B132" s="24">
        <v>369.9</v>
      </c>
      <c r="C132" s="19" t="s">
        <v>151</v>
      </c>
      <c r="D132" s="45">
        <v>3405899</v>
      </c>
      <c r="E132" s="45">
        <v>9080243</v>
      </c>
      <c r="F132" s="45">
        <v>6882</v>
      </c>
      <c r="G132" s="45">
        <v>3433</v>
      </c>
      <c r="H132" s="45">
        <v>0</v>
      </c>
      <c r="I132" s="45">
        <v>0</v>
      </c>
      <c r="J132" s="45">
        <v>254686</v>
      </c>
      <c r="K132" s="45">
        <v>0</v>
      </c>
      <c r="L132" s="45">
        <v>0</v>
      </c>
      <c r="M132" s="45">
        <v>2452</v>
      </c>
      <c r="N132" s="45">
        <f t="shared" si="17"/>
        <v>12753595</v>
      </c>
      <c r="O132" s="46">
        <f t="shared" si="13"/>
        <v>9.9917698858517241</v>
      </c>
      <c r="P132" s="9"/>
    </row>
    <row r="133" spans="1:119" ht="15.75">
      <c r="A133" s="28" t="s">
        <v>77</v>
      </c>
      <c r="B133" s="29"/>
      <c r="C133" s="30"/>
      <c r="D133" s="31">
        <f t="shared" ref="D133:M133" si="18">SUM(D134:D139)</f>
        <v>615245462</v>
      </c>
      <c r="E133" s="31">
        <f t="shared" si="18"/>
        <v>117423496</v>
      </c>
      <c r="F133" s="31">
        <f t="shared" si="18"/>
        <v>52084625</v>
      </c>
      <c r="G133" s="31">
        <f t="shared" si="18"/>
        <v>32951690</v>
      </c>
      <c r="H133" s="31">
        <f t="shared" si="18"/>
        <v>0</v>
      </c>
      <c r="I133" s="31">
        <f t="shared" si="18"/>
        <v>31190124</v>
      </c>
      <c r="J133" s="31">
        <f t="shared" si="18"/>
        <v>2989942</v>
      </c>
      <c r="K133" s="31">
        <f t="shared" si="18"/>
        <v>0</v>
      </c>
      <c r="L133" s="31">
        <f t="shared" si="18"/>
        <v>0</v>
      </c>
      <c r="M133" s="31">
        <f t="shared" si="18"/>
        <v>3293900</v>
      </c>
      <c r="N133" s="31">
        <f t="shared" ref="N133:N140" si="19">SUM(D133:M133)</f>
        <v>855179239</v>
      </c>
      <c r="O133" s="44">
        <f t="shared" ref="O133:O140" si="20">(N133/O$142)</f>
        <v>669.98788712090948</v>
      </c>
      <c r="P133" s="9"/>
    </row>
    <row r="134" spans="1:119">
      <c r="A134" s="11"/>
      <c r="B134" s="24">
        <v>381</v>
      </c>
      <c r="C134" s="19" t="s">
        <v>152</v>
      </c>
      <c r="D134" s="45">
        <v>615178725</v>
      </c>
      <c r="E134" s="45">
        <v>88959674</v>
      </c>
      <c r="F134" s="45">
        <v>52084625</v>
      </c>
      <c r="G134" s="45">
        <v>30951690</v>
      </c>
      <c r="H134" s="45">
        <v>0</v>
      </c>
      <c r="I134" s="45">
        <v>121000</v>
      </c>
      <c r="J134" s="45">
        <v>1942942</v>
      </c>
      <c r="K134" s="45">
        <v>0</v>
      </c>
      <c r="L134" s="45">
        <v>0</v>
      </c>
      <c r="M134" s="45">
        <v>0</v>
      </c>
      <c r="N134" s="45">
        <f t="shared" si="19"/>
        <v>789238656</v>
      </c>
      <c r="O134" s="46">
        <f t="shared" si="20"/>
        <v>618.3269137659529</v>
      </c>
      <c r="P134" s="9"/>
    </row>
    <row r="135" spans="1:119">
      <c r="A135" s="11"/>
      <c r="B135" s="24">
        <v>383</v>
      </c>
      <c r="C135" s="19" t="s">
        <v>199</v>
      </c>
      <c r="D135" s="45">
        <v>66737</v>
      </c>
      <c r="E135" s="45">
        <v>0</v>
      </c>
      <c r="F135" s="45">
        <v>0</v>
      </c>
      <c r="G135" s="45">
        <v>0</v>
      </c>
      <c r="H135" s="45">
        <v>0</v>
      </c>
      <c r="I135" s="45">
        <v>0</v>
      </c>
      <c r="J135" s="45">
        <v>0</v>
      </c>
      <c r="K135" s="45">
        <v>0</v>
      </c>
      <c r="L135" s="45">
        <v>0</v>
      </c>
      <c r="M135" s="45">
        <v>0</v>
      </c>
      <c r="N135" s="45">
        <f t="shared" si="19"/>
        <v>66737</v>
      </c>
      <c r="O135" s="46">
        <f t="shared" si="20"/>
        <v>5.2284924123126582E-2</v>
      </c>
      <c r="P135" s="9"/>
    </row>
    <row r="136" spans="1:119">
      <c r="A136" s="11"/>
      <c r="B136" s="24">
        <v>384</v>
      </c>
      <c r="C136" s="19" t="s">
        <v>153</v>
      </c>
      <c r="D136" s="45">
        <v>0</v>
      </c>
      <c r="E136" s="45">
        <v>28463822</v>
      </c>
      <c r="F136" s="45">
        <v>0</v>
      </c>
      <c r="G136" s="45">
        <v>2000000</v>
      </c>
      <c r="H136" s="45">
        <v>0</v>
      </c>
      <c r="I136" s="45">
        <v>0</v>
      </c>
      <c r="J136" s="45">
        <v>0</v>
      </c>
      <c r="K136" s="45">
        <v>0</v>
      </c>
      <c r="L136" s="45">
        <v>0</v>
      </c>
      <c r="M136" s="45">
        <v>0</v>
      </c>
      <c r="N136" s="45">
        <f t="shared" si="19"/>
        <v>30463822</v>
      </c>
      <c r="O136" s="46">
        <f t="shared" si="20"/>
        <v>23.866799852711903</v>
      </c>
      <c r="P136" s="9"/>
    </row>
    <row r="137" spans="1:119">
      <c r="A137" s="11"/>
      <c r="B137" s="24">
        <v>389.1</v>
      </c>
      <c r="C137" s="19" t="s">
        <v>239</v>
      </c>
      <c r="D137" s="45">
        <v>0</v>
      </c>
      <c r="E137" s="45">
        <v>0</v>
      </c>
      <c r="F137" s="45">
        <v>0</v>
      </c>
      <c r="G137" s="45">
        <v>0</v>
      </c>
      <c r="H137" s="45">
        <v>0</v>
      </c>
      <c r="I137" s="45">
        <v>7885000</v>
      </c>
      <c r="J137" s="45">
        <v>1008000</v>
      </c>
      <c r="K137" s="45">
        <v>0</v>
      </c>
      <c r="L137" s="45">
        <v>0</v>
      </c>
      <c r="M137" s="45">
        <v>0</v>
      </c>
      <c r="N137" s="45">
        <f t="shared" si="19"/>
        <v>8893000</v>
      </c>
      <c r="O137" s="46">
        <f t="shared" si="20"/>
        <v>6.9671970605056366</v>
      </c>
      <c r="P137" s="9"/>
    </row>
    <row r="138" spans="1:119">
      <c r="A138" s="11"/>
      <c r="B138" s="24">
        <v>389.4</v>
      </c>
      <c r="C138" s="19" t="s">
        <v>240</v>
      </c>
      <c r="D138" s="45">
        <v>0</v>
      </c>
      <c r="E138" s="45">
        <v>0</v>
      </c>
      <c r="F138" s="45">
        <v>0</v>
      </c>
      <c r="G138" s="45">
        <v>0</v>
      </c>
      <c r="H138" s="45">
        <v>0</v>
      </c>
      <c r="I138" s="45">
        <v>19925124</v>
      </c>
      <c r="J138" s="45">
        <v>0</v>
      </c>
      <c r="K138" s="45">
        <v>0</v>
      </c>
      <c r="L138" s="45">
        <v>0</v>
      </c>
      <c r="M138" s="45">
        <v>3293900</v>
      </c>
      <c r="N138" s="45">
        <f t="shared" si="19"/>
        <v>23219024</v>
      </c>
      <c r="O138" s="46">
        <f t="shared" si="20"/>
        <v>18.190882240032593</v>
      </c>
      <c r="P138" s="9"/>
    </row>
    <row r="139" spans="1:119" ht="15.75" thickBot="1">
      <c r="A139" s="11"/>
      <c r="B139" s="24">
        <v>389.9</v>
      </c>
      <c r="C139" s="19" t="s">
        <v>241</v>
      </c>
      <c r="D139" s="45">
        <v>0</v>
      </c>
      <c r="E139" s="45">
        <v>0</v>
      </c>
      <c r="F139" s="45">
        <v>0</v>
      </c>
      <c r="G139" s="45">
        <v>0</v>
      </c>
      <c r="H139" s="45">
        <v>0</v>
      </c>
      <c r="I139" s="45">
        <v>3259000</v>
      </c>
      <c r="J139" s="45">
        <v>39000</v>
      </c>
      <c r="K139" s="45">
        <v>0</v>
      </c>
      <c r="L139" s="45">
        <v>0</v>
      </c>
      <c r="M139" s="45">
        <v>0</v>
      </c>
      <c r="N139" s="45">
        <f t="shared" si="19"/>
        <v>3298000</v>
      </c>
      <c r="O139" s="46">
        <f t="shared" si="20"/>
        <v>2.5838092775832218</v>
      </c>
      <c r="P139" s="9"/>
    </row>
    <row r="140" spans="1:119" ht="16.5" thickBot="1">
      <c r="A140" s="13" t="s">
        <v>114</v>
      </c>
      <c r="B140" s="22"/>
      <c r="C140" s="21"/>
      <c r="D140" s="14">
        <f t="shared" ref="D140:M140" si="21">SUM(D5,D12,D25,D70,D111,D124,D133)</f>
        <v>1256952614</v>
      </c>
      <c r="E140" s="14">
        <f t="shared" si="21"/>
        <v>770178939</v>
      </c>
      <c r="F140" s="14">
        <f t="shared" si="21"/>
        <v>57249966</v>
      </c>
      <c r="G140" s="14">
        <f t="shared" si="21"/>
        <v>34188040</v>
      </c>
      <c r="H140" s="14">
        <f t="shared" si="21"/>
        <v>0</v>
      </c>
      <c r="I140" s="14">
        <f t="shared" si="21"/>
        <v>335958124</v>
      </c>
      <c r="J140" s="14">
        <f t="shared" si="21"/>
        <v>162151550</v>
      </c>
      <c r="K140" s="14">
        <f t="shared" si="21"/>
        <v>0</v>
      </c>
      <c r="L140" s="14">
        <f t="shared" si="21"/>
        <v>0</v>
      </c>
      <c r="M140" s="14">
        <f t="shared" si="21"/>
        <v>5882479</v>
      </c>
      <c r="N140" s="14">
        <f t="shared" si="19"/>
        <v>2622561712</v>
      </c>
      <c r="O140" s="37">
        <f t="shared" si="20"/>
        <v>2054.6389577016789</v>
      </c>
      <c r="P140" s="6"/>
      <c r="Q140" s="2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</row>
    <row r="141" spans="1:119">
      <c r="A141" s="15"/>
      <c r="B141" s="17"/>
      <c r="C141" s="17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8"/>
    </row>
    <row r="142" spans="1:119">
      <c r="A142" s="39"/>
      <c r="B142" s="40"/>
      <c r="C142" s="40"/>
      <c r="D142" s="41"/>
      <c r="E142" s="41"/>
      <c r="F142" s="41"/>
      <c r="G142" s="41"/>
      <c r="H142" s="41"/>
      <c r="I142" s="41"/>
      <c r="J142" s="41"/>
      <c r="K142" s="41"/>
      <c r="L142" s="48" t="s">
        <v>242</v>
      </c>
      <c r="M142" s="48"/>
      <c r="N142" s="48"/>
      <c r="O142" s="42">
        <v>1276410</v>
      </c>
    </row>
    <row r="143" spans="1:119">
      <c r="A143" s="49"/>
      <c r="B143" s="50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1"/>
    </row>
    <row r="144" spans="1:119" ht="15.75" customHeight="1" thickBot="1">
      <c r="A144" s="52" t="s">
        <v>178</v>
      </c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4"/>
    </row>
  </sheetData>
  <mergeCells count="10">
    <mergeCell ref="L142:N142"/>
    <mergeCell ref="A143:O143"/>
    <mergeCell ref="A144:O144"/>
    <mergeCell ref="A1:O1"/>
    <mergeCell ref="A2:O2"/>
    <mergeCell ref="A3:C4"/>
    <mergeCell ref="D3:H3"/>
    <mergeCell ref="I3:J3"/>
    <mergeCell ref="K3:L3"/>
    <mergeCell ref="O3:O4"/>
  </mergeCells>
  <printOptions horizontalCentered="1"/>
  <pageMargins left="0.5" right="0.5" top="0.5" bottom="0.5" header="0.3" footer="0.3"/>
  <pageSetup paperSize="5" scale="55" fitToHeight="0" orientation="landscape" r:id="rId1"/>
  <headerFooter>
    <oddFooter>&amp;L&amp;14Office of Economic and Demographic Research&amp;R&amp;14Page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EC143"/>
  <sheetViews>
    <sheetView workbookViewId="0">
      <selection sqref="A1:O1"/>
    </sheetView>
  </sheetViews>
  <sheetFormatPr defaultColWidth="9.77734375" defaultRowHeight="15"/>
  <cols>
    <col min="1" max="1" width="1.77734375" style="3" customWidth="1"/>
    <col min="2" max="2" width="6.77734375" style="3" customWidth="1"/>
    <col min="3" max="3" width="60.77734375" style="3" customWidth="1"/>
    <col min="4" max="5" width="16.77734375" style="4" customWidth="1"/>
    <col min="6" max="7" width="15.77734375" style="4" customWidth="1"/>
    <col min="8" max="8" width="13.77734375" style="4" customWidth="1"/>
    <col min="9" max="10" width="15.77734375" style="4" customWidth="1"/>
    <col min="11" max="13" width="13.77734375" style="4" customWidth="1"/>
    <col min="14" max="14" width="16.77734375" style="4" customWidth="1"/>
    <col min="15" max="15" width="13.77734375" style="3" customWidth="1"/>
    <col min="16" max="16" width="9.77734375" style="3" customWidth="1"/>
    <col min="17" max="17" width="9.77734375" style="3"/>
  </cols>
  <sheetData>
    <row r="1" spans="1:133" ht="27.75">
      <c r="A1" s="55" t="s">
        <v>165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7"/>
      <c r="P1" s="7"/>
      <c r="Q1"/>
    </row>
    <row r="2" spans="1:133" ht="24" thickBot="1">
      <c r="A2" s="58" t="s">
        <v>197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60"/>
      <c r="P2" s="7"/>
      <c r="Q2"/>
    </row>
    <row r="3" spans="1:133" ht="18" customHeight="1">
      <c r="A3" s="61" t="s">
        <v>158</v>
      </c>
      <c r="B3" s="62"/>
      <c r="C3" s="63"/>
      <c r="D3" s="67" t="s">
        <v>71</v>
      </c>
      <c r="E3" s="68"/>
      <c r="F3" s="68"/>
      <c r="G3" s="68"/>
      <c r="H3" s="69"/>
      <c r="I3" s="67" t="s">
        <v>72</v>
      </c>
      <c r="J3" s="69"/>
      <c r="K3" s="67" t="s">
        <v>74</v>
      </c>
      <c r="L3" s="69"/>
      <c r="M3" s="35"/>
      <c r="N3" s="36"/>
      <c r="O3" s="70" t="s">
        <v>163</v>
      </c>
      <c r="P3" s="5"/>
      <c r="Q3"/>
    </row>
    <row r="4" spans="1:133" ht="32.25" customHeight="1" thickBot="1">
      <c r="A4" s="64"/>
      <c r="B4" s="65"/>
      <c r="C4" s="66"/>
      <c r="D4" s="33" t="s">
        <v>6</v>
      </c>
      <c r="E4" s="33" t="s">
        <v>159</v>
      </c>
      <c r="F4" s="33" t="s">
        <v>160</v>
      </c>
      <c r="G4" s="33" t="s">
        <v>161</v>
      </c>
      <c r="H4" s="33" t="s">
        <v>7</v>
      </c>
      <c r="I4" s="33" t="s">
        <v>8</v>
      </c>
      <c r="J4" s="34" t="s">
        <v>162</v>
      </c>
      <c r="K4" s="34" t="s">
        <v>9</v>
      </c>
      <c r="L4" s="34" t="s">
        <v>10</v>
      </c>
      <c r="M4" s="34" t="s">
        <v>11</v>
      </c>
      <c r="N4" s="34" t="s">
        <v>73</v>
      </c>
      <c r="O4" s="71"/>
      <c r="P4" s="8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</row>
    <row r="5" spans="1:133" ht="15.75">
      <c r="A5" s="23" t="s">
        <v>2</v>
      </c>
      <c r="B5" s="25"/>
      <c r="C5" s="25"/>
      <c r="D5" s="26">
        <f t="shared" ref="D5:M5" si="0">SUM(D6:D12)</f>
        <v>510673029</v>
      </c>
      <c r="E5" s="26">
        <f t="shared" si="0"/>
        <v>301605270</v>
      </c>
      <c r="F5" s="26">
        <f t="shared" si="0"/>
        <v>4625295</v>
      </c>
      <c r="G5" s="26">
        <f t="shared" si="0"/>
        <v>0</v>
      </c>
      <c r="H5" s="26">
        <f t="shared" si="0"/>
        <v>0</v>
      </c>
      <c r="I5" s="26">
        <f t="shared" si="0"/>
        <v>0</v>
      </c>
      <c r="J5" s="26">
        <f t="shared" si="0"/>
        <v>0</v>
      </c>
      <c r="K5" s="26">
        <f t="shared" si="0"/>
        <v>0</v>
      </c>
      <c r="L5" s="26">
        <f t="shared" si="0"/>
        <v>0</v>
      </c>
      <c r="M5" s="26">
        <f t="shared" si="0"/>
        <v>33862</v>
      </c>
      <c r="N5" s="27">
        <f>SUM(D5:M5)</f>
        <v>816937456</v>
      </c>
      <c r="O5" s="32">
        <f t="shared" ref="O5:O36" si="1">(N5/O$141)</f>
        <v>650.36680948764365</v>
      </c>
      <c r="P5" s="6"/>
    </row>
    <row r="6" spans="1:133">
      <c r="A6" s="11"/>
      <c r="B6" s="24">
        <v>311</v>
      </c>
      <c r="C6" s="19" t="s">
        <v>3</v>
      </c>
      <c r="D6" s="45">
        <v>509226343</v>
      </c>
      <c r="E6" s="45">
        <v>32412462</v>
      </c>
      <c r="F6" s="45">
        <v>4625295</v>
      </c>
      <c r="G6" s="45">
        <v>0</v>
      </c>
      <c r="H6" s="45">
        <v>0</v>
      </c>
      <c r="I6" s="45">
        <v>0</v>
      </c>
      <c r="J6" s="45">
        <v>0</v>
      </c>
      <c r="K6" s="45">
        <v>0</v>
      </c>
      <c r="L6" s="45">
        <v>0</v>
      </c>
      <c r="M6" s="45">
        <v>0</v>
      </c>
      <c r="N6" s="45">
        <f>SUM(D6:M6)</f>
        <v>546264100</v>
      </c>
      <c r="O6" s="46">
        <f t="shared" si="1"/>
        <v>434.88278967421849</v>
      </c>
      <c r="P6" s="9"/>
    </row>
    <row r="7" spans="1:133">
      <c r="A7" s="11"/>
      <c r="B7" s="24">
        <v>312.10000000000002</v>
      </c>
      <c r="C7" s="19" t="s">
        <v>12</v>
      </c>
      <c r="D7" s="45">
        <v>0</v>
      </c>
      <c r="E7" s="45">
        <v>21032444</v>
      </c>
      <c r="F7" s="45">
        <v>0</v>
      </c>
      <c r="G7" s="45">
        <v>0</v>
      </c>
      <c r="H7" s="45">
        <v>0</v>
      </c>
      <c r="I7" s="45">
        <v>0</v>
      </c>
      <c r="J7" s="45">
        <v>0</v>
      </c>
      <c r="K7" s="45">
        <v>0</v>
      </c>
      <c r="L7" s="45">
        <v>0</v>
      </c>
      <c r="M7" s="45">
        <v>0</v>
      </c>
      <c r="N7" s="45">
        <f t="shared" ref="N7:N12" si="2">SUM(D7:M7)</f>
        <v>21032444</v>
      </c>
      <c r="O7" s="46">
        <f t="shared" si="1"/>
        <v>16.744003350003741</v>
      </c>
      <c r="P7" s="9"/>
    </row>
    <row r="8" spans="1:133">
      <c r="A8" s="11"/>
      <c r="B8" s="24">
        <v>312.3</v>
      </c>
      <c r="C8" s="19" t="s">
        <v>13</v>
      </c>
      <c r="D8" s="45">
        <v>0</v>
      </c>
      <c r="E8" s="45">
        <v>6525433</v>
      </c>
      <c r="F8" s="45">
        <v>0</v>
      </c>
      <c r="G8" s="45">
        <v>0</v>
      </c>
      <c r="H8" s="45">
        <v>0</v>
      </c>
      <c r="I8" s="45">
        <v>0</v>
      </c>
      <c r="J8" s="45">
        <v>0</v>
      </c>
      <c r="K8" s="45">
        <v>0</v>
      </c>
      <c r="L8" s="45">
        <v>0</v>
      </c>
      <c r="M8" s="45">
        <v>0</v>
      </c>
      <c r="N8" s="45">
        <f t="shared" si="2"/>
        <v>6525433</v>
      </c>
      <c r="O8" s="46">
        <f t="shared" si="1"/>
        <v>5.194920381683886</v>
      </c>
      <c r="P8" s="9"/>
    </row>
    <row r="9" spans="1:133">
      <c r="A9" s="11"/>
      <c r="B9" s="24">
        <v>312.41000000000003</v>
      </c>
      <c r="C9" s="19" t="s">
        <v>14</v>
      </c>
      <c r="D9" s="45">
        <v>0</v>
      </c>
      <c r="E9" s="45">
        <v>24578851</v>
      </c>
      <c r="F9" s="45">
        <v>0</v>
      </c>
      <c r="G9" s="45">
        <v>0</v>
      </c>
      <c r="H9" s="45">
        <v>0</v>
      </c>
      <c r="I9" s="45">
        <v>0</v>
      </c>
      <c r="J9" s="45">
        <v>0</v>
      </c>
      <c r="K9" s="45">
        <v>0</v>
      </c>
      <c r="L9" s="45">
        <v>0</v>
      </c>
      <c r="M9" s="45">
        <v>0</v>
      </c>
      <c r="N9" s="45">
        <f t="shared" si="2"/>
        <v>24578851</v>
      </c>
      <c r="O9" s="46">
        <f t="shared" si="1"/>
        <v>19.567310555218537</v>
      </c>
      <c r="P9" s="9"/>
    </row>
    <row r="10" spans="1:133">
      <c r="A10" s="11"/>
      <c r="B10" s="24">
        <v>312.60000000000002</v>
      </c>
      <c r="C10" s="19" t="s">
        <v>15</v>
      </c>
      <c r="D10" s="45">
        <v>0</v>
      </c>
      <c r="E10" s="45">
        <v>191549075</v>
      </c>
      <c r="F10" s="45">
        <v>0</v>
      </c>
      <c r="G10" s="45">
        <v>0</v>
      </c>
      <c r="H10" s="45">
        <v>0</v>
      </c>
      <c r="I10" s="45">
        <v>0</v>
      </c>
      <c r="J10" s="45">
        <v>0</v>
      </c>
      <c r="K10" s="45">
        <v>0</v>
      </c>
      <c r="L10" s="45">
        <v>0</v>
      </c>
      <c r="M10" s="45">
        <v>0</v>
      </c>
      <c r="N10" s="45">
        <f t="shared" si="2"/>
        <v>191549075</v>
      </c>
      <c r="O10" s="46">
        <f t="shared" si="1"/>
        <v>152.49289875632704</v>
      </c>
      <c r="P10" s="9"/>
    </row>
    <row r="11" spans="1:133">
      <c r="A11" s="11"/>
      <c r="B11" s="24">
        <v>315</v>
      </c>
      <c r="C11" s="19" t="s">
        <v>16</v>
      </c>
      <c r="D11" s="45">
        <v>0</v>
      </c>
      <c r="E11" s="45">
        <v>25082249</v>
      </c>
      <c r="F11" s="45">
        <v>0</v>
      </c>
      <c r="G11" s="45">
        <v>0</v>
      </c>
      <c r="H11" s="45">
        <v>0</v>
      </c>
      <c r="I11" s="45">
        <v>0</v>
      </c>
      <c r="J11" s="45">
        <v>0</v>
      </c>
      <c r="K11" s="45">
        <v>0</v>
      </c>
      <c r="L11" s="45">
        <v>0</v>
      </c>
      <c r="M11" s="45">
        <v>0</v>
      </c>
      <c r="N11" s="45">
        <f t="shared" si="2"/>
        <v>25082249</v>
      </c>
      <c r="O11" s="46">
        <f t="shared" si="1"/>
        <v>19.96806749047462</v>
      </c>
      <c r="P11" s="9"/>
    </row>
    <row r="12" spans="1:133">
      <c r="A12" s="11"/>
      <c r="B12" s="24">
        <v>316</v>
      </c>
      <c r="C12" s="19" t="s">
        <v>17</v>
      </c>
      <c r="D12" s="45">
        <v>1446686</v>
      </c>
      <c r="E12" s="45">
        <v>424756</v>
      </c>
      <c r="F12" s="45">
        <v>0</v>
      </c>
      <c r="G12" s="45">
        <v>0</v>
      </c>
      <c r="H12" s="45">
        <v>0</v>
      </c>
      <c r="I12" s="45">
        <v>0</v>
      </c>
      <c r="J12" s="45">
        <v>0</v>
      </c>
      <c r="K12" s="45">
        <v>0</v>
      </c>
      <c r="L12" s="45">
        <v>0</v>
      </c>
      <c r="M12" s="45">
        <v>33862</v>
      </c>
      <c r="N12" s="45">
        <f t="shared" si="2"/>
        <v>1905304</v>
      </c>
      <c r="O12" s="46">
        <f t="shared" si="1"/>
        <v>1.5168192797173514</v>
      </c>
      <c r="P12" s="9"/>
    </row>
    <row r="13" spans="1:133" ht="15.75">
      <c r="A13" s="28" t="s">
        <v>18</v>
      </c>
      <c r="B13" s="29"/>
      <c r="C13" s="30"/>
      <c r="D13" s="31">
        <f t="shared" ref="D13:M13" si="3">SUM(D14:D26)</f>
        <v>2781413</v>
      </c>
      <c r="E13" s="31">
        <f t="shared" si="3"/>
        <v>38950236</v>
      </c>
      <c r="F13" s="31">
        <f t="shared" si="3"/>
        <v>0</v>
      </c>
      <c r="G13" s="31">
        <f t="shared" si="3"/>
        <v>0</v>
      </c>
      <c r="H13" s="31">
        <f t="shared" si="3"/>
        <v>0</v>
      </c>
      <c r="I13" s="31">
        <f t="shared" si="3"/>
        <v>0</v>
      </c>
      <c r="J13" s="31">
        <f t="shared" si="3"/>
        <v>0</v>
      </c>
      <c r="K13" s="31">
        <f t="shared" si="3"/>
        <v>0</v>
      </c>
      <c r="L13" s="31">
        <f t="shared" si="3"/>
        <v>0</v>
      </c>
      <c r="M13" s="31">
        <f t="shared" si="3"/>
        <v>2017000</v>
      </c>
      <c r="N13" s="43">
        <f>SUM(D13:M13)</f>
        <v>43748649</v>
      </c>
      <c r="O13" s="44">
        <f t="shared" si="1"/>
        <v>34.828454810774147</v>
      </c>
      <c r="P13" s="10"/>
    </row>
    <row r="14" spans="1:133">
      <c r="A14" s="11"/>
      <c r="B14" s="24">
        <v>322</v>
      </c>
      <c r="C14" s="19" t="s">
        <v>0</v>
      </c>
      <c r="D14" s="45">
        <v>870</v>
      </c>
      <c r="E14" s="45">
        <v>6158314</v>
      </c>
      <c r="F14" s="45">
        <v>0</v>
      </c>
      <c r="G14" s="45">
        <v>0</v>
      </c>
      <c r="H14" s="45">
        <v>0</v>
      </c>
      <c r="I14" s="45">
        <v>0</v>
      </c>
      <c r="J14" s="45">
        <v>0</v>
      </c>
      <c r="K14" s="45">
        <v>0</v>
      </c>
      <c r="L14" s="45">
        <v>0</v>
      </c>
      <c r="M14" s="45">
        <v>0</v>
      </c>
      <c r="N14" s="45">
        <f>SUM(D14:M14)</f>
        <v>6159184</v>
      </c>
      <c r="O14" s="46">
        <f t="shared" si="1"/>
        <v>4.9033482523138749</v>
      </c>
      <c r="P14" s="9"/>
    </row>
    <row r="15" spans="1:133">
      <c r="A15" s="11"/>
      <c r="B15" s="24">
        <v>323.3</v>
      </c>
      <c r="C15" s="19" t="s">
        <v>19</v>
      </c>
      <c r="D15" s="45">
        <v>24967</v>
      </c>
      <c r="E15" s="45">
        <v>0</v>
      </c>
      <c r="F15" s="45">
        <v>0</v>
      </c>
      <c r="G15" s="45">
        <v>0</v>
      </c>
      <c r="H15" s="45">
        <v>0</v>
      </c>
      <c r="I15" s="45">
        <v>0</v>
      </c>
      <c r="J15" s="45">
        <v>0</v>
      </c>
      <c r="K15" s="45">
        <v>0</v>
      </c>
      <c r="L15" s="45">
        <v>0</v>
      </c>
      <c r="M15" s="45">
        <v>0</v>
      </c>
      <c r="N15" s="45">
        <f t="shared" ref="N15:N26" si="4">SUM(D15:M15)</f>
        <v>24967</v>
      </c>
      <c r="O15" s="46">
        <f t="shared" si="1"/>
        <v>1.9876317352350657E-2</v>
      </c>
      <c r="P15" s="9"/>
    </row>
    <row r="16" spans="1:133">
      <c r="A16" s="11"/>
      <c r="B16" s="24">
        <v>323.60000000000002</v>
      </c>
      <c r="C16" s="19" t="s">
        <v>20</v>
      </c>
      <c r="D16" s="45">
        <v>35411</v>
      </c>
      <c r="E16" s="45">
        <v>0</v>
      </c>
      <c r="F16" s="45">
        <v>0</v>
      </c>
      <c r="G16" s="45">
        <v>0</v>
      </c>
      <c r="H16" s="45">
        <v>0</v>
      </c>
      <c r="I16" s="45">
        <v>0</v>
      </c>
      <c r="J16" s="45">
        <v>0</v>
      </c>
      <c r="K16" s="45">
        <v>0</v>
      </c>
      <c r="L16" s="45">
        <v>0</v>
      </c>
      <c r="M16" s="45">
        <v>0</v>
      </c>
      <c r="N16" s="45">
        <f t="shared" si="4"/>
        <v>35411</v>
      </c>
      <c r="O16" s="46">
        <f t="shared" si="1"/>
        <v>2.8190822836708016E-2</v>
      </c>
      <c r="P16" s="9"/>
    </row>
    <row r="17" spans="1:16">
      <c r="A17" s="11"/>
      <c r="B17" s="24">
        <v>324.11</v>
      </c>
      <c r="C17" s="19" t="s">
        <v>21</v>
      </c>
      <c r="D17" s="45">
        <v>0</v>
      </c>
      <c r="E17" s="45">
        <v>152295</v>
      </c>
      <c r="F17" s="45">
        <v>0</v>
      </c>
      <c r="G17" s="45">
        <v>0</v>
      </c>
      <c r="H17" s="45">
        <v>0</v>
      </c>
      <c r="I17" s="45">
        <v>0</v>
      </c>
      <c r="J17" s="45">
        <v>0</v>
      </c>
      <c r="K17" s="45">
        <v>0</v>
      </c>
      <c r="L17" s="45">
        <v>0</v>
      </c>
      <c r="M17" s="45">
        <v>0</v>
      </c>
      <c r="N17" s="45">
        <f t="shared" si="4"/>
        <v>152295</v>
      </c>
      <c r="O17" s="46">
        <f t="shared" si="1"/>
        <v>0.1212425902662011</v>
      </c>
      <c r="P17" s="9"/>
    </row>
    <row r="18" spans="1:16">
      <c r="A18" s="11"/>
      <c r="B18" s="24">
        <v>324.12</v>
      </c>
      <c r="C18" s="19" t="s">
        <v>180</v>
      </c>
      <c r="D18" s="45">
        <v>0</v>
      </c>
      <c r="E18" s="45">
        <v>11005</v>
      </c>
      <c r="F18" s="45">
        <v>0</v>
      </c>
      <c r="G18" s="45">
        <v>0</v>
      </c>
      <c r="H18" s="45">
        <v>0</v>
      </c>
      <c r="I18" s="45">
        <v>0</v>
      </c>
      <c r="J18" s="45">
        <v>0</v>
      </c>
      <c r="K18" s="45">
        <v>0</v>
      </c>
      <c r="L18" s="45">
        <v>0</v>
      </c>
      <c r="M18" s="45">
        <v>0</v>
      </c>
      <c r="N18" s="45">
        <f t="shared" si="4"/>
        <v>11005</v>
      </c>
      <c r="O18" s="46">
        <f t="shared" si="1"/>
        <v>8.761119576345535E-3</v>
      </c>
      <c r="P18" s="9"/>
    </row>
    <row r="19" spans="1:16">
      <c r="A19" s="11"/>
      <c r="B19" s="24">
        <v>324.20999999999998</v>
      </c>
      <c r="C19" s="19" t="s">
        <v>22</v>
      </c>
      <c r="D19" s="45">
        <v>0</v>
      </c>
      <c r="E19" s="45">
        <v>14370841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5">
        <v>0</v>
      </c>
      <c r="L19" s="45">
        <v>0</v>
      </c>
      <c r="M19" s="45">
        <v>0</v>
      </c>
      <c r="N19" s="45">
        <f t="shared" si="4"/>
        <v>14370841</v>
      </c>
      <c r="O19" s="46">
        <f t="shared" si="1"/>
        <v>11.440677547809999</v>
      </c>
      <c r="P19" s="9"/>
    </row>
    <row r="20" spans="1:16">
      <c r="A20" s="11"/>
      <c r="B20" s="24">
        <v>324.31</v>
      </c>
      <c r="C20" s="19" t="s">
        <v>23</v>
      </c>
      <c r="D20" s="45">
        <v>0</v>
      </c>
      <c r="E20" s="45">
        <v>2344100</v>
      </c>
      <c r="F20" s="45">
        <v>0</v>
      </c>
      <c r="G20" s="45">
        <v>0</v>
      </c>
      <c r="H20" s="45">
        <v>0</v>
      </c>
      <c r="I20" s="45">
        <v>0</v>
      </c>
      <c r="J20" s="45">
        <v>0</v>
      </c>
      <c r="K20" s="45">
        <v>0</v>
      </c>
      <c r="L20" s="45">
        <v>0</v>
      </c>
      <c r="M20" s="45">
        <v>0</v>
      </c>
      <c r="N20" s="45">
        <f t="shared" si="4"/>
        <v>2344100</v>
      </c>
      <c r="O20" s="46">
        <f t="shared" si="1"/>
        <v>1.8661463333858761</v>
      </c>
      <c r="P20" s="9"/>
    </row>
    <row r="21" spans="1:16">
      <c r="A21" s="11"/>
      <c r="B21" s="24">
        <v>324.32</v>
      </c>
      <c r="C21" s="19" t="s">
        <v>167</v>
      </c>
      <c r="D21" s="45">
        <v>0</v>
      </c>
      <c r="E21" s="45">
        <v>352974</v>
      </c>
      <c r="F21" s="45">
        <v>0</v>
      </c>
      <c r="G21" s="45">
        <v>0</v>
      </c>
      <c r="H21" s="45">
        <v>0</v>
      </c>
      <c r="I21" s="45">
        <v>0</v>
      </c>
      <c r="J21" s="45">
        <v>0</v>
      </c>
      <c r="K21" s="45">
        <v>0</v>
      </c>
      <c r="L21" s="45">
        <v>0</v>
      </c>
      <c r="M21" s="45">
        <v>0</v>
      </c>
      <c r="N21" s="45">
        <f t="shared" si="4"/>
        <v>352974</v>
      </c>
      <c r="O21" s="46">
        <f t="shared" si="1"/>
        <v>0.2810038547333929</v>
      </c>
      <c r="P21" s="9"/>
    </row>
    <row r="22" spans="1:16">
      <c r="A22" s="11"/>
      <c r="B22" s="24">
        <v>324.61</v>
      </c>
      <c r="C22" s="19" t="s">
        <v>24</v>
      </c>
      <c r="D22" s="45">
        <v>0</v>
      </c>
      <c r="E22" s="45">
        <v>944374</v>
      </c>
      <c r="F22" s="45">
        <v>0</v>
      </c>
      <c r="G22" s="45">
        <v>0</v>
      </c>
      <c r="H22" s="45">
        <v>0</v>
      </c>
      <c r="I22" s="45">
        <v>0</v>
      </c>
      <c r="J22" s="45">
        <v>0</v>
      </c>
      <c r="K22" s="45">
        <v>0</v>
      </c>
      <c r="L22" s="45">
        <v>0</v>
      </c>
      <c r="M22" s="45">
        <v>0</v>
      </c>
      <c r="N22" s="45">
        <f t="shared" si="4"/>
        <v>944374</v>
      </c>
      <c r="O22" s="46">
        <f t="shared" si="1"/>
        <v>0.75181949466531006</v>
      </c>
      <c r="P22" s="9"/>
    </row>
    <row r="23" spans="1:16">
      <c r="A23" s="11"/>
      <c r="B23" s="24">
        <v>325.10000000000002</v>
      </c>
      <c r="C23" s="19" t="s">
        <v>25</v>
      </c>
      <c r="D23" s="45">
        <v>0</v>
      </c>
      <c r="E23" s="45">
        <v>6127961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45">
        <v>0</v>
      </c>
      <c r="L23" s="45">
        <v>0</v>
      </c>
      <c r="M23" s="45">
        <v>2017000</v>
      </c>
      <c r="N23" s="45">
        <f t="shared" si="4"/>
        <v>8144961</v>
      </c>
      <c r="O23" s="46">
        <f t="shared" si="1"/>
        <v>6.4842323730732305</v>
      </c>
      <c r="P23" s="9"/>
    </row>
    <row r="24" spans="1:16">
      <c r="A24" s="11"/>
      <c r="B24" s="24">
        <v>325.2</v>
      </c>
      <c r="C24" s="19" t="s">
        <v>26</v>
      </c>
      <c r="D24" s="45">
        <v>0</v>
      </c>
      <c r="E24" s="45">
        <v>7854369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5">
        <v>0</v>
      </c>
      <c r="L24" s="45">
        <v>0</v>
      </c>
      <c r="M24" s="45">
        <v>0</v>
      </c>
      <c r="N24" s="45">
        <f t="shared" si="4"/>
        <v>7854369</v>
      </c>
      <c r="O24" s="46">
        <f t="shared" si="1"/>
        <v>6.2528910500446617</v>
      </c>
      <c r="P24" s="9"/>
    </row>
    <row r="25" spans="1:16">
      <c r="A25" s="11"/>
      <c r="B25" s="24">
        <v>329</v>
      </c>
      <c r="C25" s="19" t="s">
        <v>27</v>
      </c>
      <c r="D25" s="45">
        <v>557995</v>
      </c>
      <c r="E25" s="45">
        <v>487318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f>SUM(D25:M25)</f>
        <v>1045313</v>
      </c>
      <c r="O25" s="46">
        <f t="shared" si="1"/>
        <v>0.83217739097759924</v>
      </c>
      <c r="P25" s="9"/>
    </row>
    <row r="26" spans="1:16">
      <c r="A26" s="11"/>
      <c r="B26" s="24">
        <v>367</v>
      </c>
      <c r="C26" s="19" t="s">
        <v>149</v>
      </c>
      <c r="D26" s="45">
        <v>2162170</v>
      </c>
      <c r="E26" s="45">
        <v>146685</v>
      </c>
      <c r="F26" s="45">
        <v>0</v>
      </c>
      <c r="G26" s="45">
        <v>0</v>
      </c>
      <c r="H26" s="45">
        <v>0</v>
      </c>
      <c r="I26" s="45">
        <v>0</v>
      </c>
      <c r="J26" s="45">
        <v>0</v>
      </c>
      <c r="K26" s="45">
        <v>0</v>
      </c>
      <c r="L26" s="45">
        <v>0</v>
      </c>
      <c r="M26" s="45">
        <v>0</v>
      </c>
      <c r="N26" s="45">
        <f t="shared" si="4"/>
        <v>2308855</v>
      </c>
      <c r="O26" s="46">
        <f t="shared" si="1"/>
        <v>1.8380876637385979</v>
      </c>
      <c r="P26" s="9"/>
    </row>
    <row r="27" spans="1:16" ht="15.75">
      <c r="A27" s="28" t="s">
        <v>30</v>
      </c>
      <c r="B27" s="29"/>
      <c r="C27" s="30"/>
      <c r="D27" s="31">
        <f t="shared" ref="D27:M27" si="5">SUM(D28:D72)</f>
        <v>30797975</v>
      </c>
      <c r="E27" s="31">
        <f t="shared" si="5"/>
        <v>255790996</v>
      </c>
      <c r="F27" s="31">
        <f t="shared" si="5"/>
        <v>0</v>
      </c>
      <c r="G27" s="31">
        <f t="shared" si="5"/>
        <v>1003774</v>
      </c>
      <c r="H27" s="31">
        <f t="shared" si="5"/>
        <v>0</v>
      </c>
      <c r="I27" s="31">
        <f t="shared" si="5"/>
        <v>0</v>
      </c>
      <c r="J27" s="31">
        <f t="shared" si="5"/>
        <v>110000</v>
      </c>
      <c r="K27" s="31">
        <f t="shared" si="5"/>
        <v>0</v>
      </c>
      <c r="L27" s="31">
        <f t="shared" si="5"/>
        <v>0</v>
      </c>
      <c r="M27" s="31">
        <f t="shared" si="5"/>
        <v>3683671</v>
      </c>
      <c r="N27" s="43">
        <f>SUM(D27:M27)</f>
        <v>291386416</v>
      </c>
      <c r="O27" s="44">
        <f t="shared" si="1"/>
        <v>231.97376042696627</v>
      </c>
      <c r="P27" s="10"/>
    </row>
    <row r="28" spans="1:16">
      <c r="A28" s="11"/>
      <c r="B28" s="24">
        <v>331.1</v>
      </c>
      <c r="C28" s="19" t="s">
        <v>28</v>
      </c>
      <c r="D28" s="45">
        <v>0</v>
      </c>
      <c r="E28" s="45">
        <v>86553</v>
      </c>
      <c r="F28" s="45">
        <v>0</v>
      </c>
      <c r="G28" s="45">
        <v>0</v>
      </c>
      <c r="H28" s="45">
        <v>0</v>
      </c>
      <c r="I28" s="45">
        <v>0</v>
      </c>
      <c r="J28" s="45">
        <v>0</v>
      </c>
      <c r="K28" s="45">
        <v>0</v>
      </c>
      <c r="L28" s="45">
        <v>0</v>
      </c>
      <c r="M28" s="45">
        <v>0</v>
      </c>
      <c r="N28" s="45">
        <f>SUM(D28:M28)</f>
        <v>86553</v>
      </c>
      <c r="O28" s="46">
        <f t="shared" si="1"/>
        <v>6.8905150630752837E-2</v>
      </c>
      <c r="P28" s="9"/>
    </row>
    <row r="29" spans="1:16">
      <c r="A29" s="11"/>
      <c r="B29" s="24">
        <v>331.2</v>
      </c>
      <c r="C29" s="19" t="s">
        <v>29</v>
      </c>
      <c r="D29" s="45">
        <v>6946097</v>
      </c>
      <c r="E29" s="45">
        <v>8447124</v>
      </c>
      <c r="F29" s="45">
        <v>0</v>
      </c>
      <c r="G29" s="45">
        <v>0</v>
      </c>
      <c r="H29" s="45">
        <v>0</v>
      </c>
      <c r="I29" s="45">
        <v>0</v>
      </c>
      <c r="J29" s="45">
        <v>0</v>
      </c>
      <c r="K29" s="45">
        <v>0</v>
      </c>
      <c r="L29" s="45">
        <v>0</v>
      </c>
      <c r="M29" s="45">
        <v>0</v>
      </c>
      <c r="N29" s="45">
        <f>SUM(D29:M29)</f>
        <v>15393221</v>
      </c>
      <c r="O29" s="46">
        <f t="shared" si="1"/>
        <v>12.254597896057536</v>
      </c>
      <c r="P29" s="9"/>
    </row>
    <row r="30" spans="1:16">
      <c r="A30" s="11"/>
      <c r="B30" s="24">
        <v>331.39</v>
      </c>
      <c r="C30" s="19" t="s">
        <v>35</v>
      </c>
      <c r="D30" s="45">
        <v>0</v>
      </c>
      <c r="E30" s="45">
        <v>1291920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f t="shared" ref="N30:N40" si="6">SUM(D30:M30)</f>
        <v>1291920</v>
      </c>
      <c r="O30" s="46">
        <f t="shared" si="1"/>
        <v>1.0285020993250633</v>
      </c>
      <c r="P30" s="9"/>
    </row>
    <row r="31" spans="1:16">
      <c r="A31" s="11"/>
      <c r="B31" s="24">
        <v>331.49</v>
      </c>
      <c r="C31" s="19" t="s">
        <v>36</v>
      </c>
      <c r="D31" s="45">
        <v>0</v>
      </c>
      <c r="E31" s="45">
        <v>17165069</v>
      </c>
      <c r="F31" s="45">
        <v>0</v>
      </c>
      <c r="G31" s="45">
        <v>0</v>
      </c>
      <c r="H31" s="45">
        <v>0</v>
      </c>
      <c r="I31" s="45">
        <v>0</v>
      </c>
      <c r="J31" s="45">
        <v>0</v>
      </c>
      <c r="K31" s="45">
        <v>0</v>
      </c>
      <c r="L31" s="45">
        <v>0</v>
      </c>
      <c r="M31" s="45">
        <v>0</v>
      </c>
      <c r="N31" s="45">
        <f t="shared" si="6"/>
        <v>17165069</v>
      </c>
      <c r="O31" s="46">
        <f t="shared" si="1"/>
        <v>13.665172380301851</v>
      </c>
      <c r="P31" s="9"/>
    </row>
    <row r="32" spans="1:16">
      <c r="A32" s="11"/>
      <c r="B32" s="24">
        <v>331.5</v>
      </c>
      <c r="C32" s="19" t="s">
        <v>31</v>
      </c>
      <c r="D32" s="45">
        <v>0</v>
      </c>
      <c r="E32" s="45">
        <v>16605163</v>
      </c>
      <c r="F32" s="45">
        <v>0</v>
      </c>
      <c r="G32" s="45">
        <v>1003774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45">
        <f t="shared" si="6"/>
        <v>17608937</v>
      </c>
      <c r="O32" s="46">
        <f t="shared" si="1"/>
        <v>14.018537271179937</v>
      </c>
      <c r="P32" s="9"/>
    </row>
    <row r="33" spans="1:16">
      <c r="A33" s="11"/>
      <c r="B33" s="24">
        <v>331.61</v>
      </c>
      <c r="C33" s="19" t="s">
        <v>37</v>
      </c>
      <c r="D33" s="45">
        <v>0</v>
      </c>
      <c r="E33" s="45">
        <v>3071880</v>
      </c>
      <c r="F33" s="45">
        <v>0</v>
      </c>
      <c r="G33" s="45">
        <v>0</v>
      </c>
      <c r="H33" s="45">
        <v>0</v>
      </c>
      <c r="I33" s="45">
        <v>0</v>
      </c>
      <c r="J33" s="45">
        <v>0</v>
      </c>
      <c r="K33" s="45">
        <v>0</v>
      </c>
      <c r="L33" s="45">
        <v>0</v>
      </c>
      <c r="M33" s="45">
        <v>0</v>
      </c>
      <c r="N33" s="45">
        <f t="shared" si="6"/>
        <v>3071880</v>
      </c>
      <c r="O33" s="46">
        <f t="shared" si="1"/>
        <v>2.4455345755733138</v>
      </c>
      <c r="P33" s="9"/>
    </row>
    <row r="34" spans="1:16">
      <c r="A34" s="11"/>
      <c r="B34" s="24">
        <v>331.65</v>
      </c>
      <c r="C34" s="19" t="s">
        <v>38</v>
      </c>
      <c r="D34" s="45">
        <v>1150211</v>
      </c>
      <c r="E34" s="45">
        <v>0</v>
      </c>
      <c r="F34" s="45">
        <v>0</v>
      </c>
      <c r="G34" s="45">
        <v>0</v>
      </c>
      <c r="H34" s="45">
        <v>0</v>
      </c>
      <c r="I34" s="45">
        <v>0</v>
      </c>
      <c r="J34" s="45">
        <v>0</v>
      </c>
      <c r="K34" s="45">
        <v>0</v>
      </c>
      <c r="L34" s="45">
        <v>0</v>
      </c>
      <c r="M34" s="45">
        <v>0</v>
      </c>
      <c r="N34" s="45">
        <f t="shared" si="6"/>
        <v>1150211</v>
      </c>
      <c r="O34" s="46">
        <f t="shared" si="1"/>
        <v>0.9156870612474306</v>
      </c>
      <c r="P34" s="9"/>
    </row>
    <row r="35" spans="1:16">
      <c r="A35" s="11"/>
      <c r="B35" s="24">
        <v>331.69</v>
      </c>
      <c r="C35" s="19" t="s">
        <v>39</v>
      </c>
      <c r="D35" s="45">
        <v>3900</v>
      </c>
      <c r="E35" s="45">
        <v>46806847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f t="shared" si="6"/>
        <v>46810747</v>
      </c>
      <c r="O35" s="46">
        <f t="shared" si="1"/>
        <v>37.266201901413723</v>
      </c>
      <c r="P35" s="9"/>
    </row>
    <row r="36" spans="1:16">
      <c r="A36" s="11"/>
      <c r="B36" s="24">
        <v>331.7</v>
      </c>
      <c r="C36" s="19" t="s">
        <v>169</v>
      </c>
      <c r="D36" s="45">
        <v>0</v>
      </c>
      <c r="E36" s="45">
        <v>500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f t="shared" si="6"/>
        <v>500</v>
      </c>
      <c r="O36" s="46">
        <f t="shared" si="1"/>
        <v>3.980517753905286E-4</v>
      </c>
      <c r="P36" s="9"/>
    </row>
    <row r="37" spans="1:16">
      <c r="A37" s="11"/>
      <c r="B37" s="24">
        <v>331.82</v>
      </c>
      <c r="C37" s="19" t="s">
        <v>181</v>
      </c>
      <c r="D37" s="45">
        <v>0</v>
      </c>
      <c r="E37" s="45">
        <v>1095677</v>
      </c>
      <c r="F37" s="45">
        <v>0</v>
      </c>
      <c r="G37" s="45">
        <v>0</v>
      </c>
      <c r="H37" s="45">
        <v>0</v>
      </c>
      <c r="I37" s="45">
        <v>0</v>
      </c>
      <c r="J37" s="45">
        <v>0</v>
      </c>
      <c r="K37" s="45">
        <v>0</v>
      </c>
      <c r="L37" s="45">
        <v>0</v>
      </c>
      <c r="M37" s="45">
        <v>0</v>
      </c>
      <c r="N37" s="45">
        <f t="shared" si="6"/>
        <v>1095677</v>
      </c>
      <c r="O37" s="46">
        <f t="shared" ref="O37:O68" si="7">(N37/O$141)</f>
        <v>0.8722723502091364</v>
      </c>
      <c r="P37" s="9"/>
    </row>
    <row r="38" spans="1:16">
      <c r="A38" s="11"/>
      <c r="B38" s="24">
        <v>331.9</v>
      </c>
      <c r="C38" s="19" t="s">
        <v>32</v>
      </c>
      <c r="D38" s="45">
        <v>0</v>
      </c>
      <c r="E38" s="45">
        <v>2530754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5">
        <v>0</v>
      </c>
      <c r="L38" s="45">
        <v>0</v>
      </c>
      <c r="M38" s="45">
        <v>0</v>
      </c>
      <c r="N38" s="45">
        <f t="shared" si="6"/>
        <v>2530754</v>
      </c>
      <c r="O38" s="46">
        <f t="shared" si="7"/>
        <v>2.0147422455533635</v>
      </c>
      <c r="P38" s="9"/>
    </row>
    <row r="39" spans="1:16">
      <c r="A39" s="11"/>
      <c r="B39" s="24">
        <v>333</v>
      </c>
      <c r="C39" s="19" t="s">
        <v>4</v>
      </c>
      <c r="D39" s="45">
        <v>809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f t="shared" si="6"/>
        <v>809</v>
      </c>
      <c r="O39" s="46">
        <f t="shared" si="7"/>
        <v>6.4404777258187523E-4</v>
      </c>
      <c r="P39" s="9"/>
    </row>
    <row r="40" spans="1:16">
      <c r="A40" s="11"/>
      <c r="B40" s="24">
        <v>334.2</v>
      </c>
      <c r="C40" s="19" t="s">
        <v>33</v>
      </c>
      <c r="D40" s="45">
        <v>0</v>
      </c>
      <c r="E40" s="45">
        <v>1296442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5">
        <v>0</v>
      </c>
      <c r="L40" s="45">
        <v>0</v>
      </c>
      <c r="M40" s="45">
        <v>0</v>
      </c>
      <c r="N40" s="45">
        <f t="shared" si="6"/>
        <v>1296442</v>
      </c>
      <c r="O40" s="46">
        <f t="shared" si="7"/>
        <v>1.0321020795816953</v>
      </c>
      <c r="P40" s="9"/>
    </row>
    <row r="41" spans="1:16">
      <c r="A41" s="11"/>
      <c r="B41" s="24">
        <v>334.39</v>
      </c>
      <c r="C41" s="19" t="s">
        <v>40</v>
      </c>
      <c r="D41" s="45">
        <v>0</v>
      </c>
      <c r="E41" s="45">
        <v>3448451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f t="shared" ref="N41:N65" si="8">SUM(D41:M41)</f>
        <v>3448451</v>
      </c>
      <c r="O41" s="46">
        <f t="shared" si="7"/>
        <v>2.7453240857944876</v>
      </c>
      <c r="P41" s="9"/>
    </row>
    <row r="42" spans="1:16">
      <c r="A42" s="11"/>
      <c r="B42" s="24">
        <v>334.49</v>
      </c>
      <c r="C42" s="19" t="s">
        <v>41</v>
      </c>
      <c r="D42" s="45">
        <v>0</v>
      </c>
      <c r="E42" s="45">
        <v>-1308277</v>
      </c>
      <c r="F42" s="45">
        <v>0</v>
      </c>
      <c r="G42" s="45">
        <v>0</v>
      </c>
      <c r="H42" s="45">
        <v>0</v>
      </c>
      <c r="I42" s="45">
        <v>0</v>
      </c>
      <c r="J42" s="45">
        <v>0</v>
      </c>
      <c r="K42" s="45">
        <v>0</v>
      </c>
      <c r="L42" s="45">
        <v>0</v>
      </c>
      <c r="M42" s="45">
        <v>0</v>
      </c>
      <c r="N42" s="45">
        <f t="shared" si="8"/>
        <v>-1308277</v>
      </c>
      <c r="O42" s="46">
        <f t="shared" si="7"/>
        <v>-1.0415239651051891</v>
      </c>
      <c r="P42" s="9"/>
    </row>
    <row r="43" spans="1:16">
      <c r="A43" s="11"/>
      <c r="B43" s="24">
        <v>334.5</v>
      </c>
      <c r="C43" s="19" t="s">
        <v>42</v>
      </c>
      <c r="D43" s="45">
        <v>0</v>
      </c>
      <c r="E43" s="45">
        <v>701</v>
      </c>
      <c r="F43" s="45">
        <v>0</v>
      </c>
      <c r="G43" s="45">
        <v>0</v>
      </c>
      <c r="H43" s="45">
        <v>0</v>
      </c>
      <c r="I43" s="45">
        <v>0</v>
      </c>
      <c r="J43" s="45">
        <v>0</v>
      </c>
      <c r="K43" s="45">
        <v>0</v>
      </c>
      <c r="L43" s="45">
        <v>0</v>
      </c>
      <c r="M43" s="45">
        <v>0</v>
      </c>
      <c r="N43" s="45">
        <f t="shared" si="8"/>
        <v>701</v>
      </c>
      <c r="O43" s="46">
        <f t="shared" si="7"/>
        <v>5.5806858909752109E-4</v>
      </c>
      <c r="P43" s="9"/>
    </row>
    <row r="44" spans="1:16">
      <c r="A44" s="11"/>
      <c r="B44" s="24">
        <v>334.61</v>
      </c>
      <c r="C44" s="19" t="s">
        <v>43</v>
      </c>
      <c r="D44" s="45">
        <v>0</v>
      </c>
      <c r="E44" s="45">
        <v>110139</v>
      </c>
      <c r="F44" s="45">
        <v>0</v>
      </c>
      <c r="G44" s="45">
        <v>0</v>
      </c>
      <c r="H44" s="45">
        <v>0</v>
      </c>
      <c r="I44" s="45">
        <v>0</v>
      </c>
      <c r="J44" s="45">
        <v>0</v>
      </c>
      <c r="K44" s="45">
        <v>0</v>
      </c>
      <c r="L44" s="45">
        <v>0</v>
      </c>
      <c r="M44" s="45">
        <v>0</v>
      </c>
      <c r="N44" s="45">
        <f t="shared" si="8"/>
        <v>110139</v>
      </c>
      <c r="O44" s="46">
        <f t="shared" si="7"/>
        <v>8.7682048979474861E-2</v>
      </c>
      <c r="P44" s="9"/>
    </row>
    <row r="45" spans="1:16">
      <c r="A45" s="11"/>
      <c r="B45" s="24">
        <v>334.69</v>
      </c>
      <c r="C45" s="19" t="s">
        <v>44</v>
      </c>
      <c r="D45" s="45">
        <v>0</v>
      </c>
      <c r="E45" s="45">
        <v>4065613</v>
      </c>
      <c r="F45" s="45">
        <v>0</v>
      </c>
      <c r="G45" s="45">
        <v>0</v>
      </c>
      <c r="H45" s="45">
        <v>0</v>
      </c>
      <c r="I45" s="45">
        <v>0</v>
      </c>
      <c r="J45" s="45">
        <v>0</v>
      </c>
      <c r="K45" s="45">
        <v>0</v>
      </c>
      <c r="L45" s="45">
        <v>0</v>
      </c>
      <c r="M45" s="45">
        <v>0</v>
      </c>
      <c r="N45" s="45">
        <f t="shared" si="8"/>
        <v>4065613</v>
      </c>
      <c r="O45" s="46">
        <f t="shared" si="7"/>
        <v>3.2366489454016261</v>
      </c>
      <c r="P45" s="9"/>
    </row>
    <row r="46" spans="1:16">
      <c r="A46" s="11"/>
      <c r="B46" s="24">
        <v>334.7</v>
      </c>
      <c r="C46" s="19" t="s">
        <v>45</v>
      </c>
      <c r="D46" s="45">
        <v>0</v>
      </c>
      <c r="E46" s="45">
        <v>944985</v>
      </c>
      <c r="F46" s="45">
        <v>0</v>
      </c>
      <c r="G46" s="45">
        <v>0</v>
      </c>
      <c r="H46" s="45">
        <v>0</v>
      </c>
      <c r="I46" s="45">
        <v>0</v>
      </c>
      <c r="J46" s="45">
        <v>0</v>
      </c>
      <c r="K46" s="45">
        <v>0</v>
      </c>
      <c r="L46" s="45">
        <v>0</v>
      </c>
      <c r="M46" s="45">
        <v>0</v>
      </c>
      <c r="N46" s="45">
        <f t="shared" si="8"/>
        <v>944985</v>
      </c>
      <c r="O46" s="46">
        <f t="shared" si="7"/>
        <v>0.75230591393483737</v>
      </c>
      <c r="P46" s="9"/>
    </row>
    <row r="47" spans="1:16">
      <c r="A47" s="11"/>
      <c r="B47" s="24">
        <v>334.89</v>
      </c>
      <c r="C47" s="19" t="s">
        <v>46</v>
      </c>
      <c r="D47" s="45">
        <v>0</v>
      </c>
      <c r="E47" s="45">
        <v>731740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f t="shared" si="8"/>
        <v>731740</v>
      </c>
      <c r="O47" s="46">
        <f t="shared" si="7"/>
        <v>0.58254081224853083</v>
      </c>
      <c r="P47" s="9"/>
    </row>
    <row r="48" spans="1:16">
      <c r="A48" s="11"/>
      <c r="B48" s="24">
        <v>334.9</v>
      </c>
      <c r="C48" s="19" t="s">
        <v>47</v>
      </c>
      <c r="D48" s="45">
        <v>29600</v>
      </c>
      <c r="E48" s="45">
        <v>1022587</v>
      </c>
      <c r="F48" s="45">
        <v>0</v>
      </c>
      <c r="G48" s="45">
        <v>0</v>
      </c>
      <c r="H48" s="45">
        <v>0</v>
      </c>
      <c r="I48" s="45">
        <v>0</v>
      </c>
      <c r="J48" s="45">
        <v>0</v>
      </c>
      <c r="K48" s="45">
        <v>0</v>
      </c>
      <c r="L48" s="45">
        <v>0</v>
      </c>
      <c r="M48" s="45">
        <v>0</v>
      </c>
      <c r="N48" s="45">
        <f t="shared" si="8"/>
        <v>1052187</v>
      </c>
      <c r="O48" s="46">
        <f t="shared" si="7"/>
        <v>0.83764980678566825</v>
      </c>
      <c r="P48" s="9"/>
    </row>
    <row r="49" spans="1:16">
      <c r="A49" s="11"/>
      <c r="B49" s="24">
        <v>335.12</v>
      </c>
      <c r="C49" s="19" t="s">
        <v>48</v>
      </c>
      <c r="D49" s="45">
        <v>19211578</v>
      </c>
      <c r="E49" s="45">
        <v>6752474</v>
      </c>
      <c r="F49" s="45">
        <v>0</v>
      </c>
      <c r="G49" s="45">
        <v>0</v>
      </c>
      <c r="H49" s="45">
        <v>0</v>
      </c>
      <c r="I49" s="45">
        <v>0</v>
      </c>
      <c r="J49" s="45">
        <v>0</v>
      </c>
      <c r="K49" s="45">
        <v>0</v>
      </c>
      <c r="L49" s="45">
        <v>0</v>
      </c>
      <c r="M49" s="45">
        <v>0</v>
      </c>
      <c r="N49" s="45">
        <f t="shared" si="8"/>
        <v>25964052</v>
      </c>
      <c r="O49" s="46">
        <f t="shared" si="7"/>
        <v>20.670073989864008</v>
      </c>
      <c r="P49" s="9"/>
    </row>
    <row r="50" spans="1:16">
      <c r="A50" s="11"/>
      <c r="B50" s="24">
        <v>335.13</v>
      </c>
      <c r="C50" s="19" t="s">
        <v>49</v>
      </c>
      <c r="D50" s="45">
        <v>285186</v>
      </c>
      <c r="E50" s="45">
        <v>0</v>
      </c>
      <c r="F50" s="45">
        <v>0</v>
      </c>
      <c r="G50" s="45">
        <v>0</v>
      </c>
      <c r="H50" s="45">
        <v>0</v>
      </c>
      <c r="I50" s="45">
        <v>0</v>
      </c>
      <c r="J50" s="45">
        <v>0</v>
      </c>
      <c r="K50" s="45">
        <v>0</v>
      </c>
      <c r="L50" s="45">
        <v>0</v>
      </c>
      <c r="M50" s="45">
        <v>0</v>
      </c>
      <c r="N50" s="45">
        <f t="shared" si="8"/>
        <v>285186</v>
      </c>
      <c r="O50" s="46">
        <f t="shared" si="7"/>
        <v>0.22703758723304657</v>
      </c>
      <c r="P50" s="9"/>
    </row>
    <row r="51" spans="1:16">
      <c r="A51" s="11"/>
      <c r="B51" s="24">
        <v>335.14</v>
      </c>
      <c r="C51" s="19" t="s">
        <v>50</v>
      </c>
      <c r="D51" s="45">
        <v>425400</v>
      </c>
      <c r="E51" s="45">
        <v>0</v>
      </c>
      <c r="F51" s="45">
        <v>0</v>
      </c>
      <c r="G51" s="45">
        <v>0</v>
      </c>
      <c r="H51" s="45">
        <v>0</v>
      </c>
      <c r="I51" s="45">
        <v>0</v>
      </c>
      <c r="J51" s="45">
        <v>0</v>
      </c>
      <c r="K51" s="45">
        <v>0</v>
      </c>
      <c r="L51" s="45">
        <v>0</v>
      </c>
      <c r="M51" s="45">
        <v>0</v>
      </c>
      <c r="N51" s="45">
        <f t="shared" si="8"/>
        <v>425400</v>
      </c>
      <c r="O51" s="46">
        <f t="shared" si="7"/>
        <v>0.33866245050226174</v>
      </c>
      <c r="P51" s="9"/>
    </row>
    <row r="52" spans="1:16">
      <c r="A52" s="11"/>
      <c r="B52" s="24">
        <v>335.15</v>
      </c>
      <c r="C52" s="19" t="s">
        <v>51</v>
      </c>
      <c r="D52" s="45">
        <v>416214</v>
      </c>
      <c r="E52" s="45">
        <v>0</v>
      </c>
      <c r="F52" s="45">
        <v>0</v>
      </c>
      <c r="G52" s="45">
        <v>0</v>
      </c>
      <c r="H52" s="45">
        <v>0</v>
      </c>
      <c r="I52" s="45">
        <v>0</v>
      </c>
      <c r="J52" s="45">
        <v>0</v>
      </c>
      <c r="K52" s="45">
        <v>0</v>
      </c>
      <c r="L52" s="45">
        <v>0</v>
      </c>
      <c r="M52" s="45">
        <v>0</v>
      </c>
      <c r="N52" s="45">
        <f t="shared" si="8"/>
        <v>416214</v>
      </c>
      <c r="O52" s="46">
        <f t="shared" si="7"/>
        <v>0.33134944328478694</v>
      </c>
      <c r="P52" s="9"/>
    </row>
    <row r="53" spans="1:16">
      <c r="A53" s="11"/>
      <c r="B53" s="24">
        <v>335.16</v>
      </c>
      <c r="C53" s="19" t="s">
        <v>52</v>
      </c>
      <c r="D53" s="45">
        <v>1990000</v>
      </c>
      <c r="E53" s="45">
        <v>0</v>
      </c>
      <c r="F53" s="45">
        <v>0</v>
      </c>
      <c r="G53" s="45">
        <v>0</v>
      </c>
      <c r="H53" s="45">
        <v>0</v>
      </c>
      <c r="I53" s="45">
        <v>0</v>
      </c>
      <c r="J53" s="45">
        <v>0</v>
      </c>
      <c r="K53" s="45">
        <v>0</v>
      </c>
      <c r="L53" s="45">
        <v>0</v>
      </c>
      <c r="M53" s="45">
        <v>0</v>
      </c>
      <c r="N53" s="45">
        <f t="shared" si="8"/>
        <v>1990000</v>
      </c>
      <c r="O53" s="46">
        <f t="shared" si="7"/>
        <v>1.5842460660543038</v>
      </c>
      <c r="P53" s="9"/>
    </row>
    <row r="54" spans="1:16">
      <c r="A54" s="11"/>
      <c r="B54" s="24">
        <v>335.17</v>
      </c>
      <c r="C54" s="19" t="s">
        <v>53</v>
      </c>
      <c r="D54" s="45">
        <v>93711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f t="shared" si="8"/>
        <v>93711</v>
      </c>
      <c r="O54" s="46">
        <f t="shared" si="7"/>
        <v>7.4603659847243653E-2</v>
      </c>
      <c r="P54" s="9"/>
    </row>
    <row r="55" spans="1:16">
      <c r="A55" s="11"/>
      <c r="B55" s="24">
        <v>335.18</v>
      </c>
      <c r="C55" s="19" t="s">
        <v>54</v>
      </c>
      <c r="D55" s="45">
        <v>0</v>
      </c>
      <c r="E55" s="45">
        <v>80162987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f t="shared" si="8"/>
        <v>80162987</v>
      </c>
      <c r="O55" s="46">
        <f t="shared" si="7"/>
        <v>63.81803859191573</v>
      </c>
      <c r="P55" s="9"/>
    </row>
    <row r="56" spans="1:16">
      <c r="A56" s="11"/>
      <c r="B56" s="24">
        <v>335.21</v>
      </c>
      <c r="C56" s="19" t="s">
        <v>55</v>
      </c>
      <c r="D56" s="45">
        <v>217524</v>
      </c>
      <c r="E56" s="45">
        <v>0</v>
      </c>
      <c r="F56" s="45">
        <v>0</v>
      </c>
      <c r="G56" s="45">
        <v>0</v>
      </c>
      <c r="H56" s="45">
        <v>0</v>
      </c>
      <c r="I56" s="45">
        <v>0</v>
      </c>
      <c r="J56" s="45">
        <v>0</v>
      </c>
      <c r="K56" s="45">
        <v>0</v>
      </c>
      <c r="L56" s="45">
        <v>0</v>
      </c>
      <c r="M56" s="45">
        <v>0</v>
      </c>
      <c r="N56" s="45">
        <f t="shared" si="8"/>
        <v>217524</v>
      </c>
      <c r="O56" s="46">
        <f t="shared" si="7"/>
        <v>0.17317162878009867</v>
      </c>
      <c r="P56" s="9"/>
    </row>
    <row r="57" spans="1:16">
      <c r="A57" s="11"/>
      <c r="B57" s="24">
        <v>335.22</v>
      </c>
      <c r="C57" s="19" t="s">
        <v>56</v>
      </c>
      <c r="D57" s="45">
        <v>0</v>
      </c>
      <c r="E57" s="45">
        <v>6901811</v>
      </c>
      <c r="F57" s="45">
        <v>0</v>
      </c>
      <c r="G57" s="45">
        <v>0</v>
      </c>
      <c r="H57" s="45">
        <v>0</v>
      </c>
      <c r="I57" s="45">
        <v>0</v>
      </c>
      <c r="J57" s="45">
        <v>0</v>
      </c>
      <c r="K57" s="45">
        <v>0</v>
      </c>
      <c r="L57" s="45">
        <v>0</v>
      </c>
      <c r="M57" s="45">
        <v>0</v>
      </c>
      <c r="N57" s="45">
        <f t="shared" si="8"/>
        <v>6901811</v>
      </c>
      <c r="O57" s="46">
        <f t="shared" si="7"/>
        <v>5.4945562439197593</v>
      </c>
      <c r="P57" s="9"/>
    </row>
    <row r="58" spans="1:16">
      <c r="A58" s="11"/>
      <c r="B58" s="24">
        <v>335.23</v>
      </c>
      <c r="C58" s="19" t="s">
        <v>171</v>
      </c>
      <c r="D58" s="45">
        <v>0</v>
      </c>
      <c r="E58" s="45">
        <v>84620</v>
      </c>
      <c r="F58" s="45">
        <v>0</v>
      </c>
      <c r="G58" s="45">
        <v>0</v>
      </c>
      <c r="H58" s="45">
        <v>0</v>
      </c>
      <c r="I58" s="45">
        <v>0</v>
      </c>
      <c r="J58" s="45">
        <v>0</v>
      </c>
      <c r="K58" s="45">
        <v>0</v>
      </c>
      <c r="L58" s="45">
        <v>0</v>
      </c>
      <c r="M58" s="45">
        <v>0</v>
      </c>
      <c r="N58" s="45">
        <f t="shared" si="8"/>
        <v>84620</v>
      </c>
      <c r="O58" s="46">
        <f t="shared" si="7"/>
        <v>6.7366282467093058E-2</v>
      </c>
      <c r="P58" s="9"/>
    </row>
    <row r="59" spans="1:16">
      <c r="A59" s="11"/>
      <c r="B59" s="24">
        <v>335.29</v>
      </c>
      <c r="C59" s="19" t="s">
        <v>57</v>
      </c>
      <c r="D59" s="45">
        <v>850</v>
      </c>
      <c r="E59" s="45">
        <v>0</v>
      </c>
      <c r="F59" s="45">
        <v>0</v>
      </c>
      <c r="G59" s="45">
        <v>0</v>
      </c>
      <c r="H59" s="45">
        <v>0</v>
      </c>
      <c r="I59" s="45">
        <v>0</v>
      </c>
      <c r="J59" s="45">
        <v>0</v>
      </c>
      <c r="K59" s="45">
        <v>0</v>
      </c>
      <c r="L59" s="45">
        <v>0</v>
      </c>
      <c r="M59" s="45">
        <v>0</v>
      </c>
      <c r="N59" s="45">
        <f t="shared" si="8"/>
        <v>850</v>
      </c>
      <c r="O59" s="46">
        <f t="shared" si="7"/>
        <v>6.766880181638986E-4</v>
      </c>
      <c r="P59" s="9"/>
    </row>
    <row r="60" spans="1:16">
      <c r="A60" s="11"/>
      <c r="B60" s="24">
        <v>335.39</v>
      </c>
      <c r="C60" s="19" t="s">
        <v>58</v>
      </c>
      <c r="D60" s="45">
        <v>0</v>
      </c>
      <c r="E60" s="45">
        <v>2143804</v>
      </c>
      <c r="F60" s="45">
        <v>0</v>
      </c>
      <c r="G60" s="45">
        <v>0</v>
      </c>
      <c r="H60" s="45">
        <v>0</v>
      </c>
      <c r="I60" s="45">
        <v>0</v>
      </c>
      <c r="J60" s="45">
        <v>0</v>
      </c>
      <c r="K60" s="45">
        <v>0</v>
      </c>
      <c r="L60" s="45">
        <v>0</v>
      </c>
      <c r="M60" s="45">
        <v>0</v>
      </c>
      <c r="N60" s="45">
        <f t="shared" si="8"/>
        <v>2143804</v>
      </c>
      <c r="O60" s="46">
        <f t="shared" si="7"/>
        <v>1.7066899765786336</v>
      </c>
      <c r="P60" s="9"/>
    </row>
    <row r="61" spans="1:16">
      <c r="A61" s="11"/>
      <c r="B61" s="24">
        <v>335.49</v>
      </c>
      <c r="C61" s="19" t="s">
        <v>59</v>
      </c>
      <c r="D61" s="45">
        <v>0</v>
      </c>
      <c r="E61" s="45">
        <v>16201565</v>
      </c>
      <c r="F61" s="45">
        <v>0</v>
      </c>
      <c r="G61" s="45">
        <v>0</v>
      </c>
      <c r="H61" s="45">
        <v>0</v>
      </c>
      <c r="I61" s="45">
        <v>0</v>
      </c>
      <c r="J61" s="45">
        <v>0</v>
      </c>
      <c r="K61" s="45">
        <v>0</v>
      </c>
      <c r="L61" s="45">
        <v>0</v>
      </c>
      <c r="M61" s="45">
        <v>0</v>
      </c>
      <c r="N61" s="45">
        <f t="shared" si="8"/>
        <v>16201565</v>
      </c>
      <c r="O61" s="46">
        <f t="shared" si="7"/>
        <v>12.898123424710098</v>
      </c>
      <c r="P61" s="9"/>
    </row>
    <row r="62" spans="1:16">
      <c r="A62" s="11"/>
      <c r="B62" s="24">
        <v>335.5</v>
      </c>
      <c r="C62" s="19" t="s">
        <v>60</v>
      </c>
      <c r="D62" s="45">
        <v>0</v>
      </c>
      <c r="E62" s="45">
        <v>50308</v>
      </c>
      <c r="F62" s="45">
        <v>0</v>
      </c>
      <c r="G62" s="45">
        <v>0</v>
      </c>
      <c r="H62" s="45">
        <v>0</v>
      </c>
      <c r="I62" s="45">
        <v>0</v>
      </c>
      <c r="J62" s="45">
        <v>0</v>
      </c>
      <c r="K62" s="45">
        <v>0</v>
      </c>
      <c r="L62" s="45">
        <v>0</v>
      </c>
      <c r="M62" s="45">
        <v>0</v>
      </c>
      <c r="N62" s="45">
        <f t="shared" si="8"/>
        <v>50308</v>
      </c>
      <c r="O62" s="46">
        <f t="shared" si="7"/>
        <v>4.0050377432693428E-2</v>
      </c>
      <c r="P62" s="9"/>
    </row>
    <row r="63" spans="1:16">
      <c r="A63" s="11"/>
      <c r="B63" s="24">
        <v>335.69</v>
      </c>
      <c r="C63" s="19" t="s">
        <v>61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110000</v>
      </c>
      <c r="K63" s="45">
        <v>0</v>
      </c>
      <c r="L63" s="45">
        <v>0</v>
      </c>
      <c r="M63" s="45">
        <v>0</v>
      </c>
      <c r="N63" s="45">
        <f t="shared" si="8"/>
        <v>110000</v>
      </c>
      <c r="O63" s="46">
        <f t="shared" si="7"/>
        <v>8.7571390585916287E-2</v>
      </c>
      <c r="P63" s="9"/>
    </row>
    <row r="64" spans="1:16">
      <c r="A64" s="11"/>
      <c r="B64" s="24">
        <v>335.7</v>
      </c>
      <c r="C64" s="19" t="s">
        <v>62</v>
      </c>
      <c r="D64" s="45">
        <v>0</v>
      </c>
      <c r="E64" s="45">
        <v>2262553</v>
      </c>
      <c r="F64" s="45">
        <v>0</v>
      </c>
      <c r="G64" s="45">
        <v>0</v>
      </c>
      <c r="H64" s="45">
        <v>0</v>
      </c>
      <c r="I64" s="45">
        <v>0</v>
      </c>
      <c r="J64" s="45">
        <v>0</v>
      </c>
      <c r="K64" s="45">
        <v>0</v>
      </c>
      <c r="L64" s="45">
        <v>0</v>
      </c>
      <c r="M64" s="45">
        <v>0</v>
      </c>
      <c r="N64" s="45">
        <f t="shared" si="8"/>
        <v>2262553</v>
      </c>
      <c r="O64" s="46">
        <f t="shared" si="7"/>
        <v>1.8012264771303332</v>
      </c>
      <c r="P64" s="9"/>
    </row>
    <row r="65" spans="1:16">
      <c r="A65" s="11"/>
      <c r="B65" s="24">
        <v>335.8</v>
      </c>
      <c r="C65" s="19" t="s">
        <v>63</v>
      </c>
      <c r="D65" s="45">
        <v>0</v>
      </c>
      <c r="E65" s="45">
        <v>28512779</v>
      </c>
      <c r="F65" s="45">
        <v>0</v>
      </c>
      <c r="G65" s="45">
        <v>0</v>
      </c>
      <c r="H65" s="45">
        <v>0</v>
      </c>
      <c r="I65" s="45">
        <v>0</v>
      </c>
      <c r="J65" s="45">
        <v>0</v>
      </c>
      <c r="K65" s="45">
        <v>0</v>
      </c>
      <c r="L65" s="45">
        <v>0</v>
      </c>
      <c r="M65" s="45">
        <v>0</v>
      </c>
      <c r="N65" s="45">
        <f t="shared" si="8"/>
        <v>28512779</v>
      </c>
      <c r="O65" s="46">
        <f t="shared" si="7"/>
        <v>22.699124604535562</v>
      </c>
      <c r="P65" s="9"/>
    </row>
    <row r="66" spans="1:16">
      <c r="A66" s="11"/>
      <c r="B66" s="24">
        <v>337.1</v>
      </c>
      <c r="C66" s="19" t="s">
        <v>64</v>
      </c>
      <c r="D66" s="45">
        <v>0</v>
      </c>
      <c r="E66" s="45">
        <v>73332</v>
      </c>
      <c r="F66" s="45">
        <v>0</v>
      </c>
      <c r="G66" s="45">
        <v>0</v>
      </c>
      <c r="H66" s="45">
        <v>0</v>
      </c>
      <c r="I66" s="45">
        <v>0</v>
      </c>
      <c r="J66" s="45">
        <v>0</v>
      </c>
      <c r="K66" s="45">
        <v>0</v>
      </c>
      <c r="L66" s="45">
        <v>0</v>
      </c>
      <c r="M66" s="45">
        <v>2400</v>
      </c>
      <c r="N66" s="45">
        <f t="shared" ref="N66:N74" si="9">SUM(D66:M66)</f>
        <v>75732</v>
      </c>
      <c r="O66" s="46">
        <f t="shared" si="7"/>
        <v>6.0290514107751027E-2</v>
      </c>
      <c r="P66" s="9"/>
    </row>
    <row r="67" spans="1:16">
      <c r="A67" s="11"/>
      <c r="B67" s="24">
        <v>337.2</v>
      </c>
      <c r="C67" s="19" t="s">
        <v>65</v>
      </c>
      <c r="D67" s="45">
        <v>0</v>
      </c>
      <c r="E67" s="45">
        <v>51665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>
        <v>0</v>
      </c>
      <c r="N67" s="45">
        <f t="shared" si="9"/>
        <v>51665</v>
      </c>
      <c r="O67" s="46">
        <f t="shared" si="7"/>
        <v>4.1130689951103319E-2</v>
      </c>
      <c r="P67" s="9"/>
    </row>
    <row r="68" spans="1:16">
      <c r="A68" s="11"/>
      <c r="B68" s="24">
        <v>337.3</v>
      </c>
      <c r="C68" s="19" t="s">
        <v>66</v>
      </c>
      <c r="D68" s="45">
        <v>0</v>
      </c>
      <c r="E68" s="45">
        <v>1651087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</v>
      </c>
      <c r="L68" s="45">
        <v>0</v>
      </c>
      <c r="M68" s="45">
        <v>0</v>
      </c>
      <c r="N68" s="45">
        <f t="shared" si="9"/>
        <v>1651087</v>
      </c>
      <c r="O68" s="46">
        <f t="shared" si="7"/>
        <v>1.3144362233484435</v>
      </c>
      <c r="P68" s="9"/>
    </row>
    <row r="69" spans="1:16">
      <c r="A69" s="11"/>
      <c r="B69" s="24">
        <v>337.4</v>
      </c>
      <c r="C69" s="19" t="s">
        <v>172</v>
      </c>
      <c r="D69" s="45">
        <v>0</v>
      </c>
      <c r="E69" s="45">
        <v>3171968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5">
        <v>0</v>
      </c>
      <c r="L69" s="45">
        <v>0</v>
      </c>
      <c r="M69" s="45">
        <v>0</v>
      </c>
      <c r="N69" s="45">
        <f t="shared" si="9"/>
        <v>3171968</v>
      </c>
      <c r="O69" s="46">
        <f t="shared" ref="O69:O100" si="10">(N69/O$141)</f>
        <v>2.5252149877638885</v>
      </c>
      <c r="P69" s="9"/>
    </row>
    <row r="70" spans="1:16">
      <c r="A70" s="11"/>
      <c r="B70" s="24">
        <v>337.5</v>
      </c>
      <c r="C70" s="19" t="s">
        <v>67</v>
      </c>
      <c r="D70" s="45">
        <v>18892</v>
      </c>
      <c r="E70" s="45">
        <v>150725</v>
      </c>
      <c r="F70" s="45">
        <v>0</v>
      </c>
      <c r="G70" s="45">
        <v>0</v>
      </c>
      <c r="H70" s="45">
        <v>0</v>
      </c>
      <c r="I70" s="45">
        <v>0</v>
      </c>
      <c r="J70" s="45">
        <v>0</v>
      </c>
      <c r="K70" s="45">
        <v>0</v>
      </c>
      <c r="L70" s="45">
        <v>0</v>
      </c>
      <c r="M70" s="45">
        <v>3681271</v>
      </c>
      <c r="N70" s="45">
        <f t="shared" si="9"/>
        <v>3850888</v>
      </c>
      <c r="O70" s="46">
        <f t="shared" si="10"/>
        <v>3.0657056104601637</v>
      </c>
      <c r="P70" s="9"/>
    </row>
    <row r="71" spans="1:16">
      <c r="A71" s="11"/>
      <c r="B71" s="24">
        <v>337.7</v>
      </c>
      <c r="C71" s="19" t="s">
        <v>68</v>
      </c>
      <c r="D71" s="45">
        <v>8003</v>
      </c>
      <c r="E71" s="45">
        <v>157500</v>
      </c>
      <c r="F71" s="45">
        <v>0</v>
      </c>
      <c r="G71" s="45">
        <v>0</v>
      </c>
      <c r="H71" s="45">
        <v>0</v>
      </c>
      <c r="I71" s="45">
        <v>0</v>
      </c>
      <c r="J71" s="45">
        <v>0</v>
      </c>
      <c r="K71" s="45">
        <v>0</v>
      </c>
      <c r="L71" s="45">
        <v>0</v>
      </c>
      <c r="M71" s="45">
        <v>0</v>
      </c>
      <c r="N71" s="45">
        <f t="shared" si="9"/>
        <v>165503</v>
      </c>
      <c r="O71" s="46">
        <f t="shared" si="10"/>
        <v>0.1317575259649173</v>
      </c>
      <c r="P71" s="9"/>
    </row>
    <row r="72" spans="1:16">
      <c r="A72" s="11"/>
      <c r="B72" s="24">
        <v>337.9</v>
      </c>
      <c r="C72" s="19" t="s">
        <v>69</v>
      </c>
      <c r="D72" s="45">
        <v>0</v>
      </c>
      <c r="E72" s="45">
        <v>47950</v>
      </c>
      <c r="F72" s="45">
        <v>0</v>
      </c>
      <c r="G72" s="45">
        <v>0</v>
      </c>
      <c r="H72" s="45">
        <v>0</v>
      </c>
      <c r="I72" s="45">
        <v>0</v>
      </c>
      <c r="J72" s="45">
        <v>0</v>
      </c>
      <c r="K72" s="45">
        <v>0</v>
      </c>
      <c r="L72" s="45">
        <v>0</v>
      </c>
      <c r="M72" s="45">
        <v>0</v>
      </c>
      <c r="N72" s="45">
        <f t="shared" si="9"/>
        <v>47950</v>
      </c>
      <c r="O72" s="46">
        <f t="shared" si="10"/>
        <v>3.8173165259951694E-2</v>
      </c>
      <c r="P72" s="9"/>
    </row>
    <row r="73" spans="1:16" ht="15.75">
      <c r="A73" s="28" t="s">
        <v>75</v>
      </c>
      <c r="B73" s="29"/>
      <c r="C73" s="30"/>
      <c r="D73" s="31">
        <f t="shared" ref="D73:M73" si="11">SUM(D74:D111)</f>
        <v>102376422</v>
      </c>
      <c r="E73" s="31">
        <f t="shared" si="11"/>
        <v>25183578</v>
      </c>
      <c r="F73" s="31">
        <f t="shared" si="11"/>
        <v>457957</v>
      </c>
      <c r="G73" s="31">
        <f t="shared" si="11"/>
        <v>0</v>
      </c>
      <c r="H73" s="31">
        <f t="shared" si="11"/>
        <v>0</v>
      </c>
      <c r="I73" s="31">
        <f t="shared" si="11"/>
        <v>303712899</v>
      </c>
      <c r="J73" s="31">
        <f t="shared" si="11"/>
        <v>151016800</v>
      </c>
      <c r="K73" s="31">
        <f t="shared" si="11"/>
        <v>0</v>
      </c>
      <c r="L73" s="31">
        <f t="shared" si="11"/>
        <v>0</v>
      </c>
      <c r="M73" s="31">
        <f t="shared" si="11"/>
        <v>1559587</v>
      </c>
      <c r="N73" s="31">
        <f t="shared" si="9"/>
        <v>584307243</v>
      </c>
      <c r="O73" s="44">
        <f t="shared" si="10"/>
        <v>465.16907089939002</v>
      </c>
      <c r="P73" s="10"/>
    </row>
    <row r="74" spans="1:16">
      <c r="A74" s="11"/>
      <c r="B74" s="24">
        <v>341.1</v>
      </c>
      <c r="C74" s="19" t="s">
        <v>78</v>
      </c>
      <c r="D74" s="45">
        <v>4298423</v>
      </c>
      <c r="E74" s="45">
        <v>0</v>
      </c>
      <c r="F74" s="45">
        <v>0</v>
      </c>
      <c r="G74" s="45">
        <v>0</v>
      </c>
      <c r="H74" s="45">
        <v>0</v>
      </c>
      <c r="I74" s="45">
        <v>0</v>
      </c>
      <c r="J74" s="45">
        <v>0</v>
      </c>
      <c r="K74" s="45">
        <v>0</v>
      </c>
      <c r="L74" s="45">
        <v>0</v>
      </c>
      <c r="M74" s="45">
        <v>0</v>
      </c>
      <c r="N74" s="45">
        <f t="shared" si="9"/>
        <v>4298423</v>
      </c>
      <c r="O74" s="46">
        <f t="shared" si="10"/>
        <v>3.4219898130589641</v>
      </c>
      <c r="P74" s="9"/>
    </row>
    <row r="75" spans="1:16">
      <c r="A75" s="11"/>
      <c r="B75" s="24">
        <v>341.15</v>
      </c>
      <c r="C75" s="19" t="s">
        <v>79</v>
      </c>
      <c r="D75" s="45">
        <v>0</v>
      </c>
      <c r="E75" s="45">
        <v>2140656</v>
      </c>
      <c r="F75" s="45">
        <v>0</v>
      </c>
      <c r="G75" s="45">
        <v>0</v>
      </c>
      <c r="H75" s="45">
        <v>0</v>
      </c>
      <c r="I75" s="45">
        <v>0</v>
      </c>
      <c r="J75" s="45">
        <v>0</v>
      </c>
      <c r="K75" s="45">
        <v>0</v>
      </c>
      <c r="L75" s="45">
        <v>0</v>
      </c>
      <c r="M75" s="45">
        <v>0</v>
      </c>
      <c r="N75" s="45">
        <f t="shared" ref="N75:N111" si="12">SUM(D75:M75)</f>
        <v>2140656</v>
      </c>
      <c r="O75" s="46">
        <f t="shared" si="10"/>
        <v>1.7041838426007747</v>
      </c>
      <c r="P75" s="9"/>
    </row>
    <row r="76" spans="1:16">
      <c r="A76" s="11"/>
      <c r="B76" s="24">
        <v>341.16</v>
      </c>
      <c r="C76" s="19" t="s">
        <v>80</v>
      </c>
      <c r="D76" s="45">
        <v>0</v>
      </c>
      <c r="E76" s="45">
        <v>1694486</v>
      </c>
      <c r="F76" s="45">
        <v>0</v>
      </c>
      <c r="G76" s="45">
        <v>0</v>
      </c>
      <c r="H76" s="45">
        <v>0</v>
      </c>
      <c r="I76" s="45">
        <v>0</v>
      </c>
      <c r="J76" s="45">
        <v>0</v>
      </c>
      <c r="K76" s="45">
        <v>0</v>
      </c>
      <c r="L76" s="45">
        <v>0</v>
      </c>
      <c r="M76" s="45">
        <v>0</v>
      </c>
      <c r="N76" s="45">
        <f t="shared" si="12"/>
        <v>1694486</v>
      </c>
      <c r="O76" s="46">
        <f t="shared" si="10"/>
        <v>1.3489863213487905</v>
      </c>
      <c r="P76" s="9"/>
    </row>
    <row r="77" spans="1:16">
      <c r="A77" s="11"/>
      <c r="B77" s="24">
        <v>341.2</v>
      </c>
      <c r="C77" s="19" t="s">
        <v>81</v>
      </c>
      <c r="D77" s="45">
        <v>0</v>
      </c>
      <c r="E77" s="45">
        <v>0</v>
      </c>
      <c r="F77" s="45">
        <v>0</v>
      </c>
      <c r="G77" s="45">
        <v>0</v>
      </c>
      <c r="H77" s="45">
        <v>0</v>
      </c>
      <c r="I77" s="45">
        <v>0</v>
      </c>
      <c r="J77" s="45">
        <v>120545411</v>
      </c>
      <c r="K77" s="45">
        <v>0</v>
      </c>
      <c r="L77" s="45">
        <v>0</v>
      </c>
      <c r="M77" s="45">
        <v>0</v>
      </c>
      <c r="N77" s="45">
        <f t="shared" si="12"/>
        <v>120545411</v>
      </c>
      <c r="O77" s="46">
        <f t="shared" si="10"/>
        <v>95.966629727461907</v>
      </c>
      <c r="P77" s="9"/>
    </row>
    <row r="78" spans="1:16">
      <c r="A78" s="11"/>
      <c r="B78" s="24">
        <v>341.3</v>
      </c>
      <c r="C78" s="19" t="s">
        <v>82</v>
      </c>
      <c r="D78" s="45">
        <v>114976</v>
      </c>
      <c r="E78" s="45">
        <v>1429</v>
      </c>
      <c r="F78" s="45">
        <v>0</v>
      </c>
      <c r="G78" s="45">
        <v>0</v>
      </c>
      <c r="H78" s="45">
        <v>0</v>
      </c>
      <c r="I78" s="45">
        <v>0</v>
      </c>
      <c r="J78" s="45">
        <v>0</v>
      </c>
      <c r="K78" s="45">
        <v>0</v>
      </c>
      <c r="L78" s="45">
        <v>0</v>
      </c>
      <c r="M78" s="45">
        <v>0</v>
      </c>
      <c r="N78" s="45">
        <f t="shared" si="12"/>
        <v>116405</v>
      </c>
      <c r="O78" s="46">
        <f t="shared" si="10"/>
        <v>9.2670433828668963E-2</v>
      </c>
      <c r="P78" s="9"/>
    </row>
    <row r="79" spans="1:16">
      <c r="A79" s="11"/>
      <c r="B79" s="24">
        <v>341.52</v>
      </c>
      <c r="C79" s="19" t="s">
        <v>83</v>
      </c>
      <c r="D79" s="45">
        <v>1783974</v>
      </c>
      <c r="E79" s="45">
        <v>147437</v>
      </c>
      <c r="F79" s="45">
        <v>0</v>
      </c>
      <c r="G79" s="45">
        <v>0</v>
      </c>
      <c r="H79" s="45">
        <v>0</v>
      </c>
      <c r="I79" s="45">
        <v>0</v>
      </c>
      <c r="J79" s="45">
        <v>0</v>
      </c>
      <c r="K79" s="45">
        <v>0</v>
      </c>
      <c r="L79" s="45">
        <v>0</v>
      </c>
      <c r="M79" s="45">
        <v>0</v>
      </c>
      <c r="N79" s="45">
        <f t="shared" si="12"/>
        <v>1931411</v>
      </c>
      <c r="O79" s="46">
        <f t="shared" si="10"/>
        <v>1.5376031551175924</v>
      </c>
      <c r="P79" s="9"/>
    </row>
    <row r="80" spans="1:16">
      <c r="A80" s="11"/>
      <c r="B80" s="24">
        <v>341.55</v>
      </c>
      <c r="C80" s="19" t="s">
        <v>84</v>
      </c>
      <c r="D80" s="45">
        <v>17826</v>
      </c>
      <c r="E80" s="45">
        <v>0</v>
      </c>
      <c r="F80" s="45">
        <v>0</v>
      </c>
      <c r="G80" s="45">
        <v>0</v>
      </c>
      <c r="H80" s="45">
        <v>0</v>
      </c>
      <c r="I80" s="45">
        <v>0</v>
      </c>
      <c r="J80" s="45">
        <v>0</v>
      </c>
      <c r="K80" s="45">
        <v>0</v>
      </c>
      <c r="L80" s="45">
        <v>0</v>
      </c>
      <c r="M80" s="45">
        <v>0</v>
      </c>
      <c r="N80" s="45">
        <f t="shared" si="12"/>
        <v>17826</v>
      </c>
      <c r="O80" s="46">
        <f t="shared" si="10"/>
        <v>1.4191341896223125E-2</v>
      </c>
      <c r="P80" s="9"/>
    </row>
    <row r="81" spans="1:16">
      <c r="A81" s="11"/>
      <c r="B81" s="24">
        <v>341.8</v>
      </c>
      <c r="C81" s="19" t="s">
        <v>85</v>
      </c>
      <c r="D81" s="45">
        <v>16632719</v>
      </c>
      <c r="E81" s="45">
        <v>10421279</v>
      </c>
      <c r="F81" s="45">
        <v>0</v>
      </c>
      <c r="G81" s="45">
        <v>0</v>
      </c>
      <c r="H81" s="45">
        <v>0</v>
      </c>
      <c r="I81" s="45">
        <v>0</v>
      </c>
      <c r="J81" s="45">
        <v>0</v>
      </c>
      <c r="K81" s="45">
        <v>0</v>
      </c>
      <c r="L81" s="45">
        <v>0</v>
      </c>
      <c r="M81" s="45">
        <v>0</v>
      </c>
      <c r="N81" s="45">
        <f t="shared" si="12"/>
        <v>27053998</v>
      </c>
      <c r="O81" s="46">
        <f t="shared" si="10"/>
        <v>21.53778387062362</v>
      </c>
      <c r="P81" s="9"/>
    </row>
    <row r="82" spans="1:16">
      <c r="A82" s="11"/>
      <c r="B82" s="24">
        <v>341.9</v>
      </c>
      <c r="C82" s="19" t="s">
        <v>86</v>
      </c>
      <c r="D82" s="45">
        <v>52200708</v>
      </c>
      <c r="E82" s="45">
        <v>1405321</v>
      </c>
      <c r="F82" s="45">
        <v>0</v>
      </c>
      <c r="G82" s="45">
        <v>0</v>
      </c>
      <c r="H82" s="45">
        <v>0</v>
      </c>
      <c r="I82" s="45">
        <v>0</v>
      </c>
      <c r="J82" s="45">
        <v>30471389</v>
      </c>
      <c r="K82" s="45">
        <v>0</v>
      </c>
      <c r="L82" s="45">
        <v>0</v>
      </c>
      <c r="M82" s="45">
        <v>298388</v>
      </c>
      <c r="N82" s="45">
        <f t="shared" si="12"/>
        <v>84375806</v>
      </c>
      <c r="O82" s="46">
        <f t="shared" si="10"/>
        <v>67.171878756613637</v>
      </c>
      <c r="P82" s="9"/>
    </row>
    <row r="83" spans="1:16">
      <c r="A83" s="11"/>
      <c r="B83" s="24">
        <v>342.1</v>
      </c>
      <c r="C83" s="19" t="s">
        <v>87</v>
      </c>
      <c r="D83" s="45">
        <v>2609523</v>
      </c>
      <c r="E83" s="45">
        <v>0</v>
      </c>
      <c r="F83" s="45">
        <v>0</v>
      </c>
      <c r="G83" s="45">
        <v>0</v>
      </c>
      <c r="H83" s="45">
        <v>0</v>
      </c>
      <c r="I83" s="45">
        <v>0</v>
      </c>
      <c r="J83" s="45">
        <v>0</v>
      </c>
      <c r="K83" s="45">
        <v>0</v>
      </c>
      <c r="L83" s="45">
        <v>0</v>
      </c>
      <c r="M83" s="45">
        <v>0</v>
      </c>
      <c r="N83" s="45">
        <f t="shared" si="12"/>
        <v>2609523</v>
      </c>
      <c r="O83" s="46">
        <f t="shared" si="10"/>
        <v>2.0774505261448368</v>
      </c>
      <c r="P83" s="9"/>
    </row>
    <row r="84" spans="1:16">
      <c r="A84" s="11"/>
      <c r="B84" s="24">
        <v>342.2</v>
      </c>
      <c r="C84" s="19" t="s">
        <v>88</v>
      </c>
      <c r="D84" s="45">
        <v>1513706</v>
      </c>
      <c r="E84" s="45">
        <v>0</v>
      </c>
      <c r="F84" s="45">
        <v>0</v>
      </c>
      <c r="G84" s="45">
        <v>0</v>
      </c>
      <c r="H84" s="45">
        <v>0</v>
      </c>
      <c r="I84" s="45">
        <v>0</v>
      </c>
      <c r="J84" s="45">
        <v>0</v>
      </c>
      <c r="K84" s="45">
        <v>0</v>
      </c>
      <c r="L84" s="45">
        <v>0</v>
      </c>
      <c r="M84" s="45">
        <v>0</v>
      </c>
      <c r="N84" s="45">
        <f t="shared" si="12"/>
        <v>1513706</v>
      </c>
      <c r="O84" s="46">
        <f t="shared" si="10"/>
        <v>1.2050667214385911</v>
      </c>
      <c r="P84" s="9"/>
    </row>
    <row r="85" spans="1:16">
      <c r="A85" s="11"/>
      <c r="B85" s="24">
        <v>342.3</v>
      </c>
      <c r="C85" s="19" t="s">
        <v>89</v>
      </c>
      <c r="D85" s="45">
        <v>218</v>
      </c>
      <c r="E85" s="45">
        <v>0</v>
      </c>
      <c r="F85" s="45">
        <v>0</v>
      </c>
      <c r="G85" s="45">
        <v>0</v>
      </c>
      <c r="H85" s="45">
        <v>0</v>
      </c>
      <c r="I85" s="45">
        <v>0</v>
      </c>
      <c r="J85" s="45">
        <v>0</v>
      </c>
      <c r="K85" s="45">
        <v>0</v>
      </c>
      <c r="L85" s="45">
        <v>0</v>
      </c>
      <c r="M85" s="45">
        <v>0</v>
      </c>
      <c r="N85" s="45">
        <f t="shared" si="12"/>
        <v>218</v>
      </c>
      <c r="O85" s="46">
        <f t="shared" si="10"/>
        <v>1.7355057407027048E-4</v>
      </c>
      <c r="P85" s="9"/>
    </row>
    <row r="86" spans="1:16">
      <c r="A86" s="11"/>
      <c r="B86" s="24">
        <v>342.5</v>
      </c>
      <c r="C86" s="19" t="s">
        <v>90</v>
      </c>
      <c r="D86" s="45">
        <v>374881</v>
      </c>
      <c r="E86" s="45">
        <v>0</v>
      </c>
      <c r="F86" s="45">
        <v>0</v>
      </c>
      <c r="G86" s="45">
        <v>0</v>
      </c>
      <c r="H86" s="45">
        <v>0</v>
      </c>
      <c r="I86" s="45">
        <v>0</v>
      </c>
      <c r="J86" s="45">
        <v>0</v>
      </c>
      <c r="K86" s="45">
        <v>0</v>
      </c>
      <c r="L86" s="45">
        <v>0</v>
      </c>
      <c r="M86" s="45">
        <v>0</v>
      </c>
      <c r="N86" s="45">
        <f t="shared" si="12"/>
        <v>374881</v>
      </c>
      <c r="O86" s="46">
        <f t="shared" si="10"/>
        <v>0.29844409522035348</v>
      </c>
      <c r="P86" s="9"/>
    </row>
    <row r="87" spans="1:16">
      <c r="A87" s="11"/>
      <c r="B87" s="24">
        <v>342.6</v>
      </c>
      <c r="C87" s="19" t="s">
        <v>91</v>
      </c>
      <c r="D87" s="45">
        <v>9992700</v>
      </c>
      <c r="E87" s="45">
        <v>0</v>
      </c>
      <c r="F87" s="45">
        <v>0</v>
      </c>
      <c r="G87" s="45">
        <v>0</v>
      </c>
      <c r="H87" s="45">
        <v>0</v>
      </c>
      <c r="I87" s="45">
        <v>0</v>
      </c>
      <c r="J87" s="45">
        <v>0</v>
      </c>
      <c r="K87" s="45">
        <v>0</v>
      </c>
      <c r="L87" s="45">
        <v>0</v>
      </c>
      <c r="M87" s="45">
        <v>0</v>
      </c>
      <c r="N87" s="45">
        <f t="shared" si="12"/>
        <v>9992700</v>
      </c>
      <c r="O87" s="46">
        <f t="shared" si="10"/>
        <v>7.9552239518898702</v>
      </c>
      <c r="P87" s="9"/>
    </row>
    <row r="88" spans="1:16">
      <c r="A88" s="11"/>
      <c r="B88" s="24">
        <v>342.9</v>
      </c>
      <c r="C88" s="19" t="s">
        <v>92</v>
      </c>
      <c r="D88" s="45">
        <v>127130</v>
      </c>
      <c r="E88" s="45">
        <v>518902</v>
      </c>
      <c r="F88" s="45">
        <v>0</v>
      </c>
      <c r="G88" s="45">
        <v>0</v>
      </c>
      <c r="H88" s="45">
        <v>0</v>
      </c>
      <c r="I88" s="45">
        <v>0</v>
      </c>
      <c r="J88" s="45">
        <v>0</v>
      </c>
      <c r="K88" s="45">
        <v>0</v>
      </c>
      <c r="L88" s="45">
        <v>0</v>
      </c>
      <c r="M88" s="45">
        <v>0</v>
      </c>
      <c r="N88" s="45">
        <f t="shared" si="12"/>
        <v>646032</v>
      </c>
      <c r="O88" s="46">
        <f t="shared" si="10"/>
        <v>0.51430836911818789</v>
      </c>
      <c r="P88" s="9"/>
    </row>
    <row r="89" spans="1:16">
      <c r="A89" s="11"/>
      <c r="B89" s="24">
        <v>343.4</v>
      </c>
      <c r="C89" s="19" t="s">
        <v>93</v>
      </c>
      <c r="D89" s="45">
        <v>0</v>
      </c>
      <c r="E89" s="45">
        <v>0</v>
      </c>
      <c r="F89" s="45">
        <v>0</v>
      </c>
      <c r="G89" s="45">
        <v>0</v>
      </c>
      <c r="H89" s="45">
        <v>0</v>
      </c>
      <c r="I89" s="45">
        <v>101515000</v>
      </c>
      <c r="J89" s="45">
        <v>0</v>
      </c>
      <c r="K89" s="45">
        <v>0</v>
      </c>
      <c r="L89" s="45">
        <v>0</v>
      </c>
      <c r="M89" s="45">
        <v>0</v>
      </c>
      <c r="N89" s="45">
        <f t="shared" si="12"/>
        <v>101515000</v>
      </c>
      <c r="O89" s="46">
        <f t="shared" si="10"/>
        <v>80.816451957539016</v>
      </c>
      <c r="P89" s="9"/>
    </row>
    <row r="90" spans="1:16">
      <c r="A90" s="11"/>
      <c r="B90" s="24">
        <v>343.6</v>
      </c>
      <c r="C90" s="19" t="s">
        <v>94</v>
      </c>
      <c r="D90" s="45">
        <v>0</v>
      </c>
      <c r="E90" s="45">
        <v>0</v>
      </c>
      <c r="F90" s="45">
        <v>0</v>
      </c>
      <c r="G90" s="45">
        <v>0</v>
      </c>
      <c r="H90" s="45">
        <v>0</v>
      </c>
      <c r="I90" s="45">
        <v>202197899</v>
      </c>
      <c r="J90" s="45">
        <v>0</v>
      </c>
      <c r="K90" s="45">
        <v>0</v>
      </c>
      <c r="L90" s="45">
        <v>0</v>
      </c>
      <c r="M90" s="45">
        <v>0</v>
      </c>
      <c r="N90" s="45">
        <f t="shared" si="12"/>
        <v>202197899</v>
      </c>
      <c r="O90" s="46">
        <f t="shared" si="10"/>
        <v>160.97046535436957</v>
      </c>
      <c r="P90" s="9"/>
    </row>
    <row r="91" spans="1:16">
      <c r="A91" s="11"/>
      <c r="B91" s="24">
        <v>343.7</v>
      </c>
      <c r="C91" s="19" t="s">
        <v>95</v>
      </c>
      <c r="D91" s="45">
        <v>1528129</v>
      </c>
      <c r="E91" s="45">
        <v>217859</v>
      </c>
      <c r="F91" s="45">
        <v>0</v>
      </c>
      <c r="G91" s="45">
        <v>0</v>
      </c>
      <c r="H91" s="45">
        <v>0</v>
      </c>
      <c r="I91" s="45">
        <v>0</v>
      </c>
      <c r="J91" s="45">
        <v>0</v>
      </c>
      <c r="K91" s="45">
        <v>0</v>
      </c>
      <c r="L91" s="45">
        <v>0</v>
      </c>
      <c r="M91" s="45">
        <v>33699</v>
      </c>
      <c r="N91" s="45">
        <f t="shared" si="12"/>
        <v>1779687</v>
      </c>
      <c r="O91" s="46">
        <f t="shared" si="10"/>
        <v>1.4168151399788873</v>
      </c>
      <c r="P91" s="9"/>
    </row>
    <row r="92" spans="1:16">
      <c r="A92" s="11"/>
      <c r="B92" s="24">
        <v>343.9</v>
      </c>
      <c r="C92" s="19" t="s">
        <v>96</v>
      </c>
      <c r="D92" s="45">
        <v>1471370</v>
      </c>
      <c r="E92" s="45">
        <v>80654</v>
      </c>
      <c r="F92" s="45">
        <v>0</v>
      </c>
      <c r="G92" s="45">
        <v>0</v>
      </c>
      <c r="H92" s="45">
        <v>0</v>
      </c>
      <c r="I92" s="45">
        <v>0</v>
      </c>
      <c r="J92" s="45">
        <v>0</v>
      </c>
      <c r="K92" s="45">
        <v>0</v>
      </c>
      <c r="L92" s="45">
        <v>0</v>
      </c>
      <c r="M92" s="45">
        <v>0</v>
      </c>
      <c r="N92" s="45">
        <f t="shared" si="12"/>
        <v>1552024</v>
      </c>
      <c r="O92" s="46">
        <f t="shared" si="10"/>
        <v>1.2355718172974195</v>
      </c>
      <c r="P92" s="9"/>
    </row>
    <row r="93" spans="1:16">
      <c r="A93" s="11"/>
      <c r="B93" s="24">
        <v>344.5</v>
      </c>
      <c r="C93" s="19" t="s">
        <v>97</v>
      </c>
      <c r="D93" s="45">
        <v>735746</v>
      </c>
      <c r="E93" s="45">
        <v>0</v>
      </c>
      <c r="F93" s="45">
        <v>0</v>
      </c>
      <c r="G93" s="45">
        <v>0</v>
      </c>
      <c r="H93" s="45">
        <v>0</v>
      </c>
      <c r="I93" s="45">
        <v>0</v>
      </c>
      <c r="J93" s="45">
        <v>0</v>
      </c>
      <c r="K93" s="45">
        <v>0</v>
      </c>
      <c r="L93" s="45">
        <v>0</v>
      </c>
      <c r="M93" s="45">
        <v>0</v>
      </c>
      <c r="N93" s="45">
        <f t="shared" si="12"/>
        <v>735746</v>
      </c>
      <c r="O93" s="46">
        <f t="shared" si="10"/>
        <v>0.58573000307295975</v>
      </c>
      <c r="P93" s="9"/>
    </row>
    <row r="94" spans="1:16">
      <c r="A94" s="11"/>
      <c r="B94" s="24">
        <v>344.9</v>
      </c>
      <c r="C94" s="19" t="s">
        <v>98</v>
      </c>
      <c r="D94" s="45">
        <v>1034213</v>
      </c>
      <c r="E94" s="45">
        <v>2447031</v>
      </c>
      <c r="F94" s="45">
        <v>0</v>
      </c>
      <c r="G94" s="45">
        <v>0</v>
      </c>
      <c r="H94" s="45">
        <v>0</v>
      </c>
      <c r="I94" s="45">
        <v>0</v>
      </c>
      <c r="J94" s="45">
        <v>0</v>
      </c>
      <c r="K94" s="45">
        <v>0</v>
      </c>
      <c r="L94" s="45">
        <v>0</v>
      </c>
      <c r="M94" s="45">
        <v>0</v>
      </c>
      <c r="N94" s="45">
        <f t="shared" si="12"/>
        <v>3481244</v>
      </c>
      <c r="O94" s="46">
        <f t="shared" si="10"/>
        <v>2.7714307095352506</v>
      </c>
      <c r="P94" s="9"/>
    </row>
    <row r="95" spans="1:16">
      <c r="A95" s="11"/>
      <c r="B95" s="24">
        <v>345.1</v>
      </c>
      <c r="C95" s="19" t="s">
        <v>99</v>
      </c>
      <c r="D95" s="45">
        <v>0</v>
      </c>
      <c r="E95" s="45">
        <v>0</v>
      </c>
      <c r="F95" s="45">
        <v>0</v>
      </c>
      <c r="G95" s="45">
        <v>0</v>
      </c>
      <c r="H95" s="45">
        <v>0</v>
      </c>
      <c r="I95" s="45">
        <v>0</v>
      </c>
      <c r="J95" s="45">
        <v>0</v>
      </c>
      <c r="K95" s="45">
        <v>0</v>
      </c>
      <c r="L95" s="45">
        <v>0</v>
      </c>
      <c r="M95" s="45">
        <v>818699</v>
      </c>
      <c r="N95" s="45">
        <f t="shared" si="12"/>
        <v>818699</v>
      </c>
      <c r="O95" s="46">
        <f t="shared" si="10"/>
        <v>0.65176918092090075</v>
      </c>
      <c r="P95" s="9"/>
    </row>
    <row r="96" spans="1:16">
      <c r="A96" s="11"/>
      <c r="B96" s="24">
        <v>345.9</v>
      </c>
      <c r="C96" s="19" t="s">
        <v>100</v>
      </c>
      <c r="D96" s="45">
        <v>81906</v>
      </c>
      <c r="E96" s="45">
        <v>0</v>
      </c>
      <c r="F96" s="45">
        <v>0</v>
      </c>
      <c r="G96" s="45">
        <v>0</v>
      </c>
      <c r="H96" s="45">
        <v>0</v>
      </c>
      <c r="I96" s="45">
        <v>0</v>
      </c>
      <c r="J96" s="45">
        <v>0</v>
      </c>
      <c r="K96" s="45">
        <v>0</v>
      </c>
      <c r="L96" s="45">
        <v>0</v>
      </c>
      <c r="M96" s="45">
        <v>0</v>
      </c>
      <c r="N96" s="45">
        <f t="shared" si="12"/>
        <v>81906</v>
      </c>
      <c r="O96" s="46">
        <f t="shared" si="10"/>
        <v>6.5205657430273276E-2</v>
      </c>
      <c r="P96" s="9"/>
    </row>
    <row r="97" spans="1:16">
      <c r="A97" s="11"/>
      <c r="B97" s="24">
        <v>346.4</v>
      </c>
      <c r="C97" s="19" t="s">
        <v>101</v>
      </c>
      <c r="D97" s="45">
        <v>403008</v>
      </c>
      <c r="E97" s="45">
        <v>0</v>
      </c>
      <c r="F97" s="45">
        <v>0</v>
      </c>
      <c r="G97" s="45">
        <v>0</v>
      </c>
      <c r="H97" s="45">
        <v>0</v>
      </c>
      <c r="I97" s="45">
        <v>0</v>
      </c>
      <c r="J97" s="45">
        <v>0</v>
      </c>
      <c r="K97" s="45">
        <v>0</v>
      </c>
      <c r="L97" s="45">
        <v>0</v>
      </c>
      <c r="M97" s="45">
        <v>0</v>
      </c>
      <c r="N97" s="45">
        <f t="shared" si="12"/>
        <v>403008</v>
      </c>
      <c r="O97" s="46">
        <f t="shared" si="10"/>
        <v>0.32083609979317229</v>
      </c>
      <c r="P97" s="9"/>
    </row>
    <row r="98" spans="1:16">
      <c r="A98" s="11"/>
      <c r="B98" s="24">
        <v>346.9</v>
      </c>
      <c r="C98" s="19" t="s">
        <v>102</v>
      </c>
      <c r="D98" s="45">
        <v>789844</v>
      </c>
      <c r="E98" s="45">
        <v>976931</v>
      </c>
      <c r="F98" s="45">
        <v>0</v>
      </c>
      <c r="G98" s="45">
        <v>0</v>
      </c>
      <c r="H98" s="45">
        <v>0</v>
      </c>
      <c r="I98" s="45">
        <v>0</v>
      </c>
      <c r="J98" s="45">
        <v>0</v>
      </c>
      <c r="K98" s="45">
        <v>0</v>
      </c>
      <c r="L98" s="45">
        <v>0</v>
      </c>
      <c r="M98" s="45">
        <v>0</v>
      </c>
      <c r="N98" s="45">
        <f t="shared" si="12"/>
        <v>1766775</v>
      </c>
      <c r="O98" s="46">
        <f t="shared" si="10"/>
        <v>1.4065358509312023</v>
      </c>
      <c r="P98" s="9"/>
    </row>
    <row r="99" spans="1:16">
      <c r="A99" s="11"/>
      <c r="B99" s="24">
        <v>347.1</v>
      </c>
      <c r="C99" s="19" t="s">
        <v>103</v>
      </c>
      <c r="D99" s="45">
        <v>0</v>
      </c>
      <c r="E99" s="45">
        <v>51001</v>
      </c>
      <c r="F99" s="45">
        <v>0</v>
      </c>
      <c r="G99" s="45">
        <v>0</v>
      </c>
      <c r="H99" s="45">
        <v>0</v>
      </c>
      <c r="I99" s="45">
        <v>0</v>
      </c>
      <c r="J99" s="45">
        <v>0</v>
      </c>
      <c r="K99" s="45">
        <v>0</v>
      </c>
      <c r="L99" s="45">
        <v>0</v>
      </c>
      <c r="M99" s="45">
        <v>1066</v>
      </c>
      <c r="N99" s="45">
        <f t="shared" si="12"/>
        <v>52067</v>
      </c>
      <c r="O99" s="46">
        <f t="shared" si="10"/>
        <v>4.1450723578517305E-2</v>
      </c>
      <c r="P99" s="9"/>
    </row>
    <row r="100" spans="1:16">
      <c r="A100" s="11"/>
      <c r="B100" s="24">
        <v>347.2</v>
      </c>
      <c r="C100" s="19" t="s">
        <v>104</v>
      </c>
      <c r="D100" s="45">
        <v>2797157</v>
      </c>
      <c r="E100" s="45">
        <v>0</v>
      </c>
      <c r="F100" s="45">
        <v>0</v>
      </c>
      <c r="G100" s="45">
        <v>0</v>
      </c>
      <c r="H100" s="45">
        <v>0</v>
      </c>
      <c r="I100" s="45">
        <v>0</v>
      </c>
      <c r="J100" s="45">
        <v>0</v>
      </c>
      <c r="K100" s="45">
        <v>0</v>
      </c>
      <c r="L100" s="45">
        <v>0</v>
      </c>
      <c r="M100" s="45">
        <v>0</v>
      </c>
      <c r="N100" s="45">
        <f t="shared" si="12"/>
        <v>2797157</v>
      </c>
      <c r="O100" s="46">
        <f t="shared" si="10"/>
        <v>2.2268266197920896</v>
      </c>
      <c r="P100" s="9"/>
    </row>
    <row r="101" spans="1:16">
      <c r="A101" s="11"/>
      <c r="B101" s="24">
        <v>347.4</v>
      </c>
      <c r="C101" s="19" t="s">
        <v>105</v>
      </c>
      <c r="D101" s="45">
        <v>1241</v>
      </c>
      <c r="E101" s="45">
        <v>0</v>
      </c>
      <c r="F101" s="45">
        <v>457957</v>
      </c>
      <c r="G101" s="45">
        <v>0</v>
      </c>
      <c r="H101" s="45">
        <v>0</v>
      </c>
      <c r="I101" s="45">
        <v>0</v>
      </c>
      <c r="J101" s="45">
        <v>0</v>
      </c>
      <c r="K101" s="45">
        <v>0</v>
      </c>
      <c r="L101" s="45">
        <v>0</v>
      </c>
      <c r="M101" s="45">
        <v>0</v>
      </c>
      <c r="N101" s="45">
        <f t="shared" si="12"/>
        <v>459198</v>
      </c>
      <c r="O101" s="46">
        <f t="shared" ref="O101:O132" si="13">(N101/O$141)</f>
        <v>0.36556915831155989</v>
      </c>
      <c r="P101" s="9"/>
    </row>
    <row r="102" spans="1:16">
      <c r="A102" s="11"/>
      <c r="B102" s="24">
        <v>347.5</v>
      </c>
      <c r="C102" s="19" t="s">
        <v>106</v>
      </c>
      <c r="D102" s="45">
        <v>207170</v>
      </c>
      <c r="E102" s="45">
        <v>0</v>
      </c>
      <c r="F102" s="45">
        <v>0</v>
      </c>
      <c r="G102" s="45">
        <v>0</v>
      </c>
      <c r="H102" s="45">
        <v>0</v>
      </c>
      <c r="I102" s="45">
        <v>0</v>
      </c>
      <c r="J102" s="45">
        <v>0</v>
      </c>
      <c r="K102" s="45">
        <v>0</v>
      </c>
      <c r="L102" s="45">
        <v>0</v>
      </c>
      <c r="M102" s="45">
        <v>0</v>
      </c>
      <c r="N102" s="45">
        <f t="shared" si="12"/>
        <v>207170</v>
      </c>
      <c r="O102" s="46">
        <f t="shared" si="13"/>
        <v>0.16492877261531161</v>
      </c>
      <c r="P102" s="9"/>
    </row>
    <row r="103" spans="1:16">
      <c r="A103" s="11"/>
      <c r="B103" s="24">
        <v>347.9</v>
      </c>
      <c r="C103" s="19" t="s">
        <v>107</v>
      </c>
      <c r="D103" s="45">
        <v>176426</v>
      </c>
      <c r="E103" s="45">
        <v>0</v>
      </c>
      <c r="F103" s="45">
        <v>0</v>
      </c>
      <c r="G103" s="45">
        <v>0</v>
      </c>
      <c r="H103" s="45">
        <v>0</v>
      </c>
      <c r="I103" s="45">
        <v>0</v>
      </c>
      <c r="J103" s="45">
        <v>0</v>
      </c>
      <c r="K103" s="45">
        <v>0</v>
      </c>
      <c r="L103" s="45">
        <v>0</v>
      </c>
      <c r="M103" s="45">
        <v>0</v>
      </c>
      <c r="N103" s="45">
        <f t="shared" si="12"/>
        <v>176426</v>
      </c>
      <c r="O103" s="46">
        <f t="shared" si="13"/>
        <v>0.14045336505009878</v>
      </c>
      <c r="P103" s="9"/>
    </row>
    <row r="104" spans="1:16">
      <c r="A104" s="11"/>
      <c r="B104" s="24">
        <v>348.88</v>
      </c>
      <c r="C104" s="19" t="s">
        <v>108</v>
      </c>
      <c r="D104" s="45">
        <v>89427</v>
      </c>
      <c r="E104" s="45">
        <v>0</v>
      </c>
      <c r="F104" s="45">
        <v>0</v>
      </c>
      <c r="G104" s="45">
        <v>0</v>
      </c>
      <c r="H104" s="45">
        <v>0</v>
      </c>
      <c r="I104" s="45">
        <v>0</v>
      </c>
      <c r="J104" s="45">
        <v>0</v>
      </c>
      <c r="K104" s="45">
        <v>0</v>
      </c>
      <c r="L104" s="45">
        <v>0</v>
      </c>
      <c r="M104" s="45">
        <v>0</v>
      </c>
      <c r="N104" s="45">
        <f t="shared" si="12"/>
        <v>89427</v>
      </c>
      <c r="O104" s="46">
        <f t="shared" si="13"/>
        <v>7.1193152235697596E-2</v>
      </c>
      <c r="P104" s="9"/>
    </row>
    <row r="105" spans="1:16">
      <c r="A105" s="11"/>
      <c r="B105" s="24">
        <v>348.92099999999999</v>
      </c>
      <c r="C105" s="19" t="s">
        <v>109</v>
      </c>
      <c r="D105" s="45">
        <v>0</v>
      </c>
      <c r="E105" s="45">
        <v>407735</v>
      </c>
      <c r="F105" s="45">
        <v>0</v>
      </c>
      <c r="G105" s="45">
        <v>0</v>
      </c>
      <c r="H105" s="45">
        <v>0</v>
      </c>
      <c r="I105" s="45">
        <v>0</v>
      </c>
      <c r="J105" s="45">
        <v>0</v>
      </c>
      <c r="K105" s="45">
        <v>0</v>
      </c>
      <c r="L105" s="45">
        <v>0</v>
      </c>
      <c r="M105" s="45">
        <v>0</v>
      </c>
      <c r="N105" s="45">
        <f t="shared" si="12"/>
        <v>407735</v>
      </c>
      <c r="O105" s="46">
        <f t="shared" si="13"/>
        <v>0.32459928127771437</v>
      </c>
      <c r="P105" s="9"/>
    </row>
    <row r="106" spans="1:16">
      <c r="A106" s="11"/>
      <c r="B106" s="24">
        <v>348.92200000000003</v>
      </c>
      <c r="C106" s="19" t="s">
        <v>110</v>
      </c>
      <c r="D106" s="45">
        <v>0</v>
      </c>
      <c r="E106" s="45">
        <v>407735</v>
      </c>
      <c r="F106" s="45">
        <v>0</v>
      </c>
      <c r="G106" s="45">
        <v>0</v>
      </c>
      <c r="H106" s="45">
        <v>0</v>
      </c>
      <c r="I106" s="45">
        <v>0</v>
      </c>
      <c r="J106" s="45">
        <v>0</v>
      </c>
      <c r="K106" s="45">
        <v>0</v>
      </c>
      <c r="L106" s="45">
        <v>0</v>
      </c>
      <c r="M106" s="45">
        <v>0</v>
      </c>
      <c r="N106" s="45">
        <f t="shared" si="12"/>
        <v>407735</v>
      </c>
      <c r="O106" s="46">
        <f t="shared" si="13"/>
        <v>0.32459928127771437</v>
      </c>
      <c r="P106" s="9"/>
    </row>
    <row r="107" spans="1:16">
      <c r="A107" s="11"/>
      <c r="B107" s="24">
        <v>348.923</v>
      </c>
      <c r="C107" s="19" t="s">
        <v>111</v>
      </c>
      <c r="D107" s="45">
        <v>0</v>
      </c>
      <c r="E107" s="45">
        <v>0</v>
      </c>
      <c r="F107" s="45">
        <v>0</v>
      </c>
      <c r="G107" s="45">
        <v>0</v>
      </c>
      <c r="H107" s="45">
        <v>0</v>
      </c>
      <c r="I107" s="45">
        <v>0</v>
      </c>
      <c r="J107" s="45">
        <v>0</v>
      </c>
      <c r="K107" s="45">
        <v>0</v>
      </c>
      <c r="L107" s="45">
        <v>0</v>
      </c>
      <c r="M107" s="45">
        <v>407735</v>
      </c>
      <c r="N107" s="45">
        <f t="shared" si="12"/>
        <v>407735</v>
      </c>
      <c r="O107" s="46">
        <f t="shared" si="13"/>
        <v>0.32459928127771437</v>
      </c>
      <c r="P107" s="9"/>
    </row>
    <row r="108" spans="1:16">
      <c r="A108" s="11"/>
      <c r="B108" s="24">
        <v>348.92399999999998</v>
      </c>
      <c r="C108" s="19" t="s">
        <v>112</v>
      </c>
      <c r="D108" s="45">
        <v>0</v>
      </c>
      <c r="E108" s="45">
        <v>407735</v>
      </c>
      <c r="F108" s="45">
        <v>0</v>
      </c>
      <c r="G108" s="45">
        <v>0</v>
      </c>
      <c r="H108" s="45">
        <v>0</v>
      </c>
      <c r="I108" s="45">
        <v>0</v>
      </c>
      <c r="J108" s="45">
        <v>0</v>
      </c>
      <c r="K108" s="45">
        <v>0</v>
      </c>
      <c r="L108" s="45">
        <v>0</v>
      </c>
      <c r="M108" s="45">
        <v>0</v>
      </c>
      <c r="N108" s="45">
        <f t="shared" si="12"/>
        <v>407735</v>
      </c>
      <c r="O108" s="46">
        <f t="shared" si="13"/>
        <v>0.32459928127771437</v>
      </c>
      <c r="P108" s="9"/>
    </row>
    <row r="109" spans="1:16">
      <c r="A109" s="11"/>
      <c r="B109" s="24">
        <v>348.93</v>
      </c>
      <c r="C109" s="19" t="s">
        <v>113</v>
      </c>
      <c r="D109" s="45">
        <v>72158</v>
      </c>
      <c r="E109" s="45">
        <v>2752661</v>
      </c>
      <c r="F109" s="45">
        <v>0</v>
      </c>
      <c r="G109" s="45">
        <v>0</v>
      </c>
      <c r="H109" s="45">
        <v>0</v>
      </c>
      <c r="I109" s="45">
        <v>0</v>
      </c>
      <c r="J109" s="45">
        <v>0</v>
      </c>
      <c r="K109" s="45">
        <v>0</v>
      </c>
      <c r="L109" s="45">
        <v>0</v>
      </c>
      <c r="M109" s="45">
        <v>0</v>
      </c>
      <c r="N109" s="45">
        <f t="shared" si="12"/>
        <v>2824819</v>
      </c>
      <c r="O109" s="46">
        <f t="shared" si="13"/>
        <v>2.248848436213795</v>
      </c>
      <c r="P109" s="9"/>
    </row>
    <row r="110" spans="1:16">
      <c r="A110" s="11"/>
      <c r="B110" s="24">
        <v>348.99</v>
      </c>
      <c r="C110" s="19" t="s">
        <v>174</v>
      </c>
      <c r="D110" s="45">
        <v>1038</v>
      </c>
      <c r="E110" s="45">
        <v>1072425</v>
      </c>
      <c r="F110" s="45">
        <v>0</v>
      </c>
      <c r="G110" s="45">
        <v>0</v>
      </c>
      <c r="H110" s="45">
        <v>0</v>
      </c>
      <c r="I110" s="45">
        <v>0</v>
      </c>
      <c r="J110" s="45">
        <v>0</v>
      </c>
      <c r="K110" s="45">
        <v>0</v>
      </c>
      <c r="L110" s="45">
        <v>0</v>
      </c>
      <c r="M110" s="45">
        <v>0</v>
      </c>
      <c r="N110" s="45">
        <f t="shared" si="12"/>
        <v>1073463</v>
      </c>
      <c r="O110" s="46">
        <f t="shared" si="13"/>
        <v>0.85458770593208599</v>
      </c>
      <c r="P110" s="9"/>
    </row>
    <row r="111" spans="1:16">
      <c r="A111" s="11"/>
      <c r="B111" s="24">
        <v>349</v>
      </c>
      <c r="C111" s="19" t="s">
        <v>1</v>
      </c>
      <c r="D111" s="45">
        <v>3320805</v>
      </c>
      <c r="E111" s="45">
        <v>32301</v>
      </c>
      <c r="F111" s="45">
        <v>0</v>
      </c>
      <c r="G111" s="45">
        <v>0</v>
      </c>
      <c r="H111" s="45">
        <v>0</v>
      </c>
      <c r="I111" s="45">
        <v>0</v>
      </c>
      <c r="J111" s="45">
        <v>0</v>
      </c>
      <c r="K111" s="45">
        <v>0</v>
      </c>
      <c r="L111" s="45">
        <v>0</v>
      </c>
      <c r="M111" s="45">
        <v>0</v>
      </c>
      <c r="N111" s="45">
        <f t="shared" si="12"/>
        <v>3353106</v>
      </c>
      <c r="O111" s="46">
        <f t="shared" si="13"/>
        <v>2.6694195927452675</v>
      </c>
      <c r="P111" s="9"/>
    </row>
    <row r="112" spans="1:16" ht="15.75">
      <c r="A112" s="28" t="s">
        <v>76</v>
      </c>
      <c r="B112" s="29"/>
      <c r="C112" s="30"/>
      <c r="D112" s="31">
        <f t="shared" ref="D112:M112" si="14">SUM(D113:D121)</f>
        <v>4383718</v>
      </c>
      <c r="E112" s="31">
        <f t="shared" si="14"/>
        <v>3550461</v>
      </c>
      <c r="F112" s="31">
        <f t="shared" si="14"/>
        <v>0</v>
      </c>
      <c r="G112" s="31">
        <f t="shared" si="14"/>
        <v>0</v>
      </c>
      <c r="H112" s="31">
        <f t="shared" si="14"/>
        <v>0</v>
      </c>
      <c r="I112" s="31">
        <f t="shared" si="14"/>
        <v>0</v>
      </c>
      <c r="J112" s="31">
        <f t="shared" si="14"/>
        <v>0</v>
      </c>
      <c r="K112" s="31">
        <f t="shared" si="14"/>
        <v>0</v>
      </c>
      <c r="L112" s="31">
        <f t="shared" si="14"/>
        <v>0</v>
      </c>
      <c r="M112" s="31">
        <f t="shared" si="14"/>
        <v>60</v>
      </c>
      <c r="N112" s="31">
        <f>SUM(D112:M112)</f>
        <v>7934239</v>
      </c>
      <c r="O112" s="44">
        <f t="shared" si="13"/>
        <v>6.3164758406455448</v>
      </c>
      <c r="P112" s="10"/>
    </row>
    <row r="113" spans="1:16">
      <c r="A113" s="12"/>
      <c r="B113" s="38">
        <v>351.1</v>
      </c>
      <c r="C113" s="20" t="s">
        <v>134</v>
      </c>
      <c r="D113" s="45">
        <v>374</v>
      </c>
      <c r="E113" s="45">
        <v>18398</v>
      </c>
      <c r="F113" s="45">
        <v>0</v>
      </c>
      <c r="G113" s="45">
        <v>0</v>
      </c>
      <c r="H113" s="45">
        <v>0</v>
      </c>
      <c r="I113" s="45">
        <v>0</v>
      </c>
      <c r="J113" s="45">
        <v>0</v>
      </c>
      <c r="K113" s="45">
        <v>0</v>
      </c>
      <c r="L113" s="45">
        <v>0</v>
      </c>
      <c r="M113" s="45">
        <v>0</v>
      </c>
      <c r="N113" s="45">
        <f>SUM(D113:M113)</f>
        <v>18772</v>
      </c>
      <c r="O113" s="46">
        <f t="shared" si="13"/>
        <v>1.4944455855262006E-2</v>
      </c>
      <c r="P113" s="9"/>
    </row>
    <row r="114" spans="1:16">
      <c r="A114" s="12"/>
      <c r="B114" s="38">
        <v>351.5</v>
      </c>
      <c r="C114" s="20" t="s">
        <v>137</v>
      </c>
      <c r="D114" s="45">
        <v>418718</v>
      </c>
      <c r="E114" s="45">
        <v>0</v>
      </c>
      <c r="F114" s="45">
        <v>0</v>
      </c>
      <c r="G114" s="45">
        <v>0</v>
      </c>
      <c r="H114" s="45">
        <v>0</v>
      </c>
      <c r="I114" s="45">
        <v>0</v>
      </c>
      <c r="J114" s="45">
        <v>0</v>
      </c>
      <c r="K114" s="45">
        <v>0</v>
      </c>
      <c r="L114" s="45">
        <v>0</v>
      </c>
      <c r="M114" s="45">
        <v>0</v>
      </c>
      <c r="N114" s="45">
        <f t="shared" ref="N114:N121" si="15">SUM(D114:M114)</f>
        <v>418718</v>
      </c>
      <c r="O114" s="46">
        <f t="shared" si="13"/>
        <v>0.33334288657594269</v>
      </c>
      <c r="P114" s="9"/>
    </row>
    <row r="115" spans="1:16">
      <c r="A115" s="12"/>
      <c r="B115" s="38">
        <v>351.7</v>
      </c>
      <c r="C115" s="20" t="s">
        <v>135</v>
      </c>
      <c r="D115" s="45">
        <v>0</v>
      </c>
      <c r="E115" s="45">
        <v>901331</v>
      </c>
      <c r="F115" s="45">
        <v>0</v>
      </c>
      <c r="G115" s="45">
        <v>0</v>
      </c>
      <c r="H115" s="45">
        <v>0</v>
      </c>
      <c r="I115" s="45">
        <v>0</v>
      </c>
      <c r="J115" s="45">
        <v>0</v>
      </c>
      <c r="K115" s="45">
        <v>0</v>
      </c>
      <c r="L115" s="45">
        <v>0</v>
      </c>
      <c r="M115" s="45">
        <v>0</v>
      </c>
      <c r="N115" s="45">
        <f t="shared" si="15"/>
        <v>901331</v>
      </c>
      <c r="O115" s="46">
        <f t="shared" si="13"/>
        <v>0.7175528095290411</v>
      </c>
      <c r="P115" s="9"/>
    </row>
    <row r="116" spans="1:16">
      <c r="A116" s="12"/>
      <c r="B116" s="38">
        <v>351.8</v>
      </c>
      <c r="C116" s="20" t="s">
        <v>176</v>
      </c>
      <c r="D116" s="45">
        <v>0</v>
      </c>
      <c r="E116" s="45">
        <v>1444574</v>
      </c>
      <c r="F116" s="45">
        <v>0</v>
      </c>
      <c r="G116" s="45">
        <v>0</v>
      </c>
      <c r="H116" s="45">
        <v>0</v>
      </c>
      <c r="I116" s="45">
        <v>0</v>
      </c>
      <c r="J116" s="45">
        <v>0</v>
      </c>
      <c r="K116" s="45">
        <v>0</v>
      </c>
      <c r="L116" s="45">
        <v>0</v>
      </c>
      <c r="M116" s="45">
        <v>0</v>
      </c>
      <c r="N116" s="45">
        <f t="shared" si="15"/>
        <v>1444574</v>
      </c>
      <c r="O116" s="46">
        <f t="shared" si="13"/>
        <v>1.1500304907659948</v>
      </c>
      <c r="P116" s="9"/>
    </row>
    <row r="117" spans="1:16">
      <c r="A117" s="12"/>
      <c r="B117" s="38">
        <v>352</v>
      </c>
      <c r="C117" s="20" t="s">
        <v>138</v>
      </c>
      <c r="D117" s="45">
        <v>0</v>
      </c>
      <c r="E117" s="45">
        <v>468463</v>
      </c>
      <c r="F117" s="45">
        <v>0</v>
      </c>
      <c r="G117" s="45">
        <v>0</v>
      </c>
      <c r="H117" s="45">
        <v>0</v>
      </c>
      <c r="I117" s="45">
        <v>0</v>
      </c>
      <c r="J117" s="45">
        <v>0</v>
      </c>
      <c r="K117" s="45">
        <v>0</v>
      </c>
      <c r="L117" s="45">
        <v>0</v>
      </c>
      <c r="M117" s="45">
        <v>0</v>
      </c>
      <c r="N117" s="45">
        <f t="shared" si="15"/>
        <v>468463</v>
      </c>
      <c r="O117" s="46">
        <f t="shared" si="13"/>
        <v>0.37294505770954639</v>
      </c>
      <c r="P117" s="9"/>
    </row>
    <row r="118" spans="1:16">
      <c r="A118" s="12"/>
      <c r="B118" s="38">
        <v>353</v>
      </c>
      <c r="C118" s="20" t="s">
        <v>139</v>
      </c>
      <c r="D118" s="45">
        <v>20</v>
      </c>
      <c r="E118" s="45">
        <v>82271</v>
      </c>
      <c r="F118" s="45">
        <v>0</v>
      </c>
      <c r="G118" s="45">
        <v>0</v>
      </c>
      <c r="H118" s="45">
        <v>0</v>
      </c>
      <c r="I118" s="45">
        <v>0</v>
      </c>
      <c r="J118" s="45">
        <v>0</v>
      </c>
      <c r="K118" s="45">
        <v>0</v>
      </c>
      <c r="L118" s="45">
        <v>0</v>
      </c>
      <c r="M118" s="45">
        <v>0</v>
      </c>
      <c r="N118" s="45">
        <f t="shared" si="15"/>
        <v>82291</v>
      </c>
      <c r="O118" s="46">
        <f t="shared" si="13"/>
        <v>6.5512157297323972E-2</v>
      </c>
      <c r="P118" s="9"/>
    </row>
    <row r="119" spans="1:16">
      <c r="A119" s="12"/>
      <c r="B119" s="38">
        <v>354</v>
      </c>
      <c r="C119" s="20" t="s">
        <v>140</v>
      </c>
      <c r="D119" s="45">
        <v>3942948</v>
      </c>
      <c r="E119" s="45">
        <v>325228</v>
      </c>
      <c r="F119" s="45">
        <v>0</v>
      </c>
      <c r="G119" s="45">
        <v>0</v>
      </c>
      <c r="H119" s="45">
        <v>0</v>
      </c>
      <c r="I119" s="45">
        <v>0</v>
      </c>
      <c r="J119" s="45">
        <v>0</v>
      </c>
      <c r="K119" s="45">
        <v>0</v>
      </c>
      <c r="L119" s="45">
        <v>0</v>
      </c>
      <c r="M119" s="45">
        <v>60</v>
      </c>
      <c r="N119" s="45">
        <f t="shared" si="15"/>
        <v>4268236</v>
      </c>
      <c r="O119" s="46">
        <f t="shared" si="13"/>
        <v>3.3979578351715363</v>
      </c>
      <c r="P119" s="9"/>
    </row>
    <row r="120" spans="1:16">
      <c r="A120" s="12"/>
      <c r="B120" s="38">
        <v>358.1</v>
      </c>
      <c r="C120" s="20" t="s">
        <v>198</v>
      </c>
      <c r="D120" s="45">
        <v>8656</v>
      </c>
      <c r="E120" s="45">
        <v>0</v>
      </c>
      <c r="F120" s="45">
        <v>0</v>
      </c>
      <c r="G120" s="45">
        <v>0</v>
      </c>
      <c r="H120" s="45">
        <v>0</v>
      </c>
      <c r="I120" s="45">
        <v>0</v>
      </c>
      <c r="J120" s="45">
        <v>0</v>
      </c>
      <c r="K120" s="45">
        <v>0</v>
      </c>
      <c r="L120" s="45">
        <v>0</v>
      </c>
      <c r="M120" s="45">
        <v>0</v>
      </c>
      <c r="N120" s="45">
        <f t="shared" si="15"/>
        <v>8656</v>
      </c>
      <c r="O120" s="46">
        <f t="shared" si="13"/>
        <v>6.8910723355608307E-3</v>
      </c>
      <c r="P120" s="9"/>
    </row>
    <row r="121" spans="1:16">
      <c r="A121" s="12"/>
      <c r="B121" s="38">
        <v>359</v>
      </c>
      <c r="C121" s="20" t="s">
        <v>141</v>
      </c>
      <c r="D121" s="45">
        <v>13002</v>
      </c>
      <c r="E121" s="45">
        <v>310196</v>
      </c>
      <c r="F121" s="45">
        <v>0</v>
      </c>
      <c r="G121" s="45">
        <v>0</v>
      </c>
      <c r="H121" s="45">
        <v>0</v>
      </c>
      <c r="I121" s="45">
        <v>0</v>
      </c>
      <c r="J121" s="45">
        <v>0</v>
      </c>
      <c r="K121" s="45">
        <v>0</v>
      </c>
      <c r="L121" s="45">
        <v>0</v>
      </c>
      <c r="M121" s="45">
        <v>0</v>
      </c>
      <c r="N121" s="45">
        <f t="shared" si="15"/>
        <v>323198</v>
      </c>
      <c r="O121" s="46">
        <f t="shared" si="13"/>
        <v>0.25729907540533614</v>
      </c>
      <c r="P121" s="9"/>
    </row>
    <row r="122" spans="1:16" ht="15.75">
      <c r="A122" s="28" t="s">
        <v>5</v>
      </c>
      <c r="B122" s="29"/>
      <c r="C122" s="30"/>
      <c r="D122" s="31">
        <f t="shared" ref="D122:M122" si="16">SUM(D123:D130)</f>
        <v>9622512</v>
      </c>
      <c r="E122" s="31">
        <f t="shared" si="16"/>
        <v>17240744</v>
      </c>
      <c r="F122" s="31">
        <f t="shared" si="16"/>
        <v>501230</v>
      </c>
      <c r="G122" s="31">
        <f t="shared" si="16"/>
        <v>633239</v>
      </c>
      <c r="H122" s="31">
        <f t="shared" si="16"/>
        <v>0</v>
      </c>
      <c r="I122" s="31">
        <f t="shared" si="16"/>
        <v>-1759000</v>
      </c>
      <c r="J122" s="31">
        <f t="shared" si="16"/>
        <v>839978</v>
      </c>
      <c r="K122" s="31">
        <f t="shared" si="16"/>
        <v>0</v>
      </c>
      <c r="L122" s="31">
        <f t="shared" si="16"/>
        <v>0</v>
      </c>
      <c r="M122" s="31">
        <f t="shared" si="16"/>
        <v>1818238</v>
      </c>
      <c r="N122" s="31">
        <f>SUM(D122:M122)</f>
        <v>28896941</v>
      </c>
      <c r="O122" s="44">
        <f t="shared" si="13"/>
        <v>23.004957336810715</v>
      </c>
      <c r="P122" s="10"/>
    </row>
    <row r="123" spans="1:16">
      <c r="A123" s="11"/>
      <c r="B123" s="24">
        <v>361.1</v>
      </c>
      <c r="C123" s="19" t="s">
        <v>142</v>
      </c>
      <c r="D123" s="45">
        <v>2943112</v>
      </c>
      <c r="E123" s="45">
        <v>2781542</v>
      </c>
      <c r="F123" s="45">
        <v>141594</v>
      </c>
      <c r="G123" s="45">
        <v>209513</v>
      </c>
      <c r="H123" s="45">
        <v>0</v>
      </c>
      <c r="I123" s="45">
        <v>0</v>
      </c>
      <c r="J123" s="45">
        <v>3904</v>
      </c>
      <c r="K123" s="45">
        <v>0</v>
      </c>
      <c r="L123" s="45">
        <v>0</v>
      </c>
      <c r="M123" s="45">
        <v>1815778</v>
      </c>
      <c r="N123" s="45">
        <f>SUM(D123:M123)</f>
        <v>7895443</v>
      </c>
      <c r="O123" s="46">
        <f t="shared" si="13"/>
        <v>6.2855902072894425</v>
      </c>
      <c r="P123" s="9"/>
    </row>
    <row r="124" spans="1:16">
      <c r="A124" s="11"/>
      <c r="B124" s="24">
        <v>361.3</v>
      </c>
      <c r="C124" s="19" t="s">
        <v>143</v>
      </c>
      <c r="D124" s="45">
        <v>1133804</v>
      </c>
      <c r="E124" s="45">
        <v>1069199</v>
      </c>
      <c r="F124" s="45">
        <v>66681</v>
      </c>
      <c r="G124" s="45">
        <v>82554</v>
      </c>
      <c r="H124" s="45">
        <v>0</v>
      </c>
      <c r="I124" s="45">
        <v>0</v>
      </c>
      <c r="J124" s="45">
        <v>0</v>
      </c>
      <c r="K124" s="45">
        <v>0</v>
      </c>
      <c r="L124" s="45">
        <v>0</v>
      </c>
      <c r="M124" s="45">
        <v>254</v>
      </c>
      <c r="N124" s="45">
        <f t="shared" ref="N124:N130" si="17">SUM(D124:M124)</f>
        <v>2352492</v>
      </c>
      <c r="O124" s="46">
        <f t="shared" si="13"/>
        <v>1.8728272343840309</v>
      </c>
      <c r="P124" s="9"/>
    </row>
    <row r="125" spans="1:16">
      <c r="A125" s="11"/>
      <c r="B125" s="24">
        <v>362</v>
      </c>
      <c r="C125" s="19" t="s">
        <v>145</v>
      </c>
      <c r="D125" s="45">
        <v>1250734</v>
      </c>
      <c r="E125" s="45">
        <v>6902</v>
      </c>
      <c r="F125" s="45">
        <v>293669</v>
      </c>
      <c r="G125" s="45">
        <v>228026</v>
      </c>
      <c r="H125" s="45">
        <v>0</v>
      </c>
      <c r="I125" s="45">
        <v>0</v>
      </c>
      <c r="J125" s="45">
        <v>0</v>
      </c>
      <c r="K125" s="45">
        <v>0</v>
      </c>
      <c r="L125" s="45">
        <v>0</v>
      </c>
      <c r="M125" s="45">
        <v>0</v>
      </c>
      <c r="N125" s="45">
        <f t="shared" si="17"/>
        <v>1779331</v>
      </c>
      <c r="O125" s="46">
        <f t="shared" si="13"/>
        <v>1.4165317271148092</v>
      </c>
      <c r="P125" s="9"/>
    </row>
    <row r="126" spans="1:16">
      <c r="A126" s="11"/>
      <c r="B126" s="24">
        <v>364</v>
      </c>
      <c r="C126" s="19" t="s">
        <v>146</v>
      </c>
      <c r="D126" s="45">
        <v>1341863</v>
      </c>
      <c r="E126" s="45">
        <v>47537</v>
      </c>
      <c r="F126" s="45">
        <v>0</v>
      </c>
      <c r="G126" s="45">
        <v>0</v>
      </c>
      <c r="H126" s="45">
        <v>0</v>
      </c>
      <c r="I126" s="45">
        <v>-1759000</v>
      </c>
      <c r="J126" s="45">
        <v>836074</v>
      </c>
      <c r="K126" s="45">
        <v>0</v>
      </c>
      <c r="L126" s="45">
        <v>0</v>
      </c>
      <c r="M126" s="45">
        <v>0</v>
      </c>
      <c r="N126" s="45">
        <f t="shared" si="17"/>
        <v>466474</v>
      </c>
      <c r="O126" s="46">
        <f t="shared" si="13"/>
        <v>0.37136160774704285</v>
      </c>
      <c r="P126" s="9"/>
    </row>
    <row r="127" spans="1:16">
      <c r="A127" s="11"/>
      <c r="B127" s="24">
        <v>365</v>
      </c>
      <c r="C127" s="19" t="s">
        <v>147</v>
      </c>
      <c r="D127" s="45">
        <v>69236</v>
      </c>
      <c r="E127" s="45">
        <v>26451</v>
      </c>
      <c r="F127" s="45">
        <v>0</v>
      </c>
      <c r="G127" s="45">
        <v>0</v>
      </c>
      <c r="H127" s="45">
        <v>0</v>
      </c>
      <c r="I127" s="45">
        <v>0</v>
      </c>
      <c r="J127" s="45">
        <v>0</v>
      </c>
      <c r="K127" s="45">
        <v>0</v>
      </c>
      <c r="L127" s="45">
        <v>0</v>
      </c>
      <c r="M127" s="45">
        <v>0</v>
      </c>
      <c r="N127" s="45">
        <f t="shared" si="17"/>
        <v>95687</v>
      </c>
      <c r="O127" s="46">
        <f t="shared" si="13"/>
        <v>7.6176760463587026E-2</v>
      </c>
      <c r="P127" s="9"/>
    </row>
    <row r="128" spans="1:16">
      <c r="A128" s="11"/>
      <c r="B128" s="24">
        <v>366</v>
      </c>
      <c r="C128" s="19" t="s">
        <v>148</v>
      </c>
      <c r="D128" s="45">
        <v>191644</v>
      </c>
      <c r="E128" s="45">
        <v>3097383</v>
      </c>
      <c r="F128" s="45">
        <v>0</v>
      </c>
      <c r="G128" s="45">
        <v>77303</v>
      </c>
      <c r="H128" s="45">
        <v>0</v>
      </c>
      <c r="I128" s="45">
        <v>0</v>
      </c>
      <c r="J128" s="45">
        <v>0</v>
      </c>
      <c r="K128" s="45">
        <v>0</v>
      </c>
      <c r="L128" s="45">
        <v>0</v>
      </c>
      <c r="M128" s="45">
        <v>0</v>
      </c>
      <c r="N128" s="45">
        <f t="shared" si="17"/>
        <v>3366330</v>
      </c>
      <c r="O128" s="46">
        <f t="shared" si="13"/>
        <v>2.6799472661007964</v>
      </c>
      <c r="P128" s="9"/>
    </row>
    <row r="129" spans="1:119">
      <c r="A129" s="11"/>
      <c r="B129" s="24">
        <v>369.3</v>
      </c>
      <c r="C129" s="19" t="s">
        <v>150</v>
      </c>
      <c r="D129" s="45">
        <v>114223</v>
      </c>
      <c r="E129" s="45">
        <v>863898</v>
      </c>
      <c r="F129" s="45">
        <v>0</v>
      </c>
      <c r="G129" s="45">
        <v>33330</v>
      </c>
      <c r="H129" s="45">
        <v>0</v>
      </c>
      <c r="I129" s="45">
        <v>0</v>
      </c>
      <c r="J129" s="45">
        <v>0</v>
      </c>
      <c r="K129" s="45">
        <v>0</v>
      </c>
      <c r="L129" s="45">
        <v>0</v>
      </c>
      <c r="M129" s="45">
        <v>0</v>
      </c>
      <c r="N129" s="45">
        <f t="shared" si="17"/>
        <v>1011451</v>
      </c>
      <c r="O129" s="46">
        <f t="shared" si="13"/>
        <v>0.80521973254105106</v>
      </c>
      <c r="P129" s="9"/>
    </row>
    <row r="130" spans="1:119">
      <c r="A130" s="11"/>
      <c r="B130" s="24">
        <v>369.9</v>
      </c>
      <c r="C130" s="19" t="s">
        <v>151</v>
      </c>
      <c r="D130" s="45">
        <v>2577896</v>
      </c>
      <c r="E130" s="45">
        <v>9347832</v>
      </c>
      <c r="F130" s="45">
        <v>-714</v>
      </c>
      <c r="G130" s="45">
        <v>2513</v>
      </c>
      <c r="H130" s="45">
        <v>0</v>
      </c>
      <c r="I130" s="45">
        <v>0</v>
      </c>
      <c r="J130" s="45">
        <v>0</v>
      </c>
      <c r="K130" s="45">
        <v>0</v>
      </c>
      <c r="L130" s="45">
        <v>0</v>
      </c>
      <c r="M130" s="45">
        <v>2206</v>
      </c>
      <c r="N130" s="45">
        <f t="shared" si="17"/>
        <v>11929733</v>
      </c>
      <c r="O130" s="46">
        <f t="shared" si="13"/>
        <v>9.497302801169953</v>
      </c>
      <c r="P130" s="9"/>
    </row>
    <row r="131" spans="1:119" ht="15.75">
      <c r="A131" s="28" t="s">
        <v>77</v>
      </c>
      <c r="B131" s="29"/>
      <c r="C131" s="30"/>
      <c r="D131" s="31">
        <f t="shared" ref="D131:M131" si="18">SUM(D132:D138)</f>
        <v>554951704</v>
      </c>
      <c r="E131" s="31">
        <f t="shared" si="18"/>
        <v>204367603</v>
      </c>
      <c r="F131" s="31">
        <f t="shared" si="18"/>
        <v>153542239</v>
      </c>
      <c r="G131" s="31">
        <f t="shared" si="18"/>
        <v>14175538</v>
      </c>
      <c r="H131" s="31">
        <f t="shared" si="18"/>
        <v>0</v>
      </c>
      <c r="I131" s="31">
        <f t="shared" si="18"/>
        <v>29914138</v>
      </c>
      <c r="J131" s="31">
        <f t="shared" si="18"/>
        <v>9981765</v>
      </c>
      <c r="K131" s="31">
        <f t="shared" si="18"/>
        <v>0</v>
      </c>
      <c r="L131" s="31">
        <f t="shared" si="18"/>
        <v>0</v>
      </c>
      <c r="M131" s="31">
        <f t="shared" si="18"/>
        <v>0</v>
      </c>
      <c r="N131" s="31">
        <f>SUM(D131:M131)</f>
        <v>966932987</v>
      </c>
      <c r="O131" s="44">
        <f t="shared" si="13"/>
        <v>769.77878431803379</v>
      </c>
      <c r="P131" s="9"/>
    </row>
    <row r="132" spans="1:119">
      <c r="A132" s="11"/>
      <c r="B132" s="24">
        <v>381</v>
      </c>
      <c r="C132" s="19" t="s">
        <v>152</v>
      </c>
      <c r="D132" s="45">
        <v>554915302</v>
      </c>
      <c r="E132" s="45">
        <v>108078410</v>
      </c>
      <c r="F132" s="45">
        <v>50563630</v>
      </c>
      <c r="G132" s="45">
        <v>14175538</v>
      </c>
      <c r="H132" s="45">
        <v>0</v>
      </c>
      <c r="I132" s="45">
        <v>125138</v>
      </c>
      <c r="J132" s="45">
        <v>7737765</v>
      </c>
      <c r="K132" s="45">
        <v>0</v>
      </c>
      <c r="L132" s="45">
        <v>0</v>
      </c>
      <c r="M132" s="45">
        <v>0</v>
      </c>
      <c r="N132" s="45">
        <f>SUM(D132:M132)</f>
        <v>735595783</v>
      </c>
      <c r="O132" s="46">
        <f t="shared" si="13"/>
        <v>585.61041478587208</v>
      </c>
      <c r="P132" s="9"/>
    </row>
    <row r="133" spans="1:119">
      <c r="A133" s="11"/>
      <c r="B133" s="24">
        <v>383</v>
      </c>
      <c r="C133" s="19" t="s">
        <v>199</v>
      </c>
      <c r="D133" s="45">
        <v>36402</v>
      </c>
      <c r="E133" s="45">
        <v>0</v>
      </c>
      <c r="F133" s="45">
        <v>0</v>
      </c>
      <c r="G133" s="45">
        <v>0</v>
      </c>
      <c r="H133" s="45">
        <v>0</v>
      </c>
      <c r="I133" s="45">
        <v>0</v>
      </c>
      <c r="J133" s="45">
        <v>0</v>
      </c>
      <c r="K133" s="45">
        <v>0</v>
      </c>
      <c r="L133" s="45">
        <v>0</v>
      </c>
      <c r="M133" s="45">
        <v>0</v>
      </c>
      <c r="N133" s="45">
        <f t="shared" ref="N133:N138" si="19">SUM(D133:M133)</f>
        <v>36402</v>
      </c>
      <c r="O133" s="46">
        <f t="shared" ref="O133:O139" si="20">(N133/O$141)</f>
        <v>2.8979761455532042E-2</v>
      </c>
      <c r="P133" s="9"/>
    </row>
    <row r="134" spans="1:119">
      <c r="A134" s="11"/>
      <c r="B134" s="24">
        <v>384</v>
      </c>
      <c r="C134" s="19" t="s">
        <v>153</v>
      </c>
      <c r="D134" s="45">
        <v>0</v>
      </c>
      <c r="E134" s="45">
        <v>94996068</v>
      </c>
      <c r="F134" s="45">
        <v>0</v>
      </c>
      <c r="G134" s="45">
        <v>0</v>
      </c>
      <c r="H134" s="45">
        <v>0</v>
      </c>
      <c r="I134" s="45">
        <v>0</v>
      </c>
      <c r="J134" s="45">
        <v>0</v>
      </c>
      <c r="K134" s="45">
        <v>0</v>
      </c>
      <c r="L134" s="45">
        <v>0</v>
      </c>
      <c r="M134" s="45">
        <v>0</v>
      </c>
      <c r="N134" s="45">
        <f t="shared" si="19"/>
        <v>94996068</v>
      </c>
      <c r="O134" s="46">
        <f t="shared" si="20"/>
        <v>75.626707045038756</v>
      </c>
      <c r="P134" s="9"/>
    </row>
    <row r="135" spans="1:119">
      <c r="A135" s="11"/>
      <c r="B135" s="24">
        <v>385</v>
      </c>
      <c r="C135" s="19" t="s">
        <v>195</v>
      </c>
      <c r="D135" s="45">
        <v>0</v>
      </c>
      <c r="E135" s="45">
        <v>0</v>
      </c>
      <c r="F135" s="45">
        <v>102978609</v>
      </c>
      <c r="G135" s="45">
        <v>0</v>
      </c>
      <c r="H135" s="45">
        <v>0</v>
      </c>
      <c r="I135" s="45">
        <v>0</v>
      </c>
      <c r="J135" s="45">
        <v>0</v>
      </c>
      <c r="K135" s="45">
        <v>0</v>
      </c>
      <c r="L135" s="45">
        <v>0</v>
      </c>
      <c r="M135" s="45">
        <v>0</v>
      </c>
      <c r="N135" s="45">
        <f t="shared" si="19"/>
        <v>102978609</v>
      </c>
      <c r="O135" s="46">
        <f t="shared" si="20"/>
        <v>81.981636279394138</v>
      </c>
      <c r="P135" s="9"/>
    </row>
    <row r="136" spans="1:119">
      <c r="A136" s="11"/>
      <c r="B136" s="24">
        <v>389.1</v>
      </c>
      <c r="C136" s="19" t="s">
        <v>154</v>
      </c>
      <c r="D136" s="45">
        <v>0</v>
      </c>
      <c r="E136" s="45">
        <v>0</v>
      </c>
      <c r="F136" s="45">
        <v>0</v>
      </c>
      <c r="G136" s="45">
        <v>0</v>
      </c>
      <c r="H136" s="45">
        <v>0</v>
      </c>
      <c r="I136" s="45">
        <v>10401000</v>
      </c>
      <c r="J136" s="45">
        <v>2172000</v>
      </c>
      <c r="K136" s="45">
        <v>0</v>
      </c>
      <c r="L136" s="45">
        <v>0</v>
      </c>
      <c r="M136" s="45">
        <v>0</v>
      </c>
      <c r="N136" s="45">
        <f t="shared" si="19"/>
        <v>12573000</v>
      </c>
      <c r="O136" s="46">
        <f t="shared" si="20"/>
        <v>10.009409943970232</v>
      </c>
      <c r="P136" s="9"/>
    </row>
    <row r="137" spans="1:119">
      <c r="A137" s="11"/>
      <c r="B137" s="24">
        <v>389.4</v>
      </c>
      <c r="C137" s="19" t="s">
        <v>156</v>
      </c>
      <c r="D137" s="45">
        <v>0</v>
      </c>
      <c r="E137" s="45">
        <v>88845</v>
      </c>
      <c r="F137" s="45">
        <v>0</v>
      </c>
      <c r="G137" s="45">
        <v>0</v>
      </c>
      <c r="H137" s="45">
        <v>0</v>
      </c>
      <c r="I137" s="45">
        <v>15330000</v>
      </c>
      <c r="J137" s="45">
        <v>51000</v>
      </c>
      <c r="K137" s="45">
        <v>0</v>
      </c>
      <c r="L137" s="45">
        <v>0</v>
      </c>
      <c r="M137" s="45">
        <v>0</v>
      </c>
      <c r="N137" s="45">
        <f t="shared" si="19"/>
        <v>15469845</v>
      </c>
      <c r="O137" s="46">
        <f t="shared" si="20"/>
        <v>12.315598534532583</v>
      </c>
      <c r="P137" s="9"/>
    </row>
    <row r="138" spans="1:119" ht="15.75" thickBot="1">
      <c r="A138" s="11"/>
      <c r="B138" s="24">
        <v>389.9</v>
      </c>
      <c r="C138" s="19" t="s">
        <v>157</v>
      </c>
      <c r="D138" s="45">
        <v>0</v>
      </c>
      <c r="E138" s="45">
        <v>1204280</v>
      </c>
      <c r="F138" s="45">
        <v>0</v>
      </c>
      <c r="G138" s="45">
        <v>0</v>
      </c>
      <c r="H138" s="45">
        <v>0</v>
      </c>
      <c r="I138" s="45">
        <v>4058000</v>
      </c>
      <c r="J138" s="45">
        <v>21000</v>
      </c>
      <c r="K138" s="45">
        <v>0</v>
      </c>
      <c r="L138" s="45">
        <v>0</v>
      </c>
      <c r="M138" s="45">
        <v>0</v>
      </c>
      <c r="N138" s="45">
        <f t="shared" si="19"/>
        <v>5283280</v>
      </c>
      <c r="O138" s="46">
        <f t="shared" si="20"/>
        <v>4.206037967770544</v>
      </c>
      <c r="P138" s="9"/>
    </row>
    <row r="139" spans="1:119" ht="16.5" thickBot="1">
      <c r="A139" s="13" t="s">
        <v>114</v>
      </c>
      <c r="B139" s="22"/>
      <c r="C139" s="21"/>
      <c r="D139" s="14">
        <f t="shared" ref="D139:M139" si="21">SUM(D5,D13,D27,D73,D112,D122,D131)</f>
        <v>1215586773</v>
      </c>
      <c r="E139" s="14">
        <f t="shared" si="21"/>
        <v>846688888</v>
      </c>
      <c r="F139" s="14">
        <f t="shared" si="21"/>
        <v>159126721</v>
      </c>
      <c r="G139" s="14">
        <f t="shared" si="21"/>
        <v>15812551</v>
      </c>
      <c r="H139" s="14">
        <f t="shared" si="21"/>
        <v>0</v>
      </c>
      <c r="I139" s="14">
        <f t="shared" si="21"/>
        <v>331868037</v>
      </c>
      <c r="J139" s="14">
        <f t="shared" si="21"/>
        <v>161948543</v>
      </c>
      <c r="K139" s="14">
        <f t="shared" si="21"/>
        <v>0</v>
      </c>
      <c r="L139" s="14">
        <f t="shared" si="21"/>
        <v>0</v>
      </c>
      <c r="M139" s="14">
        <f t="shared" si="21"/>
        <v>9112418</v>
      </c>
      <c r="N139" s="14">
        <f>SUM(D139:M139)</f>
        <v>2740143931</v>
      </c>
      <c r="O139" s="37">
        <f t="shared" si="20"/>
        <v>2181.438313120264</v>
      </c>
      <c r="P139" s="6"/>
      <c r="Q139" s="2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</row>
    <row r="140" spans="1:119">
      <c r="A140" s="15"/>
      <c r="B140" s="17"/>
      <c r="C140" s="17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8"/>
    </row>
    <row r="141" spans="1:119">
      <c r="A141" s="39"/>
      <c r="B141" s="40"/>
      <c r="C141" s="40"/>
      <c r="D141" s="41"/>
      <c r="E141" s="41"/>
      <c r="F141" s="41"/>
      <c r="G141" s="41"/>
      <c r="H141" s="41"/>
      <c r="I141" s="41"/>
      <c r="J141" s="41"/>
      <c r="K141" s="41"/>
      <c r="L141" s="48" t="s">
        <v>200</v>
      </c>
      <c r="M141" s="48"/>
      <c r="N141" s="48"/>
      <c r="O141" s="42">
        <v>1256118</v>
      </c>
    </row>
    <row r="142" spans="1:119">
      <c r="A142" s="49"/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1"/>
    </row>
    <row r="143" spans="1:119" ht="15.75" customHeight="1" thickBot="1">
      <c r="A143" s="52" t="s">
        <v>178</v>
      </c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4"/>
    </row>
  </sheetData>
  <mergeCells count="10">
    <mergeCell ref="L141:N141"/>
    <mergeCell ref="A142:O142"/>
    <mergeCell ref="A143:O143"/>
    <mergeCell ref="A1:O1"/>
    <mergeCell ref="A2:O2"/>
    <mergeCell ref="A3:C4"/>
    <mergeCell ref="D3:H3"/>
    <mergeCell ref="I3:J3"/>
    <mergeCell ref="K3:L3"/>
    <mergeCell ref="O3:O4"/>
  </mergeCells>
  <printOptions horizontalCentered="1"/>
  <pageMargins left="0.5" right="0.5" top="0.5" bottom="0.5" header="0.3" footer="0.3"/>
  <pageSetup paperSize="5" scale="55" fitToHeight="0" orientation="landscape" r:id="rId1"/>
  <headerFooter>
    <oddFooter>&amp;L&amp;14Office of Economic and Demographic Research&amp;R&amp;14Page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EC141"/>
  <sheetViews>
    <sheetView workbookViewId="0">
      <selection sqref="A1:O1"/>
    </sheetView>
  </sheetViews>
  <sheetFormatPr defaultColWidth="9.77734375" defaultRowHeight="15"/>
  <cols>
    <col min="1" max="1" width="1.77734375" style="3" customWidth="1"/>
    <col min="2" max="2" width="6.77734375" style="3" customWidth="1"/>
    <col min="3" max="3" width="60.77734375" style="3" customWidth="1"/>
    <col min="4" max="5" width="16.77734375" style="4" customWidth="1"/>
    <col min="6" max="7" width="15.77734375" style="4" customWidth="1"/>
    <col min="8" max="8" width="13.77734375" style="4" customWidth="1"/>
    <col min="9" max="10" width="15.77734375" style="4" customWidth="1"/>
    <col min="11" max="13" width="13.77734375" style="4" customWidth="1"/>
    <col min="14" max="14" width="16.77734375" style="4" customWidth="1"/>
    <col min="15" max="15" width="13.77734375" style="3" customWidth="1"/>
    <col min="16" max="16" width="9.77734375" style="3" customWidth="1"/>
    <col min="17" max="17" width="9.77734375" style="3"/>
  </cols>
  <sheetData>
    <row r="1" spans="1:133" ht="27.75">
      <c r="A1" s="55" t="s">
        <v>165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7"/>
      <c r="P1" s="7"/>
      <c r="Q1"/>
    </row>
    <row r="2" spans="1:133" ht="24" thickBot="1">
      <c r="A2" s="58" t="s">
        <v>179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60"/>
      <c r="P2" s="7"/>
      <c r="Q2"/>
    </row>
    <row r="3" spans="1:133" ht="18" customHeight="1">
      <c r="A3" s="61" t="s">
        <v>158</v>
      </c>
      <c r="B3" s="62"/>
      <c r="C3" s="63"/>
      <c r="D3" s="67" t="s">
        <v>71</v>
      </c>
      <c r="E3" s="68"/>
      <c r="F3" s="68"/>
      <c r="G3" s="68"/>
      <c r="H3" s="69"/>
      <c r="I3" s="67" t="s">
        <v>72</v>
      </c>
      <c r="J3" s="69"/>
      <c r="K3" s="67" t="s">
        <v>74</v>
      </c>
      <c r="L3" s="69"/>
      <c r="M3" s="35"/>
      <c r="N3" s="36"/>
      <c r="O3" s="70" t="s">
        <v>163</v>
      </c>
      <c r="P3" s="5"/>
      <c r="Q3"/>
    </row>
    <row r="4" spans="1:133" ht="32.25" customHeight="1" thickBot="1">
      <c r="A4" s="64"/>
      <c r="B4" s="65"/>
      <c r="C4" s="66"/>
      <c r="D4" s="33" t="s">
        <v>6</v>
      </c>
      <c r="E4" s="33" t="s">
        <v>159</v>
      </c>
      <c r="F4" s="33" t="s">
        <v>160</v>
      </c>
      <c r="G4" s="33" t="s">
        <v>161</v>
      </c>
      <c r="H4" s="33" t="s">
        <v>7</v>
      </c>
      <c r="I4" s="33" t="s">
        <v>8</v>
      </c>
      <c r="J4" s="34" t="s">
        <v>162</v>
      </c>
      <c r="K4" s="34" t="s">
        <v>9</v>
      </c>
      <c r="L4" s="34" t="s">
        <v>10</v>
      </c>
      <c r="M4" s="34" t="s">
        <v>11</v>
      </c>
      <c r="N4" s="34" t="s">
        <v>73</v>
      </c>
      <c r="O4" s="71"/>
      <c r="P4" s="8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</row>
    <row r="5" spans="1:133" ht="15.75">
      <c r="A5" s="23" t="s">
        <v>2</v>
      </c>
      <c r="B5" s="25"/>
      <c r="C5" s="25"/>
      <c r="D5" s="26">
        <f t="shared" ref="D5:M5" si="0">SUM(D6:D12)</f>
        <v>550532592</v>
      </c>
      <c r="E5" s="26">
        <f t="shared" si="0"/>
        <v>266977262</v>
      </c>
      <c r="F5" s="26">
        <f t="shared" si="0"/>
        <v>4752263</v>
      </c>
      <c r="G5" s="26">
        <f t="shared" si="0"/>
        <v>0</v>
      </c>
      <c r="H5" s="26">
        <f t="shared" si="0"/>
        <v>0</v>
      </c>
      <c r="I5" s="26">
        <f t="shared" si="0"/>
        <v>0</v>
      </c>
      <c r="J5" s="26">
        <f t="shared" si="0"/>
        <v>0</v>
      </c>
      <c r="K5" s="26">
        <f t="shared" si="0"/>
        <v>0</v>
      </c>
      <c r="L5" s="26">
        <f t="shared" si="0"/>
        <v>0</v>
      </c>
      <c r="M5" s="26">
        <f t="shared" si="0"/>
        <v>0</v>
      </c>
      <c r="N5" s="27">
        <f>SUM(D5:M5)</f>
        <v>822262117</v>
      </c>
      <c r="O5" s="32">
        <f t="shared" ref="O5:O36" si="1">(N5/O$139)</f>
        <v>663.67605902089747</v>
      </c>
      <c r="P5" s="6"/>
    </row>
    <row r="6" spans="1:133">
      <c r="A6" s="11"/>
      <c r="B6" s="24">
        <v>311</v>
      </c>
      <c r="C6" s="19" t="s">
        <v>3</v>
      </c>
      <c r="D6" s="45">
        <v>523082944</v>
      </c>
      <c r="E6" s="45">
        <v>33246254</v>
      </c>
      <c r="F6" s="45">
        <v>4752263</v>
      </c>
      <c r="G6" s="45">
        <v>0</v>
      </c>
      <c r="H6" s="45">
        <v>0</v>
      </c>
      <c r="I6" s="45">
        <v>0</v>
      </c>
      <c r="J6" s="45">
        <v>0</v>
      </c>
      <c r="K6" s="45">
        <v>0</v>
      </c>
      <c r="L6" s="45">
        <v>0</v>
      </c>
      <c r="M6" s="45">
        <v>0</v>
      </c>
      <c r="N6" s="45">
        <f>SUM(D6:M6)</f>
        <v>561081461</v>
      </c>
      <c r="O6" s="46">
        <f t="shared" si="1"/>
        <v>452.86816104914561</v>
      </c>
      <c r="P6" s="9"/>
    </row>
    <row r="7" spans="1:133">
      <c r="A7" s="11"/>
      <c r="B7" s="24">
        <v>312.10000000000002</v>
      </c>
      <c r="C7" s="19" t="s">
        <v>12</v>
      </c>
      <c r="D7" s="45">
        <v>0</v>
      </c>
      <c r="E7" s="45">
        <v>19104025</v>
      </c>
      <c r="F7" s="45">
        <v>0</v>
      </c>
      <c r="G7" s="45">
        <v>0</v>
      </c>
      <c r="H7" s="45">
        <v>0</v>
      </c>
      <c r="I7" s="45">
        <v>0</v>
      </c>
      <c r="J7" s="45">
        <v>0</v>
      </c>
      <c r="K7" s="45">
        <v>0</v>
      </c>
      <c r="L7" s="45">
        <v>0</v>
      </c>
      <c r="M7" s="45">
        <v>0</v>
      </c>
      <c r="N7" s="45">
        <f t="shared" ref="N7:N12" si="2">SUM(D7:M7)</f>
        <v>19104025</v>
      </c>
      <c r="O7" s="46">
        <f t="shared" si="1"/>
        <v>15.419516187484412</v>
      </c>
      <c r="P7" s="9"/>
    </row>
    <row r="8" spans="1:133">
      <c r="A8" s="11"/>
      <c r="B8" s="24">
        <v>312.3</v>
      </c>
      <c r="C8" s="19" t="s">
        <v>13</v>
      </c>
      <c r="D8" s="45">
        <v>0</v>
      </c>
      <c r="E8" s="45">
        <v>6562915</v>
      </c>
      <c r="F8" s="45">
        <v>0</v>
      </c>
      <c r="G8" s="45">
        <v>0</v>
      </c>
      <c r="H8" s="45">
        <v>0</v>
      </c>
      <c r="I8" s="45">
        <v>0</v>
      </c>
      <c r="J8" s="45">
        <v>0</v>
      </c>
      <c r="K8" s="45">
        <v>0</v>
      </c>
      <c r="L8" s="45">
        <v>0</v>
      </c>
      <c r="M8" s="45">
        <v>0</v>
      </c>
      <c r="N8" s="45">
        <f t="shared" si="2"/>
        <v>6562915</v>
      </c>
      <c r="O8" s="46">
        <f t="shared" si="1"/>
        <v>5.2971546090200503</v>
      </c>
      <c r="P8" s="9"/>
    </row>
    <row r="9" spans="1:133">
      <c r="A9" s="11"/>
      <c r="B9" s="24">
        <v>312.41000000000003</v>
      </c>
      <c r="C9" s="19" t="s">
        <v>14</v>
      </c>
      <c r="D9" s="45">
        <v>0</v>
      </c>
      <c r="E9" s="45">
        <v>24369939</v>
      </c>
      <c r="F9" s="45">
        <v>0</v>
      </c>
      <c r="G9" s="45">
        <v>0</v>
      </c>
      <c r="H9" s="45">
        <v>0</v>
      </c>
      <c r="I9" s="45">
        <v>0</v>
      </c>
      <c r="J9" s="45">
        <v>0</v>
      </c>
      <c r="K9" s="45">
        <v>0</v>
      </c>
      <c r="L9" s="45">
        <v>0</v>
      </c>
      <c r="M9" s="45">
        <v>0</v>
      </c>
      <c r="N9" s="45">
        <f t="shared" si="2"/>
        <v>24369939</v>
      </c>
      <c r="O9" s="46">
        <f t="shared" si="1"/>
        <v>19.669816643273222</v>
      </c>
      <c r="P9" s="9"/>
    </row>
    <row r="10" spans="1:133">
      <c r="A10" s="11"/>
      <c r="B10" s="24">
        <v>312.60000000000002</v>
      </c>
      <c r="C10" s="19" t="s">
        <v>15</v>
      </c>
      <c r="D10" s="45">
        <v>0</v>
      </c>
      <c r="E10" s="45">
        <v>183061138</v>
      </c>
      <c r="F10" s="45">
        <v>0</v>
      </c>
      <c r="G10" s="45">
        <v>0</v>
      </c>
      <c r="H10" s="45">
        <v>0</v>
      </c>
      <c r="I10" s="45">
        <v>0</v>
      </c>
      <c r="J10" s="45">
        <v>0</v>
      </c>
      <c r="K10" s="45">
        <v>0</v>
      </c>
      <c r="L10" s="45">
        <v>0</v>
      </c>
      <c r="M10" s="45">
        <v>0</v>
      </c>
      <c r="N10" s="45">
        <f t="shared" si="2"/>
        <v>183061138</v>
      </c>
      <c r="O10" s="46">
        <f t="shared" si="1"/>
        <v>147.75494591795803</v>
      </c>
      <c r="P10" s="9"/>
    </row>
    <row r="11" spans="1:133">
      <c r="A11" s="11"/>
      <c r="B11" s="24">
        <v>315</v>
      </c>
      <c r="C11" s="19" t="s">
        <v>16</v>
      </c>
      <c r="D11" s="45">
        <v>25872876</v>
      </c>
      <c r="E11" s="45">
        <v>0</v>
      </c>
      <c r="F11" s="45">
        <v>0</v>
      </c>
      <c r="G11" s="45">
        <v>0</v>
      </c>
      <c r="H11" s="45">
        <v>0</v>
      </c>
      <c r="I11" s="45">
        <v>0</v>
      </c>
      <c r="J11" s="45">
        <v>0</v>
      </c>
      <c r="K11" s="45">
        <v>0</v>
      </c>
      <c r="L11" s="45">
        <v>0</v>
      </c>
      <c r="M11" s="45">
        <v>0</v>
      </c>
      <c r="N11" s="45">
        <f t="shared" si="2"/>
        <v>25872876</v>
      </c>
      <c r="O11" s="46">
        <f t="shared" si="1"/>
        <v>20.882888830954574</v>
      </c>
      <c r="P11" s="9"/>
    </row>
    <row r="12" spans="1:133">
      <c r="A12" s="11"/>
      <c r="B12" s="24">
        <v>316</v>
      </c>
      <c r="C12" s="19" t="s">
        <v>17</v>
      </c>
      <c r="D12" s="45">
        <v>1576772</v>
      </c>
      <c r="E12" s="45">
        <v>632991</v>
      </c>
      <c r="F12" s="45">
        <v>0</v>
      </c>
      <c r="G12" s="45">
        <v>0</v>
      </c>
      <c r="H12" s="45">
        <v>0</v>
      </c>
      <c r="I12" s="45">
        <v>0</v>
      </c>
      <c r="J12" s="45">
        <v>0</v>
      </c>
      <c r="K12" s="45">
        <v>0</v>
      </c>
      <c r="L12" s="45">
        <v>0</v>
      </c>
      <c r="M12" s="45">
        <v>0</v>
      </c>
      <c r="N12" s="45">
        <f t="shared" si="2"/>
        <v>2209763</v>
      </c>
      <c r="O12" s="46">
        <f t="shared" si="1"/>
        <v>1.7835757830616383</v>
      </c>
      <c r="P12" s="9"/>
    </row>
    <row r="13" spans="1:133" ht="15.75">
      <c r="A13" s="28" t="s">
        <v>18</v>
      </c>
      <c r="B13" s="29"/>
      <c r="C13" s="30"/>
      <c r="D13" s="31">
        <f>SUM(D14:D26)</f>
        <v>2969841</v>
      </c>
      <c r="E13" s="31">
        <f t="shared" ref="E13:M13" si="3">SUM(E14:E26)</f>
        <v>35077088</v>
      </c>
      <c r="F13" s="31">
        <f t="shared" si="3"/>
        <v>0</v>
      </c>
      <c r="G13" s="31">
        <f t="shared" si="3"/>
        <v>0</v>
      </c>
      <c r="H13" s="31">
        <f t="shared" si="3"/>
        <v>0</v>
      </c>
      <c r="I13" s="31">
        <f t="shared" si="3"/>
        <v>0</v>
      </c>
      <c r="J13" s="31">
        <f t="shared" si="3"/>
        <v>0</v>
      </c>
      <c r="K13" s="31">
        <f t="shared" si="3"/>
        <v>0</v>
      </c>
      <c r="L13" s="31">
        <f t="shared" si="3"/>
        <v>0</v>
      </c>
      <c r="M13" s="31">
        <f t="shared" si="3"/>
        <v>2084000</v>
      </c>
      <c r="N13" s="43">
        <f>SUM(D13:M13)</f>
        <v>40130929</v>
      </c>
      <c r="O13" s="44">
        <f t="shared" si="1"/>
        <v>32.391054206340684</v>
      </c>
      <c r="P13" s="10"/>
    </row>
    <row r="14" spans="1:133">
      <c r="A14" s="11"/>
      <c r="B14" s="24">
        <v>322</v>
      </c>
      <c r="C14" s="19" t="s">
        <v>0</v>
      </c>
      <c r="D14" s="45">
        <v>1128</v>
      </c>
      <c r="E14" s="45">
        <v>9288636</v>
      </c>
      <c r="F14" s="45">
        <v>0</v>
      </c>
      <c r="G14" s="45">
        <v>0</v>
      </c>
      <c r="H14" s="45">
        <v>0</v>
      </c>
      <c r="I14" s="45">
        <v>0</v>
      </c>
      <c r="J14" s="45">
        <v>0</v>
      </c>
      <c r="K14" s="45">
        <v>0</v>
      </c>
      <c r="L14" s="45">
        <v>0</v>
      </c>
      <c r="M14" s="45">
        <v>0</v>
      </c>
      <c r="N14" s="45">
        <f>SUM(D14:M14)</f>
        <v>9289764</v>
      </c>
      <c r="O14" s="46">
        <f t="shared" si="1"/>
        <v>7.4980883021200997</v>
      </c>
      <c r="P14" s="9"/>
    </row>
    <row r="15" spans="1:133">
      <c r="A15" s="11"/>
      <c r="B15" s="24">
        <v>323.3</v>
      </c>
      <c r="C15" s="19" t="s">
        <v>19</v>
      </c>
      <c r="D15" s="45">
        <v>16035</v>
      </c>
      <c r="E15" s="45">
        <v>0</v>
      </c>
      <c r="F15" s="45">
        <v>0</v>
      </c>
      <c r="G15" s="45">
        <v>0</v>
      </c>
      <c r="H15" s="45">
        <v>0</v>
      </c>
      <c r="I15" s="45">
        <v>0</v>
      </c>
      <c r="J15" s="45">
        <v>0</v>
      </c>
      <c r="K15" s="45">
        <v>0</v>
      </c>
      <c r="L15" s="45">
        <v>0</v>
      </c>
      <c r="M15" s="45">
        <v>0</v>
      </c>
      <c r="N15" s="45">
        <f t="shared" ref="N15:N26" si="4">SUM(D15:M15)</f>
        <v>16035</v>
      </c>
      <c r="O15" s="46">
        <f t="shared" si="1"/>
        <v>1.2942400466200843E-2</v>
      </c>
      <c r="P15" s="9"/>
    </row>
    <row r="16" spans="1:133">
      <c r="A16" s="11"/>
      <c r="B16" s="24">
        <v>323.60000000000002</v>
      </c>
      <c r="C16" s="19" t="s">
        <v>20</v>
      </c>
      <c r="D16" s="45">
        <v>26666</v>
      </c>
      <c r="E16" s="45">
        <v>0</v>
      </c>
      <c r="F16" s="45">
        <v>0</v>
      </c>
      <c r="G16" s="45">
        <v>0</v>
      </c>
      <c r="H16" s="45">
        <v>0</v>
      </c>
      <c r="I16" s="45">
        <v>0</v>
      </c>
      <c r="J16" s="45">
        <v>0</v>
      </c>
      <c r="K16" s="45">
        <v>0</v>
      </c>
      <c r="L16" s="45">
        <v>0</v>
      </c>
      <c r="M16" s="45">
        <v>0</v>
      </c>
      <c r="N16" s="45">
        <f t="shared" si="4"/>
        <v>26666</v>
      </c>
      <c r="O16" s="46">
        <f t="shared" si="1"/>
        <v>2.1523046512735372E-2</v>
      </c>
      <c r="P16" s="9"/>
    </row>
    <row r="17" spans="1:16">
      <c r="A17" s="11"/>
      <c r="B17" s="24">
        <v>324.11</v>
      </c>
      <c r="C17" s="19" t="s">
        <v>21</v>
      </c>
      <c r="D17" s="45">
        <v>0</v>
      </c>
      <c r="E17" s="45">
        <v>111810</v>
      </c>
      <c r="F17" s="45">
        <v>0</v>
      </c>
      <c r="G17" s="45">
        <v>0</v>
      </c>
      <c r="H17" s="45">
        <v>0</v>
      </c>
      <c r="I17" s="45">
        <v>0</v>
      </c>
      <c r="J17" s="45">
        <v>0</v>
      </c>
      <c r="K17" s="45">
        <v>0</v>
      </c>
      <c r="L17" s="45">
        <v>0</v>
      </c>
      <c r="M17" s="45">
        <v>0</v>
      </c>
      <c r="N17" s="45">
        <f t="shared" si="4"/>
        <v>111810</v>
      </c>
      <c r="O17" s="46">
        <f t="shared" si="1"/>
        <v>9.0245699789580053E-2</v>
      </c>
      <c r="P17" s="9"/>
    </row>
    <row r="18" spans="1:16">
      <c r="A18" s="11"/>
      <c r="B18" s="24">
        <v>324.12</v>
      </c>
      <c r="C18" s="19" t="s">
        <v>180</v>
      </c>
      <c r="D18" s="45">
        <v>0</v>
      </c>
      <c r="E18" s="45">
        <v>25862</v>
      </c>
      <c r="F18" s="45">
        <v>0</v>
      </c>
      <c r="G18" s="45">
        <v>0</v>
      </c>
      <c r="H18" s="45">
        <v>0</v>
      </c>
      <c r="I18" s="45">
        <v>0</v>
      </c>
      <c r="J18" s="45">
        <v>0</v>
      </c>
      <c r="K18" s="45">
        <v>0</v>
      </c>
      <c r="L18" s="45">
        <v>0</v>
      </c>
      <c r="M18" s="45">
        <v>0</v>
      </c>
      <c r="N18" s="45">
        <f t="shared" si="4"/>
        <v>25862</v>
      </c>
      <c r="O18" s="46">
        <f t="shared" si="1"/>
        <v>2.0874110436974506E-2</v>
      </c>
      <c r="P18" s="9"/>
    </row>
    <row r="19" spans="1:16">
      <c r="A19" s="11"/>
      <c r="B19" s="24">
        <v>324.20999999999998</v>
      </c>
      <c r="C19" s="19" t="s">
        <v>22</v>
      </c>
      <c r="D19" s="45">
        <v>0</v>
      </c>
      <c r="E19" s="45">
        <v>8581608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5">
        <v>0</v>
      </c>
      <c r="L19" s="45">
        <v>0</v>
      </c>
      <c r="M19" s="45">
        <v>0</v>
      </c>
      <c r="N19" s="45">
        <f t="shared" si="4"/>
        <v>8581608</v>
      </c>
      <c r="O19" s="46">
        <f t="shared" si="1"/>
        <v>6.9265112179577724</v>
      </c>
      <c r="P19" s="9"/>
    </row>
    <row r="20" spans="1:16">
      <c r="A20" s="11"/>
      <c r="B20" s="24">
        <v>324.31</v>
      </c>
      <c r="C20" s="19" t="s">
        <v>23</v>
      </c>
      <c r="D20" s="45">
        <v>0</v>
      </c>
      <c r="E20" s="45">
        <v>1205172</v>
      </c>
      <c r="F20" s="45">
        <v>0</v>
      </c>
      <c r="G20" s="45">
        <v>0</v>
      </c>
      <c r="H20" s="45">
        <v>0</v>
      </c>
      <c r="I20" s="45">
        <v>0</v>
      </c>
      <c r="J20" s="45">
        <v>0</v>
      </c>
      <c r="K20" s="45">
        <v>0</v>
      </c>
      <c r="L20" s="45">
        <v>0</v>
      </c>
      <c r="M20" s="45">
        <v>0</v>
      </c>
      <c r="N20" s="45">
        <f t="shared" si="4"/>
        <v>1205172</v>
      </c>
      <c r="O20" s="46">
        <f t="shared" si="1"/>
        <v>0.97273580633939516</v>
      </c>
      <c r="P20" s="9"/>
    </row>
    <row r="21" spans="1:16">
      <c r="A21" s="11"/>
      <c r="B21" s="24">
        <v>324.32</v>
      </c>
      <c r="C21" s="19" t="s">
        <v>167</v>
      </c>
      <c r="D21" s="45">
        <v>0</v>
      </c>
      <c r="E21" s="45">
        <v>773847</v>
      </c>
      <c r="F21" s="45">
        <v>0</v>
      </c>
      <c r="G21" s="45">
        <v>0</v>
      </c>
      <c r="H21" s="45">
        <v>0</v>
      </c>
      <c r="I21" s="45">
        <v>0</v>
      </c>
      <c r="J21" s="45">
        <v>0</v>
      </c>
      <c r="K21" s="45">
        <v>0</v>
      </c>
      <c r="L21" s="45">
        <v>0</v>
      </c>
      <c r="M21" s="45">
        <v>0</v>
      </c>
      <c r="N21" s="45">
        <f t="shared" si="4"/>
        <v>773847</v>
      </c>
      <c r="O21" s="46">
        <f t="shared" si="1"/>
        <v>0.62459855151656518</v>
      </c>
      <c r="P21" s="9"/>
    </row>
    <row r="22" spans="1:16">
      <c r="A22" s="11"/>
      <c r="B22" s="24">
        <v>324.61</v>
      </c>
      <c r="C22" s="19" t="s">
        <v>24</v>
      </c>
      <c r="D22" s="45">
        <v>0</v>
      </c>
      <c r="E22" s="45">
        <v>596643</v>
      </c>
      <c r="F22" s="45">
        <v>0</v>
      </c>
      <c r="G22" s="45">
        <v>0</v>
      </c>
      <c r="H22" s="45">
        <v>0</v>
      </c>
      <c r="I22" s="45">
        <v>0</v>
      </c>
      <c r="J22" s="45">
        <v>0</v>
      </c>
      <c r="K22" s="45">
        <v>0</v>
      </c>
      <c r="L22" s="45">
        <v>0</v>
      </c>
      <c r="M22" s="45">
        <v>0</v>
      </c>
      <c r="N22" s="45">
        <f t="shared" si="4"/>
        <v>596643</v>
      </c>
      <c r="O22" s="46">
        <f t="shared" si="1"/>
        <v>0.48157110329625624</v>
      </c>
      <c r="P22" s="9"/>
    </row>
    <row r="23" spans="1:16">
      <c r="A23" s="11"/>
      <c r="B23" s="24">
        <v>325.10000000000002</v>
      </c>
      <c r="C23" s="19" t="s">
        <v>25</v>
      </c>
      <c r="D23" s="45">
        <v>0</v>
      </c>
      <c r="E23" s="45">
        <v>6000139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45">
        <v>0</v>
      </c>
      <c r="L23" s="45">
        <v>0</v>
      </c>
      <c r="M23" s="45">
        <v>2084000</v>
      </c>
      <c r="N23" s="45">
        <f t="shared" si="4"/>
        <v>8084139</v>
      </c>
      <c r="O23" s="46">
        <f t="shared" si="1"/>
        <v>6.5249868638872721</v>
      </c>
      <c r="P23" s="9"/>
    </row>
    <row r="24" spans="1:16">
      <c r="A24" s="11"/>
      <c r="B24" s="24">
        <v>325.2</v>
      </c>
      <c r="C24" s="19" t="s">
        <v>26</v>
      </c>
      <c r="D24" s="45">
        <v>0</v>
      </c>
      <c r="E24" s="45">
        <v>7849333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5">
        <v>0</v>
      </c>
      <c r="L24" s="45">
        <v>0</v>
      </c>
      <c r="M24" s="45">
        <v>0</v>
      </c>
      <c r="N24" s="45">
        <f t="shared" si="4"/>
        <v>7849333</v>
      </c>
      <c r="O24" s="46">
        <f t="shared" si="1"/>
        <v>6.3354668586570417</v>
      </c>
      <c r="P24" s="9"/>
    </row>
    <row r="25" spans="1:16">
      <c r="A25" s="11"/>
      <c r="B25" s="24">
        <v>329</v>
      </c>
      <c r="C25" s="19" t="s">
        <v>27</v>
      </c>
      <c r="D25" s="45">
        <v>572403</v>
      </c>
      <c r="E25" s="45">
        <v>488218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f>SUM(D25:M25)</f>
        <v>1060621</v>
      </c>
      <c r="O25" s="46">
        <f t="shared" si="1"/>
        <v>0.85606371841985685</v>
      </c>
      <c r="P25" s="9"/>
    </row>
    <row r="26" spans="1:16">
      <c r="A26" s="11"/>
      <c r="B26" s="24">
        <v>367</v>
      </c>
      <c r="C26" s="19" t="s">
        <v>149</v>
      </c>
      <c r="D26" s="45">
        <v>2353609</v>
      </c>
      <c r="E26" s="45">
        <v>155820</v>
      </c>
      <c r="F26" s="45">
        <v>0</v>
      </c>
      <c r="G26" s="45">
        <v>0</v>
      </c>
      <c r="H26" s="45">
        <v>0</v>
      </c>
      <c r="I26" s="45">
        <v>0</v>
      </c>
      <c r="J26" s="45">
        <v>0</v>
      </c>
      <c r="K26" s="45">
        <v>0</v>
      </c>
      <c r="L26" s="45">
        <v>0</v>
      </c>
      <c r="M26" s="45">
        <v>0</v>
      </c>
      <c r="N26" s="45">
        <f t="shared" si="4"/>
        <v>2509429</v>
      </c>
      <c r="O26" s="46">
        <f t="shared" si="1"/>
        <v>2.0254465269409363</v>
      </c>
      <c r="P26" s="9"/>
    </row>
    <row r="27" spans="1:16" ht="15.75">
      <c r="A27" s="28" t="s">
        <v>30</v>
      </c>
      <c r="B27" s="29"/>
      <c r="C27" s="30"/>
      <c r="D27" s="31">
        <f t="shared" ref="D27:M27" si="5">SUM(D28:D72)</f>
        <v>24131378</v>
      </c>
      <c r="E27" s="31">
        <f t="shared" si="5"/>
        <v>270675389</v>
      </c>
      <c r="F27" s="31">
        <f t="shared" si="5"/>
        <v>0</v>
      </c>
      <c r="G27" s="31">
        <f t="shared" si="5"/>
        <v>1003774</v>
      </c>
      <c r="H27" s="31">
        <f t="shared" si="5"/>
        <v>0</v>
      </c>
      <c r="I27" s="31">
        <f t="shared" si="5"/>
        <v>0</v>
      </c>
      <c r="J27" s="31">
        <f t="shared" si="5"/>
        <v>292000</v>
      </c>
      <c r="K27" s="31">
        <f t="shared" si="5"/>
        <v>0</v>
      </c>
      <c r="L27" s="31">
        <f t="shared" si="5"/>
        <v>0</v>
      </c>
      <c r="M27" s="31">
        <f t="shared" si="5"/>
        <v>0</v>
      </c>
      <c r="N27" s="43">
        <f>SUM(D27:M27)</f>
        <v>296102541</v>
      </c>
      <c r="O27" s="44">
        <f t="shared" si="1"/>
        <v>238.99455345691638</v>
      </c>
      <c r="P27" s="10"/>
    </row>
    <row r="28" spans="1:16">
      <c r="A28" s="11"/>
      <c r="B28" s="24">
        <v>331.2</v>
      </c>
      <c r="C28" s="19" t="s">
        <v>29</v>
      </c>
      <c r="D28" s="45">
        <v>1666123</v>
      </c>
      <c r="E28" s="45">
        <v>9493883</v>
      </c>
      <c r="F28" s="45">
        <v>0</v>
      </c>
      <c r="G28" s="45">
        <v>0</v>
      </c>
      <c r="H28" s="45">
        <v>0</v>
      </c>
      <c r="I28" s="45">
        <v>0</v>
      </c>
      <c r="J28" s="45">
        <v>0</v>
      </c>
      <c r="K28" s="45">
        <v>0</v>
      </c>
      <c r="L28" s="45">
        <v>0</v>
      </c>
      <c r="M28" s="45">
        <v>0</v>
      </c>
      <c r="N28" s="45">
        <f>SUM(D28:M28)</f>
        <v>11160006</v>
      </c>
      <c r="O28" s="46">
        <f t="shared" si="1"/>
        <v>9.00762499889019</v>
      </c>
      <c r="P28" s="9"/>
    </row>
    <row r="29" spans="1:16">
      <c r="A29" s="11"/>
      <c r="B29" s="24">
        <v>331.31</v>
      </c>
      <c r="C29" s="19" t="s">
        <v>34</v>
      </c>
      <c r="D29" s="45">
        <v>0</v>
      </c>
      <c r="E29" s="45">
        <v>3865</v>
      </c>
      <c r="F29" s="45">
        <v>0</v>
      </c>
      <c r="G29" s="45">
        <v>0</v>
      </c>
      <c r="H29" s="45">
        <v>0</v>
      </c>
      <c r="I29" s="45">
        <v>0</v>
      </c>
      <c r="J29" s="45">
        <v>0</v>
      </c>
      <c r="K29" s="45">
        <v>0</v>
      </c>
      <c r="L29" s="45">
        <v>0</v>
      </c>
      <c r="M29" s="45">
        <v>0</v>
      </c>
      <c r="N29" s="45">
        <f t="shared" ref="N29:N40" si="6">SUM(D29:M29)</f>
        <v>3865</v>
      </c>
      <c r="O29" s="46">
        <f t="shared" si="1"/>
        <v>3.1195745433031654E-3</v>
      </c>
      <c r="P29" s="9"/>
    </row>
    <row r="30" spans="1:16">
      <c r="A30" s="11"/>
      <c r="B30" s="24">
        <v>331.39</v>
      </c>
      <c r="C30" s="19" t="s">
        <v>35</v>
      </c>
      <c r="D30" s="45">
        <v>0</v>
      </c>
      <c r="E30" s="45">
        <v>1451124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f t="shared" si="6"/>
        <v>1451124</v>
      </c>
      <c r="O30" s="46">
        <f t="shared" si="1"/>
        <v>1.1712521318437936</v>
      </c>
      <c r="P30" s="9"/>
    </row>
    <row r="31" spans="1:16">
      <c r="A31" s="11"/>
      <c r="B31" s="24">
        <v>331.42</v>
      </c>
      <c r="C31" s="19" t="s">
        <v>168</v>
      </c>
      <c r="D31" s="45">
        <v>0</v>
      </c>
      <c r="E31" s="45">
        <v>-200730</v>
      </c>
      <c r="F31" s="45">
        <v>0</v>
      </c>
      <c r="G31" s="45">
        <v>0</v>
      </c>
      <c r="H31" s="45">
        <v>0</v>
      </c>
      <c r="I31" s="45">
        <v>0</v>
      </c>
      <c r="J31" s="45">
        <v>0</v>
      </c>
      <c r="K31" s="45">
        <v>0</v>
      </c>
      <c r="L31" s="45">
        <v>0</v>
      </c>
      <c r="M31" s="45">
        <v>0</v>
      </c>
      <c r="N31" s="45">
        <f t="shared" si="6"/>
        <v>-200730</v>
      </c>
      <c r="O31" s="46">
        <f t="shared" si="1"/>
        <v>-0.16201609264611755</v>
      </c>
      <c r="P31" s="9"/>
    </row>
    <row r="32" spans="1:16">
      <c r="A32" s="11"/>
      <c r="B32" s="24">
        <v>331.49</v>
      </c>
      <c r="C32" s="19" t="s">
        <v>36</v>
      </c>
      <c r="D32" s="45">
        <v>0</v>
      </c>
      <c r="E32" s="45">
        <v>16152399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45">
        <f t="shared" si="6"/>
        <v>16152399</v>
      </c>
      <c r="O32" s="46">
        <f t="shared" si="1"/>
        <v>13.037157240278267</v>
      </c>
      <c r="P32" s="9"/>
    </row>
    <row r="33" spans="1:16">
      <c r="A33" s="11"/>
      <c r="B33" s="24">
        <v>331.5</v>
      </c>
      <c r="C33" s="19" t="s">
        <v>31</v>
      </c>
      <c r="D33" s="45">
        <v>0</v>
      </c>
      <c r="E33" s="45">
        <v>24317510</v>
      </c>
      <c r="F33" s="45">
        <v>0</v>
      </c>
      <c r="G33" s="45">
        <v>1003774</v>
      </c>
      <c r="H33" s="45">
        <v>0</v>
      </c>
      <c r="I33" s="45">
        <v>0</v>
      </c>
      <c r="J33" s="45">
        <v>0</v>
      </c>
      <c r="K33" s="45">
        <v>0</v>
      </c>
      <c r="L33" s="45">
        <v>0</v>
      </c>
      <c r="M33" s="45">
        <v>0</v>
      </c>
      <c r="N33" s="45">
        <f t="shared" si="6"/>
        <v>25321284</v>
      </c>
      <c r="O33" s="46">
        <f t="shared" si="1"/>
        <v>20.437679940530337</v>
      </c>
      <c r="P33" s="9"/>
    </row>
    <row r="34" spans="1:16">
      <c r="A34" s="11"/>
      <c r="B34" s="24">
        <v>331.61</v>
      </c>
      <c r="C34" s="19" t="s">
        <v>37</v>
      </c>
      <c r="D34" s="45">
        <v>0</v>
      </c>
      <c r="E34" s="45">
        <v>3372342</v>
      </c>
      <c r="F34" s="45">
        <v>0</v>
      </c>
      <c r="G34" s="45">
        <v>0</v>
      </c>
      <c r="H34" s="45">
        <v>0</v>
      </c>
      <c r="I34" s="45">
        <v>0</v>
      </c>
      <c r="J34" s="45">
        <v>0</v>
      </c>
      <c r="K34" s="45">
        <v>0</v>
      </c>
      <c r="L34" s="45">
        <v>0</v>
      </c>
      <c r="M34" s="45">
        <v>0</v>
      </c>
      <c r="N34" s="45">
        <f t="shared" si="6"/>
        <v>3372342</v>
      </c>
      <c r="O34" s="46">
        <f t="shared" si="1"/>
        <v>2.7219333129397367</v>
      </c>
      <c r="P34" s="9"/>
    </row>
    <row r="35" spans="1:16">
      <c r="A35" s="11"/>
      <c r="B35" s="24">
        <v>331.65</v>
      </c>
      <c r="C35" s="19" t="s">
        <v>38</v>
      </c>
      <c r="D35" s="45">
        <v>2451464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f t="shared" si="6"/>
        <v>2451464</v>
      </c>
      <c r="O35" s="46">
        <f t="shared" si="1"/>
        <v>1.9786609801356148</v>
      </c>
      <c r="P35" s="9"/>
    </row>
    <row r="36" spans="1:16">
      <c r="A36" s="11"/>
      <c r="B36" s="24">
        <v>331.69</v>
      </c>
      <c r="C36" s="19" t="s">
        <v>39</v>
      </c>
      <c r="D36" s="45">
        <v>2822</v>
      </c>
      <c r="E36" s="45">
        <v>57535209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f t="shared" si="6"/>
        <v>57538031</v>
      </c>
      <c r="O36" s="46">
        <f t="shared" si="1"/>
        <v>46.440925428043563</v>
      </c>
      <c r="P36" s="9"/>
    </row>
    <row r="37" spans="1:16">
      <c r="A37" s="11"/>
      <c r="B37" s="24">
        <v>331.82</v>
      </c>
      <c r="C37" s="19" t="s">
        <v>181</v>
      </c>
      <c r="D37" s="45">
        <v>0</v>
      </c>
      <c r="E37" s="45">
        <v>772216</v>
      </c>
      <c r="F37" s="45">
        <v>0</v>
      </c>
      <c r="G37" s="45">
        <v>0</v>
      </c>
      <c r="H37" s="45">
        <v>0</v>
      </c>
      <c r="I37" s="45">
        <v>0</v>
      </c>
      <c r="J37" s="45">
        <v>0</v>
      </c>
      <c r="K37" s="45">
        <v>0</v>
      </c>
      <c r="L37" s="45">
        <v>0</v>
      </c>
      <c r="M37" s="45">
        <v>0</v>
      </c>
      <c r="N37" s="45">
        <f t="shared" si="6"/>
        <v>772216</v>
      </c>
      <c r="O37" s="46">
        <f t="shared" ref="O37:O68" si="7">(N37/O$139)</f>
        <v>0.623282115273324</v>
      </c>
      <c r="P37" s="9"/>
    </row>
    <row r="38" spans="1:16">
      <c r="A38" s="11"/>
      <c r="B38" s="24">
        <v>331.9</v>
      </c>
      <c r="C38" s="19" t="s">
        <v>32</v>
      </c>
      <c r="D38" s="45">
        <v>0</v>
      </c>
      <c r="E38" s="45">
        <v>2421954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5">
        <v>0</v>
      </c>
      <c r="L38" s="45">
        <v>0</v>
      </c>
      <c r="M38" s="45">
        <v>0</v>
      </c>
      <c r="N38" s="45">
        <f t="shared" si="6"/>
        <v>2421954</v>
      </c>
      <c r="O38" s="46">
        <f t="shared" si="7"/>
        <v>1.9548424433250386</v>
      </c>
      <c r="P38" s="9"/>
    </row>
    <row r="39" spans="1:16">
      <c r="A39" s="11"/>
      <c r="B39" s="24">
        <v>333</v>
      </c>
      <c r="C39" s="19" t="s">
        <v>4</v>
      </c>
      <c r="D39" s="45">
        <v>793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f t="shared" si="6"/>
        <v>793</v>
      </c>
      <c r="O39" s="46">
        <f t="shared" si="7"/>
        <v>6.4005759711239585E-4</v>
      </c>
      <c r="P39" s="9"/>
    </row>
    <row r="40" spans="1:16">
      <c r="A40" s="11"/>
      <c r="B40" s="24">
        <v>334.2</v>
      </c>
      <c r="C40" s="19" t="s">
        <v>33</v>
      </c>
      <c r="D40" s="45">
        <v>0</v>
      </c>
      <c r="E40" s="45">
        <v>1903056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5">
        <v>0</v>
      </c>
      <c r="L40" s="45">
        <v>0</v>
      </c>
      <c r="M40" s="45">
        <v>0</v>
      </c>
      <c r="N40" s="45">
        <f t="shared" si="6"/>
        <v>1903056</v>
      </c>
      <c r="O40" s="46">
        <f t="shared" si="7"/>
        <v>1.5360220057128975</v>
      </c>
      <c r="P40" s="9"/>
    </row>
    <row r="41" spans="1:16">
      <c r="A41" s="11"/>
      <c r="B41" s="24">
        <v>334.39</v>
      </c>
      <c r="C41" s="19" t="s">
        <v>40</v>
      </c>
      <c r="D41" s="45">
        <v>0</v>
      </c>
      <c r="E41" s="45">
        <v>2682847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f t="shared" ref="N41:N65" si="8">SUM(D41:M41)</f>
        <v>2682847</v>
      </c>
      <c r="O41" s="46">
        <f t="shared" si="7"/>
        <v>2.1654181642373267</v>
      </c>
      <c r="P41" s="9"/>
    </row>
    <row r="42" spans="1:16">
      <c r="A42" s="11"/>
      <c r="B42" s="24">
        <v>334.49</v>
      </c>
      <c r="C42" s="19" t="s">
        <v>41</v>
      </c>
      <c r="D42" s="45">
        <v>0</v>
      </c>
      <c r="E42" s="45">
        <v>41323</v>
      </c>
      <c r="F42" s="45">
        <v>0</v>
      </c>
      <c r="G42" s="45">
        <v>0</v>
      </c>
      <c r="H42" s="45">
        <v>0</v>
      </c>
      <c r="I42" s="45">
        <v>0</v>
      </c>
      <c r="J42" s="45">
        <v>0</v>
      </c>
      <c r="K42" s="45">
        <v>0</v>
      </c>
      <c r="L42" s="45">
        <v>0</v>
      </c>
      <c r="M42" s="45">
        <v>0</v>
      </c>
      <c r="N42" s="45">
        <f t="shared" si="8"/>
        <v>41323</v>
      </c>
      <c r="O42" s="46">
        <f t="shared" si="7"/>
        <v>3.3353215744609754E-2</v>
      </c>
      <c r="P42" s="9"/>
    </row>
    <row r="43" spans="1:16">
      <c r="A43" s="11"/>
      <c r="B43" s="24">
        <v>334.5</v>
      </c>
      <c r="C43" s="19" t="s">
        <v>42</v>
      </c>
      <c r="D43" s="45">
        <v>0</v>
      </c>
      <c r="E43" s="45">
        <v>-19019</v>
      </c>
      <c r="F43" s="45">
        <v>0</v>
      </c>
      <c r="G43" s="45">
        <v>0</v>
      </c>
      <c r="H43" s="45">
        <v>0</v>
      </c>
      <c r="I43" s="45">
        <v>0</v>
      </c>
      <c r="J43" s="45">
        <v>0</v>
      </c>
      <c r="K43" s="45">
        <v>0</v>
      </c>
      <c r="L43" s="45">
        <v>0</v>
      </c>
      <c r="M43" s="45">
        <v>0</v>
      </c>
      <c r="N43" s="45">
        <f t="shared" si="8"/>
        <v>-19019</v>
      </c>
      <c r="O43" s="46">
        <f t="shared" si="7"/>
        <v>-1.5350889583203856E-2</v>
      </c>
      <c r="P43" s="9"/>
    </row>
    <row r="44" spans="1:16">
      <c r="A44" s="11"/>
      <c r="B44" s="24">
        <v>334.61</v>
      </c>
      <c r="C44" s="19" t="s">
        <v>43</v>
      </c>
      <c r="D44" s="45">
        <v>0</v>
      </c>
      <c r="E44" s="45">
        <v>215020</v>
      </c>
      <c r="F44" s="45">
        <v>0</v>
      </c>
      <c r="G44" s="45">
        <v>0</v>
      </c>
      <c r="H44" s="45">
        <v>0</v>
      </c>
      <c r="I44" s="45">
        <v>0</v>
      </c>
      <c r="J44" s="45">
        <v>0</v>
      </c>
      <c r="K44" s="45">
        <v>0</v>
      </c>
      <c r="L44" s="45">
        <v>0</v>
      </c>
      <c r="M44" s="45">
        <v>0</v>
      </c>
      <c r="N44" s="45">
        <f t="shared" si="8"/>
        <v>215020</v>
      </c>
      <c r="O44" s="46">
        <f t="shared" si="7"/>
        <v>0.17355004354490211</v>
      </c>
      <c r="P44" s="9"/>
    </row>
    <row r="45" spans="1:16">
      <c r="A45" s="11"/>
      <c r="B45" s="24">
        <v>334.69</v>
      </c>
      <c r="C45" s="19" t="s">
        <v>44</v>
      </c>
      <c r="D45" s="45">
        <v>0</v>
      </c>
      <c r="E45" s="45">
        <v>4119244</v>
      </c>
      <c r="F45" s="45">
        <v>0</v>
      </c>
      <c r="G45" s="45">
        <v>0</v>
      </c>
      <c r="H45" s="45">
        <v>0</v>
      </c>
      <c r="I45" s="45">
        <v>0</v>
      </c>
      <c r="J45" s="45">
        <v>0</v>
      </c>
      <c r="K45" s="45">
        <v>0</v>
      </c>
      <c r="L45" s="45">
        <v>0</v>
      </c>
      <c r="M45" s="45">
        <v>0</v>
      </c>
      <c r="N45" s="45">
        <f t="shared" si="8"/>
        <v>4119244</v>
      </c>
      <c r="O45" s="46">
        <f t="shared" si="7"/>
        <v>3.3247836274396647</v>
      </c>
      <c r="P45" s="9"/>
    </row>
    <row r="46" spans="1:16">
      <c r="A46" s="11"/>
      <c r="B46" s="24">
        <v>334.7</v>
      </c>
      <c r="C46" s="19" t="s">
        <v>45</v>
      </c>
      <c r="D46" s="45">
        <v>0</v>
      </c>
      <c r="E46" s="45">
        <v>852647</v>
      </c>
      <c r="F46" s="45">
        <v>0</v>
      </c>
      <c r="G46" s="45">
        <v>0</v>
      </c>
      <c r="H46" s="45">
        <v>0</v>
      </c>
      <c r="I46" s="45">
        <v>0</v>
      </c>
      <c r="J46" s="45">
        <v>0</v>
      </c>
      <c r="K46" s="45">
        <v>0</v>
      </c>
      <c r="L46" s="45">
        <v>0</v>
      </c>
      <c r="M46" s="45">
        <v>0</v>
      </c>
      <c r="N46" s="45">
        <f t="shared" si="8"/>
        <v>852647</v>
      </c>
      <c r="O46" s="46">
        <f t="shared" si="7"/>
        <v>0.68820074401651077</v>
      </c>
      <c r="P46" s="9"/>
    </row>
    <row r="47" spans="1:16">
      <c r="A47" s="11"/>
      <c r="B47" s="24">
        <v>334.89</v>
      </c>
      <c r="C47" s="19" t="s">
        <v>46</v>
      </c>
      <c r="D47" s="45">
        <v>0</v>
      </c>
      <c r="E47" s="45">
        <v>-828487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f t="shared" si="8"/>
        <v>-828487</v>
      </c>
      <c r="O47" s="46">
        <f t="shared" si="7"/>
        <v>-0.66870037636678126</v>
      </c>
      <c r="P47" s="9"/>
    </row>
    <row r="48" spans="1:16">
      <c r="A48" s="11"/>
      <c r="B48" s="24">
        <v>334.9</v>
      </c>
      <c r="C48" s="19" t="s">
        <v>47</v>
      </c>
      <c r="D48" s="45">
        <v>0</v>
      </c>
      <c r="E48" s="45">
        <v>1234924</v>
      </c>
      <c r="F48" s="45">
        <v>0</v>
      </c>
      <c r="G48" s="45">
        <v>0</v>
      </c>
      <c r="H48" s="45">
        <v>0</v>
      </c>
      <c r="I48" s="45">
        <v>0</v>
      </c>
      <c r="J48" s="45">
        <v>0</v>
      </c>
      <c r="K48" s="45">
        <v>0</v>
      </c>
      <c r="L48" s="45">
        <v>0</v>
      </c>
      <c r="M48" s="45">
        <v>0</v>
      </c>
      <c r="N48" s="45">
        <f t="shared" si="8"/>
        <v>1234924</v>
      </c>
      <c r="O48" s="46">
        <f t="shared" si="7"/>
        <v>0.99674966968023759</v>
      </c>
      <c r="P48" s="9"/>
    </row>
    <row r="49" spans="1:16">
      <c r="A49" s="11"/>
      <c r="B49" s="24">
        <v>335.12</v>
      </c>
      <c r="C49" s="19" t="s">
        <v>48</v>
      </c>
      <c r="D49" s="45">
        <v>17708834</v>
      </c>
      <c r="E49" s="45">
        <v>6752474</v>
      </c>
      <c r="F49" s="45">
        <v>0</v>
      </c>
      <c r="G49" s="45">
        <v>0</v>
      </c>
      <c r="H49" s="45">
        <v>0</v>
      </c>
      <c r="I49" s="45">
        <v>0</v>
      </c>
      <c r="J49" s="45">
        <v>0</v>
      </c>
      <c r="K49" s="45">
        <v>0</v>
      </c>
      <c r="L49" s="45">
        <v>0</v>
      </c>
      <c r="M49" s="45">
        <v>0</v>
      </c>
      <c r="N49" s="45">
        <f t="shared" si="8"/>
        <v>24461308</v>
      </c>
      <c r="O49" s="46">
        <f t="shared" si="7"/>
        <v>19.743563708330676</v>
      </c>
      <c r="P49" s="9"/>
    </row>
    <row r="50" spans="1:16">
      <c r="A50" s="11"/>
      <c r="B50" s="24">
        <v>335.13</v>
      </c>
      <c r="C50" s="19" t="s">
        <v>49</v>
      </c>
      <c r="D50" s="45">
        <v>372279</v>
      </c>
      <c r="E50" s="45">
        <v>0</v>
      </c>
      <c r="F50" s="45">
        <v>0</v>
      </c>
      <c r="G50" s="45">
        <v>0</v>
      </c>
      <c r="H50" s="45">
        <v>0</v>
      </c>
      <c r="I50" s="45">
        <v>0</v>
      </c>
      <c r="J50" s="45">
        <v>0</v>
      </c>
      <c r="K50" s="45">
        <v>0</v>
      </c>
      <c r="L50" s="45">
        <v>0</v>
      </c>
      <c r="M50" s="45">
        <v>0</v>
      </c>
      <c r="N50" s="45">
        <f t="shared" si="8"/>
        <v>372279</v>
      </c>
      <c r="O50" s="46">
        <f t="shared" si="7"/>
        <v>0.30047919570669057</v>
      </c>
      <c r="P50" s="9"/>
    </row>
    <row r="51" spans="1:16">
      <c r="A51" s="11"/>
      <c r="B51" s="24">
        <v>335.14</v>
      </c>
      <c r="C51" s="19" t="s">
        <v>50</v>
      </c>
      <c r="D51" s="45">
        <v>387967</v>
      </c>
      <c r="E51" s="45">
        <v>0</v>
      </c>
      <c r="F51" s="45">
        <v>0</v>
      </c>
      <c r="G51" s="45">
        <v>0</v>
      </c>
      <c r="H51" s="45">
        <v>0</v>
      </c>
      <c r="I51" s="45">
        <v>0</v>
      </c>
      <c r="J51" s="45">
        <v>0</v>
      </c>
      <c r="K51" s="45">
        <v>0</v>
      </c>
      <c r="L51" s="45">
        <v>0</v>
      </c>
      <c r="M51" s="45">
        <v>0</v>
      </c>
      <c r="N51" s="45">
        <f t="shared" si="8"/>
        <v>387967</v>
      </c>
      <c r="O51" s="46">
        <f t="shared" si="7"/>
        <v>0.31314152052825334</v>
      </c>
      <c r="P51" s="9"/>
    </row>
    <row r="52" spans="1:16">
      <c r="A52" s="11"/>
      <c r="B52" s="24">
        <v>335.15</v>
      </c>
      <c r="C52" s="19" t="s">
        <v>51</v>
      </c>
      <c r="D52" s="45">
        <v>406260</v>
      </c>
      <c r="E52" s="45">
        <v>0</v>
      </c>
      <c r="F52" s="45">
        <v>0</v>
      </c>
      <c r="G52" s="45">
        <v>0</v>
      </c>
      <c r="H52" s="45">
        <v>0</v>
      </c>
      <c r="I52" s="45">
        <v>0</v>
      </c>
      <c r="J52" s="45">
        <v>0</v>
      </c>
      <c r="K52" s="45">
        <v>0</v>
      </c>
      <c r="L52" s="45">
        <v>0</v>
      </c>
      <c r="M52" s="45">
        <v>0</v>
      </c>
      <c r="N52" s="45">
        <f t="shared" si="8"/>
        <v>406260</v>
      </c>
      <c r="O52" s="46">
        <f t="shared" si="7"/>
        <v>0.32790643052065821</v>
      </c>
      <c r="P52" s="9"/>
    </row>
    <row r="53" spans="1:16">
      <c r="A53" s="11"/>
      <c r="B53" s="24">
        <v>335.16</v>
      </c>
      <c r="C53" s="19" t="s">
        <v>52</v>
      </c>
      <c r="D53" s="45">
        <v>757225</v>
      </c>
      <c r="E53" s="45">
        <v>0</v>
      </c>
      <c r="F53" s="45">
        <v>0</v>
      </c>
      <c r="G53" s="45">
        <v>0</v>
      </c>
      <c r="H53" s="45">
        <v>0</v>
      </c>
      <c r="I53" s="45">
        <v>0</v>
      </c>
      <c r="J53" s="45">
        <v>0</v>
      </c>
      <c r="K53" s="45">
        <v>0</v>
      </c>
      <c r="L53" s="45">
        <v>0</v>
      </c>
      <c r="M53" s="45">
        <v>0</v>
      </c>
      <c r="N53" s="45">
        <f t="shared" si="8"/>
        <v>757225</v>
      </c>
      <c r="O53" s="46">
        <f t="shared" si="7"/>
        <v>0.61118236314430519</v>
      </c>
      <c r="P53" s="9"/>
    </row>
    <row r="54" spans="1:16">
      <c r="A54" s="11"/>
      <c r="B54" s="24">
        <v>335.17</v>
      </c>
      <c r="C54" s="19" t="s">
        <v>53</v>
      </c>
      <c r="D54" s="45">
        <v>91059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f t="shared" si="8"/>
        <v>91059</v>
      </c>
      <c r="O54" s="46">
        <f t="shared" si="7"/>
        <v>7.3496853386453537E-2</v>
      </c>
      <c r="P54" s="9"/>
    </row>
    <row r="55" spans="1:16">
      <c r="A55" s="11"/>
      <c r="B55" s="24">
        <v>335.18</v>
      </c>
      <c r="C55" s="19" t="s">
        <v>54</v>
      </c>
      <c r="D55" s="45">
        <v>0</v>
      </c>
      <c r="E55" s="45">
        <v>76522633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f t="shared" si="8"/>
        <v>76522633</v>
      </c>
      <c r="O55" s="46">
        <f t="shared" si="7"/>
        <v>61.764051201379232</v>
      </c>
      <c r="P55" s="9"/>
    </row>
    <row r="56" spans="1:16">
      <c r="A56" s="11"/>
      <c r="B56" s="24">
        <v>335.21</v>
      </c>
      <c r="C56" s="19" t="s">
        <v>55</v>
      </c>
      <c r="D56" s="45">
        <v>211801</v>
      </c>
      <c r="E56" s="45">
        <v>0</v>
      </c>
      <c r="F56" s="45">
        <v>0</v>
      </c>
      <c r="G56" s="45">
        <v>0</v>
      </c>
      <c r="H56" s="45">
        <v>0</v>
      </c>
      <c r="I56" s="45">
        <v>0</v>
      </c>
      <c r="J56" s="45">
        <v>0</v>
      </c>
      <c r="K56" s="45">
        <v>0</v>
      </c>
      <c r="L56" s="45">
        <v>0</v>
      </c>
      <c r="M56" s="45">
        <v>0</v>
      </c>
      <c r="N56" s="45">
        <f t="shared" si="8"/>
        <v>211801</v>
      </c>
      <c r="O56" s="46">
        <f t="shared" si="7"/>
        <v>0.17095187783859087</v>
      </c>
      <c r="P56" s="9"/>
    </row>
    <row r="57" spans="1:16">
      <c r="A57" s="11"/>
      <c r="B57" s="24">
        <v>335.22</v>
      </c>
      <c r="C57" s="19" t="s">
        <v>56</v>
      </c>
      <c r="D57" s="45">
        <v>0</v>
      </c>
      <c r="E57" s="45">
        <v>7516244</v>
      </c>
      <c r="F57" s="45">
        <v>0</v>
      </c>
      <c r="G57" s="45">
        <v>0</v>
      </c>
      <c r="H57" s="45">
        <v>0</v>
      </c>
      <c r="I57" s="45">
        <v>0</v>
      </c>
      <c r="J57" s="45">
        <v>0</v>
      </c>
      <c r="K57" s="45">
        <v>0</v>
      </c>
      <c r="L57" s="45">
        <v>0</v>
      </c>
      <c r="M57" s="45">
        <v>0</v>
      </c>
      <c r="N57" s="45">
        <f t="shared" si="8"/>
        <v>7516244</v>
      </c>
      <c r="O57" s="46">
        <f t="shared" si="7"/>
        <v>6.0666192609715797</v>
      </c>
      <c r="P57" s="9"/>
    </row>
    <row r="58" spans="1:16">
      <c r="A58" s="11"/>
      <c r="B58" s="24">
        <v>335.23</v>
      </c>
      <c r="C58" s="19" t="s">
        <v>171</v>
      </c>
      <c r="D58" s="45">
        <v>0</v>
      </c>
      <c r="E58" s="45">
        <v>98229</v>
      </c>
      <c r="F58" s="45">
        <v>0</v>
      </c>
      <c r="G58" s="45">
        <v>0</v>
      </c>
      <c r="H58" s="45">
        <v>0</v>
      </c>
      <c r="I58" s="45">
        <v>0</v>
      </c>
      <c r="J58" s="45">
        <v>0</v>
      </c>
      <c r="K58" s="45">
        <v>0</v>
      </c>
      <c r="L58" s="45">
        <v>0</v>
      </c>
      <c r="M58" s="45">
        <v>0</v>
      </c>
      <c r="N58" s="45">
        <f t="shared" si="8"/>
        <v>98229</v>
      </c>
      <c r="O58" s="46">
        <f t="shared" si="7"/>
        <v>7.9284007196410516E-2</v>
      </c>
      <c r="P58" s="9"/>
    </row>
    <row r="59" spans="1:16">
      <c r="A59" s="11"/>
      <c r="B59" s="24">
        <v>335.29</v>
      </c>
      <c r="C59" s="19" t="s">
        <v>57</v>
      </c>
      <c r="D59" s="45">
        <v>933</v>
      </c>
      <c r="E59" s="45">
        <v>2107</v>
      </c>
      <c r="F59" s="45">
        <v>0</v>
      </c>
      <c r="G59" s="45">
        <v>0</v>
      </c>
      <c r="H59" s="45">
        <v>0</v>
      </c>
      <c r="I59" s="45">
        <v>0</v>
      </c>
      <c r="J59" s="45">
        <v>0</v>
      </c>
      <c r="K59" s="45">
        <v>0</v>
      </c>
      <c r="L59" s="45">
        <v>0</v>
      </c>
      <c r="M59" s="45">
        <v>0</v>
      </c>
      <c r="N59" s="45">
        <f t="shared" si="8"/>
        <v>3040</v>
      </c>
      <c r="O59" s="46">
        <f t="shared" si="7"/>
        <v>2.4536886446679491E-3</v>
      </c>
      <c r="P59" s="9"/>
    </row>
    <row r="60" spans="1:16">
      <c r="A60" s="11"/>
      <c r="B60" s="24">
        <v>335.39</v>
      </c>
      <c r="C60" s="19" t="s">
        <v>58</v>
      </c>
      <c r="D60" s="45">
        <v>0</v>
      </c>
      <c r="E60" s="45">
        <v>1990918</v>
      </c>
      <c r="F60" s="45">
        <v>0</v>
      </c>
      <c r="G60" s="45">
        <v>0</v>
      </c>
      <c r="H60" s="45">
        <v>0</v>
      </c>
      <c r="I60" s="45">
        <v>0</v>
      </c>
      <c r="J60" s="45">
        <v>0</v>
      </c>
      <c r="K60" s="45">
        <v>0</v>
      </c>
      <c r="L60" s="45">
        <v>0</v>
      </c>
      <c r="M60" s="45">
        <v>0</v>
      </c>
      <c r="N60" s="45">
        <f t="shared" si="8"/>
        <v>1990918</v>
      </c>
      <c r="O60" s="46">
        <f t="shared" si="7"/>
        <v>1.6069384503503368</v>
      </c>
      <c r="P60" s="9"/>
    </row>
    <row r="61" spans="1:16">
      <c r="A61" s="11"/>
      <c r="B61" s="24">
        <v>335.49</v>
      </c>
      <c r="C61" s="19" t="s">
        <v>59</v>
      </c>
      <c r="D61" s="45">
        <v>0</v>
      </c>
      <c r="E61" s="45">
        <v>17840637</v>
      </c>
      <c r="F61" s="45">
        <v>0</v>
      </c>
      <c r="G61" s="45">
        <v>0</v>
      </c>
      <c r="H61" s="45">
        <v>0</v>
      </c>
      <c r="I61" s="45">
        <v>0</v>
      </c>
      <c r="J61" s="45">
        <v>0</v>
      </c>
      <c r="K61" s="45">
        <v>0</v>
      </c>
      <c r="L61" s="45">
        <v>0</v>
      </c>
      <c r="M61" s="45">
        <v>0</v>
      </c>
      <c r="N61" s="45">
        <f t="shared" si="8"/>
        <v>17840637</v>
      </c>
      <c r="O61" s="46">
        <f t="shared" si="7"/>
        <v>14.399792243599626</v>
      </c>
      <c r="P61" s="9"/>
    </row>
    <row r="62" spans="1:16">
      <c r="A62" s="11"/>
      <c r="B62" s="24">
        <v>335.5</v>
      </c>
      <c r="C62" s="19" t="s">
        <v>60</v>
      </c>
      <c r="D62" s="45">
        <v>0</v>
      </c>
      <c r="E62" s="45">
        <v>760176</v>
      </c>
      <c r="F62" s="45">
        <v>0</v>
      </c>
      <c r="G62" s="45">
        <v>0</v>
      </c>
      <c r="H62" s="45">
        <v>0</v>
      </c>
      <c r="I62" s="45">
        <v>0</v>
      </c>
      <c r="J62" s="45">
        <v>0</v>
      </c>
      <c r="K62" s="45">
        <v>0</v>
      </c>
      <c r="L62" s="45">
        <v>0</v>
      </c>
      <c r="M62" s="45">
        <v>0</v>
      </c>
      <c r="N62" s="45">
        <f t="shared" si="8"/>
        <v>760176</v>
      </c>
      <c r="O62" s="46">
        <f t="shared" si="7"/>
        <v>0.61356421682536277</v>
      </c>
      <c r="P62" s="9"/>
    </row>
    <row r="63" spans="1:16">
      <c r="A63" s="11"/>
      <c r="B63" s="24">
        <v>335.69</v>
      </c>
      <c r="C63" s="19" t="s">
        <v>61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292000</v>
      </c>
      <c r="K63" s="45">
        <v>0</v>
      </c>
      <c r="L63" s="45">
        <v>0</v>
      </c>
      <c r="M63" s="45">
        <v>0</v>
      </c>
      <c r="N63" s="45">
        <f t="shared" si="8"/>
        <v>292000</v>
      </c>
      <c r="O63" s="46">
        <f t="shared" si="7"/>
        <v>0.2356832513957372</v>
      </c>
      <c r="P63" s="9"/>
    </row>
    <row r="64" spans="1:16">
      <c r="A64" s="11"/>
      <c r="B64" s="24">
        <v>335.7</v>
      </c>
      <c r="C64" s="19" t="s">
        <v>62</v>
      </c>
      <c r="D64" s="45">
        <v>0</v>
      </c>
      <c r="E64" s="45">
        <v>2264018</v>
      </c>
      <c r="F64" s="45">
        <v>0</v>
      </c>
      <c r="G64" s="45">
        <v>0</v>
      </c>
      <c r="H64" s="45">
        <v>0</v>
      </c>
      <c r="I64" s="45">
        <v>0</v>
      </c>
      <c r="J64" s="45">
        <v>0</v>
      </c>
      <c r="K64" s="45">
        <v>0</v>
      </c>
      <c r="L64" s="45">
        <v>0</v>
      </c>
      <c r="M64" s="45">
        <v>0</v>
      </c>
      <c r="N64" s="45">
        <f t="shared" si="8"/>
        <v>2264018</v>
      </c>
      <c r="O64" s="46">
        <f t="shared" si="7"/>
        <v>1.827366861159158</v>
      </c>
      <c r="P64" s="9"/>
    </row>
    <row r="65" spans="1:16">
      <c r="A65" s="11"/>
      <c r="B65" s="24">
        <v>335.8</v>
      </c>
      <c r="C65" s="19" t="s">
        <v>63</v>
      </c>
      <c r="D65" s="45">
        <v>0</v>
      </c>
      <c r="E65" s="45">
        <v>28630892</v>
      </c>
      <c r="F65" s="45">
        <v>0</v>
      </c>
      <c r="G65" s="45">
        <v>0</v>
      </c>
      <c r="H65" s="45">
        <v>0</v>
      </c>
      <c r="I65" s="45">
        <v>0</v>
      </c>
      <c r="J65" s="45">
        <v>0</v>
      </c>
      <c r="K65" s="45">
        <v>0</v>
      </c>
      <c r="L65" s="45">
        <v>0</v>
      </c>
      <c r="M65" s="45">
        <v>0</v>
      </c>
      <c r="N65" s="45">
        <f t="shared" si="8"/>
        <v>28630892</v>
      </c>
      <c r="O65" s="46">
        <f t="shared" si="7"/>
        <v>23.10897848260343</v>
      </c>
      <c r="P65" s="9"/>
    </row>
    <row r="66" spans="1:16">
      <c r="A66" s="11"/>
      <c r="B66" s="24">
        <v>337.1</v>
      </c>
      <c r="C66" s="19" t="s">
        <v>64</v>
      </c>
      <c r="D66" s="45">
        <v>0</v>
      </c>
      <c r="E66" s="45">
        <v>88000</v>
      </c>
      <c r="F66" s="45">
        <v>0</v>
      </c>
      <c r="G66" s="45">
        <v>0</v>
      </c>
      <c r="H66" s="45">
        <v>0</v>
      </c>
      <c r="I66" s="45">
        <v>0</v>
      </c>
      <c r="J66" s="45">
        <v>0</v>
      </c>
      <c r="K66" s="45">
        <v>0</v>
      </c>
      <c r="L66" s="45">
        <v>0</v>
      </c>
      <c r="M66" s="45">
        <v>0</v>
      </c>
      <c r="N66" s="45">
        <f t="shared" ref="N66:N74" si="9">SUM(D66:M66)</f>
        <v>88000</v>
      </c>
      <c r="O66" s="46">
        <f t="shared" si="7"/>
        <v>7.1027829187756422E-2</v>
      </c>
      <c r="P66" s="9"/>
    </row>
    <row r="67" spans="1:16">
      <c r="A67" s="11"/>
      <c r="B67" s="24">
        <v>337.2</v>
      </c>
      <c r="C67" s="19" t="s">
        <v>65</v>
      </c>
      <c r="D67" s="45">
        <v>0</v>
      </c>
      <c r="E67" s="45">
        <v>91724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>
        <v>0</v>
      </c>
      <c r="N67" s="45">
        <f t="shared" si="9"/>
        <v>91724</v>
      </c>
      <c r="O67" s="46">
        <f t="shared" si="7"/>
        <v>7.4033597777474661E-2</v>
      </c>
      <c r="P67" s="9"/>
    </row>
    <row r="68" spans="1:16">
      <c r="A68" s="11"/>
      <c r="B68" s="24">
        <v>337.3</v>
      </c>
      <c r="C68" s="19" t="s">
        <v>66</v>
      </c>
      <c r="D68" s="45">
        <v>4547</v>
      </c>
      <c r="E68" s="45">
        <v>216582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</v>
      </c>
      <c r="L68" s="45">
        <v>0</v>
      </c>
      <c r="M68" s="45">
        <v>0</v>
      </c>
      <c r="N68" s="45">
        <f t="shared" si="9"/>
        <v>221129</v>
      </c>
      <c r="O68" s="46">
        <f t="shared" si="7"/>
        <v>0.17848082773249305</v>
      </c>
      <c r="P68" s="9"/>
    </row>
    <row r="69" spans="1:16">
      <c r="A69" s="11"/>
      <c r="B69" s="24">
        <v>337.4</v>
      </c>
      <c r="C69" s="19" t="s">
        <v>172</v>
      </c>
      <c r="D69" s="45">
        <v>0</v>
      </c>
      <c r="E69" s="45">
        <v>2087595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5">
        <v>0</v>
      </c>
      <c r="L69" s="45">
        <v>0</v>
      </c>
      <c r="M69" s="45">
        <v>0</v>
      </c>
      <c r="N69" s="45">
        <f t="shared" si="9"/>
        <v>2087595</v>
      </c>
      <c r="O69" s="46">
        <f t="shared" ref="O69:O100" si="10">(N69/O$139)</f>
        <v>1.6849697849228904</v>
      </c>
      <c r="P69" s="9"/>
    </row>
    <row r="70" spans="1:16">
      <c r="A70" s="11"/>
      <c r="B70" s="24">
        <v>337.5</v>
      </c>
      <c r="C70" s="19" t="s">
        <v>67</v>
      </c>
      <c r="D70" s="45">
        <v>69271</v>
      </c>
      <c r="E70" s="45">
        <v>-13489</v>
      </c>
      <c r="F70" s="45">
        <v>0</v>
      </c>
      <c r="G70" s="45">
        <v>0</v>
      </c>
      <c r="H70" s="45">
        <v>0</v>
      </c>
      <c r="I70" s="45">
        <v>0</v>
      </c>
      <c r="J70" s="45">
        <v>0</v>
      </c>
      <c r="K70" s="45">
        <v>0</v>
      </c>
      <c r="L70" s="45">
        <v>0</v>
      </c>
      <c r="M70" s="45">
        <v>0</v>
      </c>
      <c r="N70" s="45">
        <f t="shared" si="9"/>
        <v>55782</v>
      </c>
      <c r="O70" s="46">
        <f t="shared" si="10"/>
        <v>4.5023572360811684E-2</v>
      </c>
      <c r="P70" s="9"/>
    </row>
    <row r="71" spans="1:16">
      <c r="A71" s="11"/>
      <c r="B71" s="24">
        <v>337.9</v>
      </c>
      <c r="C71" s="19" t="s">
        <v>69</v>
      </c>
      <c r="D71" s="45">
        <v>0</v>
      </c>
      <c r="E71" s="45">
        <v>106805</v>
      </c>
      <c r="F71" s="45">
        <v>0</v>
      </c>
      <c r="G71" s="45">
        <v>0</v>
      </c>
      <c r="H71" s="45">
        <v>0</v>
      </c>
      <c r="I71" s="45">
        <v>0</v>
      </c>
      <c r="J71" s="45">
        <v>0</v>
      </c>
      <c r="K71" s="45">
        <v>0</v>
      </c>
      <c r="L71" s="45">
        <v>0</v>
      </c>
      <c r="M71" s="45">
        <v>0</v>
      </c>
      <c r="N71" s="45">
        <f t="shared" si="9"/>
        <v>106805</v>
      </c>
      <c r="O71" s="46">
        <f t="shared" si="10"/>
        <v>8.6205992004526416E-2</v>
      </c>
      <c r="P71" s="9"/>
    </row>
    <row r="72" spans="1:16">
      <c r="A72" s="11"/>
      <c r="B72" s="24">
        <v>338</v>
      </c>
      <c r="C72" s="19" t="s">
        <v>182</v>
      </c>
      <c r="D72" s="45">
        <v>0</v>
      </c>
      <c r="E72" s="45">
        <v>198517</v>
      </c>
      <c r="F72" s="45">
        <v>0</v>
      </c>
      <c r="G72" s="45">
        <v>0</v>
      </c>
      <c r="H72" s="45">
        <v>0</v>
      </c>
      <c r="I72" s="45">
        <v>0</v>
      </c>
      <c r="J72" s="45">
        <v>0</v>
      </c>
      <c r="K72" s="45">
        <v>0</v>
      </c>
      <c r="L72" s="45">
        <v>0</v>
      </c>
      <c r="M72" s="45">
        <v>0</v>
      </c>
      <c r="N72" s="45">
        <f t="shared" si="9"/>
        <v>198517</v>
      </c>
      <c r="O72" s="46">
        <f t="shared" si="10"/>
        <v>0.16022990416893002</v>
      </c>
      <c r="P72" s="9"/>
    </row>
    <row r="73" spans="1:16" ht="15.75">
      <c r="A73" s="28" t="s">
        <v>75</v>
      </c>
      <c r="B73" s="29"/>
      <c r="C73" s="30"/>
      <c r="D73" s="31">
        <f>SUM(D74:D111)</f>
        <v>101315114</v>
      </c>
      <c r="E73" s="31">
        <f t="shared" ref="E73:M73" si="11">SUM(E74:E111)</f>
        <v>26244068</v>
      </c>
      <c r="F73" s="31">
        <f t="shared" si="11"/>
        <v>538115</v>
      </c>
      <c r="G73" s="31">
        <f t="shared" si="11"/>
        <v>0</v>
      </c>
      <c r="H73" s="31">
        <f t="shared" si="11"/>
        <v>0</v>
      </c>
      <c r="I73" s="31">
        <f t="shared" si="11"/>
        <v>295125000</v>
      </c>
      <c r="J73" s="31">
        <f t="shared" si="11"/>
        <v>124997000</v>
      </c>
      <c r="K73" s="31">
        <f t="shared" si="11"/>
        <v>0</v>
      </c>
      <c r="L73" s="31">
        <f t="shared" si="11"/>
        <v>0</v>
      </c>
      <c r="M73" s="31">
        <f t="shared" si="11"/>
        <v>1914000</v>
      </c>
      <c r="N73" s="31">
        <f t="shared" si="9"/>
        <v>550133297</v>
      </c>
      <c r="O73" s="44">
        <f t="shared" si="10"/>
        <v>444.03152102060534</v>
      </c>
      <c r="P73" s="10"/>
    </row>
    <row r="74" spans="1:16">
      <c r="A74" s="11"/>
      <c r="B74" s="24">
        <v>341.1</v>
      </c>
      <c r="C74" s="19" t="s">
        <v>78</v>
      </c>
      <c r="D74" s="45">
        <v>3418131</v>
      </c>
      <c r="E74" s="45">
        <v>0</v>
      </c>
      <c r="F74" s="45">
        <v>0</v>
      </c>
      <c r="G74" s="45">
        <v>0</v>
      </c>
      <c r="H74" s="45">
        <v>0</v>
      </c>
      <c r="I74" s="45">
        <v>0</v>
      </c>
      <c r="J74" s="45">
        <v>0</v>
      </c>
      <c r="K74" s="45">
        <v>0</v>
      </c>
      <c r="L74" s="45">
        <v>0</v>
      </c>
      <c r="M74" s="45">
        <v>0</v>
      </c>
      <c r="N74" s="45">
        <f t="shared" si="9"/>
        <v>3418131</v>
      </c>
      <c r="O74" s="46">
        <f t="shared" si="10"/>
        <v>2.7588911910156253</v>
      </c>
      <c r="P74" s="9"/>
    </row>
    <row r="75" spans="1:16">
      <c r="A75" s="11"/>
      <c r="B75" s="24">
        <v>341.15</v>
      </c>
      <c r="C75" s="19" t="s">
        <v>79</v>
      </c>
      <c r="D75" s="45">
        <v>0</v>
      </c>
      <c r="E75" s="45">
        <v>1783286</v>
      </c>
      <c r="F75" s="45">
        <v>0</v>
      </c>
      <c r="G75" s="45">
        <v>0</v>
      </c>
      <c r="H75" s="45">
        <v>0</v>
      </c>
      <c r="I75" s="45">
        <v>0</v>
      </c>
      <c r="J75" s="45">
        <v>0</v>
      </c>
      <c r="K75" s="45">
        <v>0</v>
      </c>
      <c r="L75" s="45">
        <v>0</v>
      </c>
      <c r="M75" s="45">
        <v>0</v>
      </c>
      <c r="N75" s="45">
        <f t="shared" ref="N75:N111" si="12">SUM(D75:M75)</f>
        <v>1783286</v>
      </c>
      <c r="O75" s="46">
        <f t="shared" si="10"/>
        <v>1.4393515159195158</v>
      </c>
      <c r="P75" s="9"/>
    </row>
    <row r="76" spans="1:16">
      <c r="A76" s="11"/>
      <c r="B76" s="24">
        <v>341.16</v>
      </c>
      <c r="C76" s="19" t="s">
        <v>80</v>
      </c>
      <c r="D76" s="45">
        <v>0</v>
      </c>
      <c r="E76" s="45">
        <v>1400403</v>
      </c>
      <c r="F76" s="45">
        <v>0</v>
      </c>
      <c r="G76" s="45">
        <v>0</v>
      </c>
      <c r="H76" s="45">
        <v>0</v>
      </c>
      <c r="I76" s="45">
        <v>0</v>
      </c>
      <c r="J76" s="45">
        <v>0</v>
      </c>
      <c r="K76" s="45">
        <v>0</v>
      </c>
      <c r="L76" s="45">
        <v>0</v>
      </c>
      <c r="M76" s="45">
        <v>0</v>
      </c>
      <c r="N76" s="45">
        <f t="shared" si="12"/>
        <v>1400403</v>
      </c>
      <c r="O76" s="46">
        <f t="shared" si="10"/>
        <v>1.1303134667957007</v>
      </c>
      <c r="P76" s="9"/>
    </row>
    <row r="77" spans="1:16">
      <c r="A77" s="11"/>
      <c r="B77" s="24">
        <v>341.2</v>
      </c>
      <c r="C77" s="19" t="s">
        <v>81</v>
      </c>
      <c r="D77" s="45">
        <v>0</v>
      </c>
      <c r="E77" s="45">
        <v>0</v>
      </c>
      <c r="F77" s="45">
        <v>0</v>
      </c>
      <c r="G77" s="45">
        <v>0</v>
      </c>
      <c r="H77" s="45">
        <v>0</v>
      </c>
      <c r="I77" s="45">
        <v>0</v>
      </c>
      <c r="J77" s="45">
        <v>124997000</v>
      </c>
      <c r="K77" s="45">
        <v>0</v>
      </c>
      <c r="L77" s="45">
        <v>0</v>
      </c>
      <c r="M77" s="45">
        <v>0</v>
      </c>
      <c r="N77" s="45">
        <f t="shared" si="12"/>
        <v>124997000</v>
      </c>
      <c r="O77" s="46">
        <f t="shared" si="10"/>
        <v>100.88938142024988</v>
      </c>
      <c r="P77" s="9"/>
    </row>
    <row r="78" spans="1:16">
      <c r="A78" s="11"/>
      <c r="B78" s="24">
        <v>341.3</v>
      </c>
      <c r="C78" s="19" t="s">
        <v>82</v>
      </c>
      <c r="D78" s="45">
        <v>104443</v>
      </c>
      <c r="E78" s="45">
        <v>737</v>
      </c>
      <c r="F78" s="45">
        <v>0</v>
      </c>
      <c r="G78" s="45">
        <v>0</v>
      </c>
      <c r="H78" s="45">
        <v>0</v>
      </c>
      <c r="I78" s="45">
        <v>0</v>
      </c>
      <c r="J78" s="45">
        <v>0</v>
      </c>
      <c r="K78" s="45">
        <v>0</v>
      </c>
      <c r="L78" s="45">
        <v>0</v>
      </c>
      <c r="M78" s="45">
        <v>0</v>
      </c>
      <c r="N78" s="45">
        <f t="shared" si="12"/>
        <v>105180</v>
      </c>
      <c r="O78" s="46">
        <f t="shared" si="10"/>
        <v>8.4894398567820675E-2</v>
      </c>
      <c r="P78" s="9"/>
    </row>
    <row r="79" spans="1:16">
      <c r="A79" s="11"/>
      <c r="B79" s="24">
        <v>341.52</v>
      </c>
      <c r="C79" s="19" t="s">
        <v>83</v>
      </c>
      <c r="D79" s="45">
        <v>2095545</v>
      </c>
      <c r="E79" s="45">
        <v>167143</v>
      </c>
      <c r="F79" s="45">
        <v>0</v>
      </c>
      <c r="G79" s="45">
        <v>0</v>
      </c>
      <c r="H79" s="45">
        <v>0</v>
      </c>
      <c r="I79" s="45">
        <v>0</v>
      </c>
      <c r="J79" s="45">
        <v>0</v>
      </c>
      <c r="K79" s="45">
        <v>0</v>
      </c>
      <c r="L79" s="45">
        <v>0</v>
      </c>
      <c r="M79" s="45">
        <v>0</v>
      </c>
      <c r="N79" s="45">
        <f t="shared" si="12"/>
        <v>2262688</v>
      </c>
      <c r="O79" s="46">
        <f t="shared" si="10"/>
        <v>1.8262933723771158</v>
      </c>
      <c r="P79" s="9"/>
    </row>
    <row r="80" spans="1:16">
      <c r="A80" s="11"/>
      <c r="B80" s="24">
        <v>341.55</v>
      </c>
      <c r="C80" s="19" t="s">
        <v>84</v>
      </c>
      <c r="D80" s="45">
        <v>1412</v>
      </c>
      <c r="E80" s="45">
        <v>0</v>
      </c>
      <c r="F80" s="45">
        <v>0</v>
      </c>
      <c r="G80" s="45">
        <v>0</v>
      </c>
      <c r="H80" s="45">
        <v>0</v>
      </c>
      <c r="I80" s="45">
        <v>0</v>
      </c>
      <c r="J80" s="45">
        <v>0</v>
      </c>
      <c r="K80" s="45">
        <v>0</v>
      </c>
      <c r="L80" s="45">
        <v>0</v>
      </c>
      <c r="M80" s="45">
        <v>0</v>
      </c>
      <c r="N80" s="45">
        <f t="shared" si="12"/>
        <v>1412</v>
      </c>
      <c r="O80" s="46">
        <f t="shared" si="10"/>
        <v>1.1396738046944553E-3</v>
      </c>
      <c r="P80" s="9"/>
    </row>
    <row r="81" spans="1:16">
      <c r="A81" s="11"/>
      <c r="B81" s="24">
        <v>341.8</v>
      </c>
      <c r="C81" s="19" t="s">
        <v>85</v>
      </c>
      <c r="D81" s="45">
        <v>16749975</v>
      </c>
      <c r="E81" s="45">
        <v>11401176</v>
      </c>
      <c r="F81" s="45">
        <v>0</v>
      </c>
      <c r="G81" s="45">
        <v>0</v>
      </c>
      <c r="H81" s="45">
        <v>0</v>
      </c>
      <c r="I81" s="45">
        <v>0</v>
      </c>
      <c r="J81" s="45">
        <v>0</v>
      </c>
      <c r="K81" s="45">
        <v>0</v>
      </c>
      <c r="L81" s="45">
        <v>0</v>
      </c>
      <c r="M81" s="45">
        <v>0</v>
      </c>
      <c r="N81" s="45">
        <f t="shared" si="12"/>
        <v>28151151</v>
      </c>
      <c r="O81" s="46">
        <f t="shared" si="10"/>
        <v>22.72176300757657</v>
      </c>
      <c r="P81" s="9"/>
    </row>
    <row r="82" spans="1:16">
      <c r="A82" s="11"/>
      <c r="B82" s="24">
        <v>341.9</v>
      </c>
      <c r="C82" s="19" t="s">
        <v>86</v>
      </c>
      <c r="D82" s="45">
        <v>50903123</v>
      </c>
      <c r="E82" s="45">
        <v>1692391</v>
      </c>
      <c r="F82" s="45">
        <v>0</v>
      </c>
      <c r="G82" s="45">
        <v>0</v>
      </c>
      <c r="H82" s="45">
        <v>0</v>
      </c>
      <c r="I82" s="45">
        <v>0</v>
      </c>
      <c r="J82" s="45">
        <v>0</v>
      </c>
      <c r="K82" s="45">
        <v>0</v>
      </c>
      <c r="L82" s="45">
        <v>0</v>
      </c>
      <c r="M82" s="45">
        <v>863000</v>
      </c>
      <c r="N82" s="45">
        <f t="shared" si="12"/>
        <v>53458514</v>
      </c>
      <c r="O82" s="46">
        <f t="shared" si="10"/>
        <v>43.148206829810057</v>
      </c>
      <c r="P82" s="9"/>
    </row>
    <row r="83" spans="1:16">
      <c r="A83" s="11"/>
      <c r="B83" s="24">
        <v>342.1</v>
      </c>
      <c r="C83" s="19" t="s">
        <v>87</v>
      </c>
      <c r="D83" s="45">
        <v>2785347</v>
      </c>
      <c r="E83" s="45">
        <v>0</v>
      </c>
      <c r="F83" s="45">
        <v>0</v>
      </c>
      <c r="G83" s="45">
        <v>0</v>
      </c>
      <c r="H83" s="45">
        <v>0</v>
      </c>
      <c r="I83" s="45">
        <v>0</v>
      </c>
      <c r="J83" s="45">
        <v>0</v>
      </c>
      <c r="K83" s="45">
        <v>0</v>
      </c>
      <c r="L83" s="45">
        <v>0</v>
      </c>
      <c r="M83" s="45">
        <v>0</v>
      </c>
      <c r="N83" s="45">
        <f t="shared" si="12"/>
        <v>2785347</v>
      </c>
      <c r="O83" s="46">
        <f t="shared" si="10"/>
        <v>2.2481494425526112</v>
      </c>
      <c r="P83" s="9"/>
    </row>
    <row r="84" spans="1:16">
      <c r="A84" s="11"/>
      <c r="B84" s="24">
        <v>342.2</v>
      </c>
      <c r="C84" s="19" t="s">
        <v>88</v>
      </c>
      <c r="D84" s="45">
        <v>1647417</v>
      </c>
      <c r="E84" s="45">
        <v>0</v>
      </c>
      <c r="F84" s="45">
        <v>0</v>
      </c>
      <c r="G84" s="45">
        <v>0</v>
      </c>
      <c r="H84" s="45">
        <v>0</v>
      </c>
      <c r="I84" s="45">
        <v>0</v>
      </c>
      <c r="J84" s="45">
        <v>0</v>
      </c>
      <c r="K84" s="45">
        <v>0</v>
      </c>
      <c r="L84" s="45">
        <v>0</v>
      </c>
      <c r="M84" s="45">
        <v>0</v>
      </c>
      <c r="N84" s="45">
        <f t="shared" si="12"/>
        <v>1647417</v>
      </c>
      <c r="O84" s="46">
        <f t="shared" si="10"/>
        <v>1.3296869690568875</v>
      </c>
      <c r="P84" s="9"/>
    </row>
    <row r="85" spans="1:16">
      <c r="A85" s="11"/>
      <c r="B85" s="24">
        <v>342.3</v>
      </c>
      <c r="C85" s="19" t="s">
        <v>89</v>
      </c>
      <c r="D85" s="45">
        <v>39961</v>
      </c>
      <c r="E85" s="45">
        <v>0</v>
      </c>
      <c r="F85" s="45">
        <v>0</v>
      </c>
      <c r="G85" s="45">
        <v>0</v>
      </c>
      <c r="H85" s="45">
        <v>0</v>
      </c>
      <c r="I85" s="45">
        <v>0</v>
      </c>
      <c r="J85" s="45">
        <v>0</v>
      </c>
      <c r="K85" s="45">
        <v>0</v>
      </c>
      <c r="L85" s="45">
        <v>0</v>
      </c>
      <c r="M85" s="45">
        <v>0</v>
      </c>
      <c r="N85" s="45">
        <f t="shared" si="12"/>
        <v>39961</v>
      </c>
      <c r="O85" s="46">
        <f t="shared" si="10"/>
        <v>3.2253898661044708E-2</v>
      </c>
      <c r="P85" s="9"/>
    </row>
    <row r="86" spans="1:16">
      <c r="A86" s="11"/>
      <c r="B86" s="24">
        <v>342.5</v>
      </c>
      <c r="C86" s="19" t="s">
        <v>90</v>
      </c>
      <c r="D86" s="45">
        <v>358310</v>
      </c>
      <c r="E86" s="45">
        <v>0</v>
      </c>
      <c r="F86" s="45">
        <v>0</v>
      </c>
      <c r="G86" s="45">
        <v>0</v>
      </c>
      <c r="H86" s="45">
        <v>0</v>
      </c>
      <c r="I86" s="45">
        <v>0</v>
      </c>
      <c r="J86" s="45">
        <v>0</v>
      </c>
      <c r="K86" s="45">
        <v>0</v>
      </c>
      <c r="L86" s="45">
        <v>0</v>
      </c>
      <c r="M86" s="45">
        <v>0</v>
      </c>
      <c r="N86" s="45">
        <f t="shared" si="12"/>
        <v>358310</v>
      </c>
      <c r="O86" s="46">
        <f t="shared" si="10"/>
        <v>0.28920433495755682</v>
      </c>
      <c r="P86" s="9"/>
    </row>
    <row r="87" spans="1:16">
      <c r="A87" s="11"/>
      <c r="B87" s="24">
        <v>342.6</v>
      </c>
      <c r="C87" s="19" t="s">
        <v>91</v>
      </c>
      <c r="D87" s="45">
        <v>9071316</v>
      </c>
      <c r="E87" s="45">
        <v>0</v>
      </c>
      <c r="F87" s="45">
        <v>0</v>
      </c>
      <c r="G87" s="45">
        <v>0</v>
      </c>
      <c r="H87" s="45">
        <v>0</v>
      </c>
      <c r="I87" s="45">
        <v>0</v>
      </c>
      <c r="J87" s="45">
        <v>0</v>
      </c>
      <c r="K87" s="45">
        <v>0</v>
      </c>
      <c r="L87" s="45">
        <v>0</v>
      </c>
      <c r="M87" s="45">
        <v>0</v>
      </c>
      <c r="N87" s="45">
        <f t="shared" si="12"/>
        <v>9071316</v>
      </c>
      <c r="O87" s="46">
        <f t="shared" si="10"/>
        <v>7.3217714017745656</v>
      </c>
      <c r="P87" s="9"/>
    </row>
    <row r="88" spans="1:16">
      <c r="A88" s="11"/>
      <c r="B88" s="24">
        <v>342.9</v>
      </c>
      <c r="C88" s="19" t="s">
        <v>92</v>
      </c>
      <c r="D88" s="45">
        <v>38885</v>
      </c>
      <c r="E88" s="45">
        <v>727026</v>
      </c>
      <c r="F88" s="45">
        <v>0</v>
      </c>
      <c r="G88" s="45">
        <v>0</v>
      </c>
      <c r="H88" s="45">
        <v>0</v>
      </c>
      <c r="I88" s="45">
        <v>0</v>
      </c>
      <c r="J88" s="45">
        <v>0</v>
      </c>
      <c r="K88" s="45">
        <v>0</v>
      </c>
      <c r="L88" s="45">
        <v>0</v>
      </c>
      <c r="M88" s="45">
        <v>0</v>
      </c>
      <c r="N88" s="45">
        <f t="shared" si="12"/>
        <v>765911</v>
      </c>
      <c r="O88" s="46">
        <f t="shared" si="10"/>
        <v>0.61819313273890575</v>
      </c>
      <c r="P88" s="9"/>
    </row>
    <row r="89" spans="1:16">
      <c r="A89" s="11"/>
      <c r="B89" s="24">
        <v>343.4</v>
      </c>
      <c r="C89" s="19" t="s">
        <v>93</v>
      </c>
      <c r="D89" s="45">
        <v>243</v>
      </c>
      <c r="E89" s="45">
        <v>0</v>
      </c>
      <c r="F89" s="45">
        <v>0</v>
      </c>
      <c r="G89" s="45">
        <v>0</v>
      </c>
      <c r="H89" s="45">
        <v>0</v>
      </c>
      <c r="I89" s="45">
        <v>98613000</v>
      </c>
      <c r="J89" s="45">
        <v>0</v>
      </c>
      <c r="K89" s="45">
        <v>0</v>
      </c>
      <c r="L89" s="45">
        <v>0</v>
      </c>
      <c r="M89" s="45">
        <v>0</v>
      </c>
      <c r="N89" s="45">
        <f t="shared" si="12"/>
        <v>98613243</v>
      </c>
      <c r="O89" s="46">
        <f t="shared" si="10"/>
        <v>79.594142948349045</v>
      </c>
      <c r="P89" s="9"/>
    </row>
    <row r="90" spans="1:16">
      <c r="A90" s="11"/>
      <c r="B90" s="24">
        <v>343.6</v>
      </c>
      <c r="C90" s="19" t="s">
        <v>94</v>
      </c>
      <c r="D90" s="45">
        <v>0</v>
      </c>
      <c r="E90" s="45">
        <v>0</v>
      </c>
      <c r="F90" s="45">
        <v>0</v>
      </c>
      <c r="G90" s="45">
        <v>0</v>
      </c>
      <c r="H90" s="45">
        <v>0</v>
      </c>
      <c r="I90" s="45">
        <v>196512000</v>
      </c>
      <c r="J90" s="45">
        <v>0</v>
      </c>
      <c r="K90" s="45">
        <v>0</v>
      </c>
      <c r="L90" s="45">
        <v>0</v>
      </c>
      <c r="M90" s="45">
        <v>0</v>
      </c>
      <c r="N90" s="45">
        <f t="shared" si="12"/>
        <v>196512000</v>
      </c>
      <c r="O90" s="46">
        <f t="shared" si="10"/>
        <v>158.61159965164077</v>
      </c>
      <c r="P90" s="9"/>
    </row>
    <row r="91" spans="1:16">
      <c r="A91" s="11"/>
      <c r="B91" s="24">
        <v>343.7</v>
      </c>
      <c r="C91" s="19" t="s">
        <v>95</v>
      </c>
      <c r="D91" s="45">
        <v>1414334</v>
      </c>
      <c r="E91" s="45">
        <v>150853</v>
      </c>
      <c r="F91" s="45">
        <v>0</v>
      </c>
      <c r="G91" s="45">
        <v>0</v>
      </c>
      <c r="H91" s="45">
        <v>0</v>
      </c>
      <c r="I91" s="45">
        <v>0</v>
      </c>
      <c r="J91" s="45">
        <v>0</v>
      </c>
      <c r="K91" s="45">
        <v>0</v>
      </c>
      <c r="L91" s="45">
        <v>0</v>
      </c>
      <c r="M91" s="45">
        <v>0</v>
      </c>
      <c r="N91" s="45">
        <f t="shared" si="12"/>
        <v>1565187</v>
      </c>
      <c r="O91" s="46">
        <f t="shared" si="10"/>
        <v>1.2633163054874648</v>
      </c>
      <c r="P91" s="9"/>
    </row>
    <row r="92" spans="1:16">
      <c r="A92" s="11"/>
      <c r="B92" s="24">
        <v>343.9</v>
      </c>
      <c r="C92" s="19" t="s">
        <v>96</v>
      </c>
      <c r="D92" s="45">
        <v>1205291</v>
      </c>
      <c r="E92" s="45">
        <v>263510</v>
      </c>
      <c r="F92" s="45">
        <v>0</v>
      </c>
      <c r="G92" s="45">
        <v>0</v>
      </c>
      <c r="H92" s="45">
        <v>0</v>
      </c>
      <c r="I92" s="45">
        <v>0</v>
      </c>
      <c r="J92" s="45">
        <v>0</v>
      </c>
      <c r="K92" s="45">
        <v>0</v>
      </c>
      <c r="L92" s="45">
        <v>0</v>
      </c>
      <c r="M92" s="45">
        <v>0</v>
      </c>
      <c r="N92" s="45">
        <f t="shared" si="12"/>
        <v>1468801</v>
      </c>
      <c r="O92" s="46">
        <f t="shared" si="10"/>
        <v>1.1855198470318842</v>
      </c>
      <c r="P92" s="9"/>
    </row>
    <row r="93" spans="1:16">
      <c r="A93" s="11"/>
      <c r="B93" s="24">
        <v>344.5</v>
      </c>
      <c r="C93" s="19" t="s">
        <v>97</v>
      </c>
      <c r="D93" s="45">
        <v>814129</v>
      </c>
      <c r="E93" s="45">
        <v>0</v>
      </c>
      <c r="F93" s="45">
        <v>0</v>
      </c>
      <c r="G93" s="45">
        <v>0</v>
      </c>
      <c r="H93" s="45">
        <v>0</v>
      </c>
      <c r="I93" s="45">
        <v>0</v>
      </c>
      <c r="J93" s="45">
        <v>0</v>
      </c>
      <c r="K93" s="45">
        <v>0</v>
      </c>
      <c r="L93" s="45">
        <v>0</v>
      </c>
      <c r="M93" s="45">
        <v>0</v>
      </c>
      <c r="N93" s="45">
        <f t="shared" si="12"/>
        <v>814129</v>
      </c>
      <c r="O93" s="46">
        <f t="shared" si="10"/>
        <v>0.65711154032726071</v>
      </c>
      <c r="P93" s="9"/>
    </row>
    <row r="94" spans="1:16">
      <c r="A94" s="11"/>
      <c r="B94" s="24">
        <v>344.9</v>
      </c>
      <c r="C94" s="19" t="s">
        <v>98</v>
      </c>
      <c r="D94" s="45">
        <v>1033849</v>
      </c>
      <c r="E94" s="45">
        <v>2147164</v>
      </c>
      <c r="F94" s="45">
        <v>0</v>
      </c>
      <c r="G94" s="45">
        <v>0</v>
      </c>
      <c r="H94" s="45">
        <v>0</v>
      </c>
      <c r="I94" s="45">
        <v>0</v>
      </c>
      <c r="J94" s="45">
        <v>0</v>
      </c>
      <c r="K94" s="45">
        <v>0</v>
      </c>
      <c r="L94" s="45">
        <v>0</v>
      </c>
      <c r="M94" s="45">
        <v>0</v>
      </c>
      <c r="N94" s="45">
        <f t="shared" si="12"/>
        <v>3181013</v>
      </c>
      <c r="O94" s="46">
        <f t="shared" si="10"/>
        <v>2.5675050910003705</v>
      </c>
      <c r="P94" s="9"/>
    </row>
    <row r="95" spans="1:16">
      <c r="A95" s="11"/>
      <c r="B95" s="24">
        <v>345.1</v>
      </c>
      <c r="C95" s="19" t="s">
        <v>99</v>
      </c>
      <c r="D95" s="45">
        <v>0</v>
      </c>
      <c r="E95" s="45">
        <v>0</v>
      </c>
      <c r="F95" s="45">
        <v>0</v>
      </c>
      <c r="G95" s="45">
        <v>0</v>
      </c>
      <c r="H95" s="45">
        <v>0</v>
      </c>
      <c r="I95" s="45">
        <v>0</v>
      </c>
      <c r="J95" s="45">
        <v>0</v>
      </c>
      <c r="K95" s="45">
        <v>0</v>
      </c>
      <c r="L95" s="45">
        <v>0</v>
      </c>
      <c r="M95" s="45">
        <v>1051000</v>
      </c>
      <c r="N95" s="45">
        <f t="shared" si="12"/>
        <v>1051000</v>
      </c>
      <c r="O95" s="46">
        <f t="shared" si="10"/>
        <v>0.84829827814013625</v>
      </c>
      <c r="P95" s="9"/>
    </row>
    <row r="96" spans="1:16">
      <c r="A96" s="11"/>
      <c r="B96" s="24">
        <v>345.9</v>
      </c>
      <c r="C96" s="19" t="s">
        <v>100</v>
      </c>
      <c r="D96" s="45">
        <v>158201</v>
      </c>
      <c r="E96" s="45">
        <v>0</v>
      </c>
      <c r="F96" s="45">
        <v>0</v>
      </c>
      <c r="G96" s="45">
        <v>0</v>
      </c>
      <c r="H96" s="45">
        <v>0</v>
      </c>
      <c r="I96" s="45">
        <v>0</v>
      </c>
      <c r="J96" s="45">
        <v>0</v>
      </c>
      <c r="K96" s="45">
        <v>0</v>
      </c>
      <c r="L96" s="45">
        <v>0</v>
      </c>
      <c r="M96" s="45">
        <v>0</v>
      </c>
      <c r="N96" s="45">
        <f t="shared" si="12"/>
        <v>158201</v>
      </c>
      <c r="O96" s="46">
        <f t="shared" si="10"/>
        <v>0.12768947278786652</v>
      </c>
      <c r="P96" s="9"/>
    </row>
    <row r="97" spans="1:16">
      <c r="A97" s="11"/>
      <c r="B97" s="24">
        <v>346.4</v>
      </c>
      <c r="C97" s="19" t="s">
        <v>101</v>
      </c>
      <c r="D97" s="45">
        <v>397006</v>
      </c>
      <c r="E97" s="45">
        <v>340</v>
      </c>
      <c r="F97" s="45">
        <v>0</v>
      </c>
      <c r="G97" s="45">
        <v>0</v>
      </c>
      <c r="H97" s="45">
        <v>0</v>
      </c>
      <c r="I97" s="45">
        <v>0</v>
      </c>
      <c r="J97" s="45">
        <v>0</v>
      </c>
      <c r="K97" s="45">
        <v>0</v>
      </c>
      <c r="L97" s="45">
        <v>0</v>
      </c>
      <c r="M97" s="45">
        <v>0</v>
      </c>
      <c r="N97" s="45">
        <f t="shared" si="12"/>
        <v>397346</v>
      </c>
      <c r="O97" s="46">
        <f t="shared" si="10"/>
        <v>0.32071163427770749</v>
      </c>
      <c r="P97" s="9"/>
    </row>
    <row r="98" spans="1:16">
      <c r="A98" s="11"/>
      <c r="B98" s="24">
        <v>346.9</v>
      </c>
      <c r="C98" s="19" t="s">
        <v>102</v>
      </c>
      <c r="D98" s="45">
        <v>910437</v>
      </c>
      <c r="E98" s="45">
        <v>1123067</v>
      </c>
      <c r="F98" s="45">
        <v>0</v>
      </c>
      <c r="G98" s="45">
        <v>0</v>
      </c>
      <c r="H98" s="45">
        <v>0</v>
      </c>
      <c r="I98" s="45">
        <v>0</v>
      </c>
      <c r="J98" s="45">
        <v>0</v>
      </c>
      <c r="K98" s="45">
        <v>0</v>
      </c>
      <c r="L98" s="45">
        <v>0</v>
      </c>
      <c r="M98" s="45">
        <v>0</v>
      </c>
      <c r="N98" s="45">
        <f t="shared" si="12"/>
        <v>2033504</v>
      </c>
      <c r="O98" s="46">
        <f t="shared" si="10"/>
        <v>1.6413110768706753</v>
      </c>
      <c r="P98" s="9"/>
    </row>
    <row r="99" spans="1:16">
      <c r="A99" s="11"/>
      <c r="B99" s="24">
        <v>347.1</v>
      </c>
      <c r="C99" s="19" t="s">
        <v>103</v>
      </c>
      <c r="D99" s="45">
        <v>0</v>
      </c>
      <c r="E99" s="45">
        <v>51957</v>
      </c>
      <c r="F99" s="45">
        <v>0</v>
      </c>
      <c r="G99" s="45">
        <v>0</v>
      </c>
      <c r="H99" s="45">
        <v>0</v>
      </c>
      <c r="I99" s="45">
        <v>0</v>
      </c>
      <c r="J99" s="45">
        <v>0</v>
      </c>
      <c r="K99" s="45">
        <v>0</v>
      </c>
      <c r="L99" s="45">
        <v>0</v>
      </c>
      <c r="M99" s="45">
        <v>0</v>
      </c>
      <c r="N99" s="45">
        <f t="shared" si="12"/>
        <v>51957</v>
      </c>
      <c r="O99" s="46">
        <f t="shared" si="10"/>
        <v>4.1936283194412047E-2</v>
      </c>
      <c r="P99" s="9"/>
    </row>
    <row r="100" spans="1:16">
      <c r="A100" s="11"/>
      <c r="B100" s="24">
        <v>347.2</v>
      </c>
      <c r="C100" s="19" t="s">
        <v>104</v>
      </c>
      <c r="D100" s="45">
        <v>4406446</v>
      </c>
      <c r="E100" s="45">
        <v>0</v>
      </c>
      <c r="F100" s="45">
        <v>0</v>
      </c>
      <c r="G100" s="45">
        <v>0</v>
      </c>
      <c r="H100" s="45">
        <v>0</v>
      </c>
      <c r="I100" s="45">
        <v>0</v>
      </c>
      <c r="J100" s="45">
        <v>0</v>
      </c>
      <c r="K100" s="45">
        <v>0</v>
      </c>
      <c r="L100" s="45">
        <v>0</v>
      </c>
      <c r="M100" s="45">
        <v>0</v>
      </c>
      <c r="N100" s="45">
        <f t="shared" si="12"/>
        <v>4406446</v>
      </c>
      <c r="O100" s="46">
        <f t="shared" si="10"/>
        <v>3.5565942478758239</v>
      </c>
      <c r="P100" s="9"/>
    </row>
    <row r="101" spans="1:16">
      <c r="A101" s="11"/>
      <c r="B101" s="24">
        <v>347.3</v>
      </c>
      <c r="C101" s="19" t="s">
        <v>183</v>
      </c>
      <c r="D101" s="45">
        <v>434</v>
      </c>
      <c r="E101" s="45">
        <v>0</v>
      </c>
      <c r="F101" s="45">
        <v>0</v>
      </c>
      <c r="G101" s="45">
        <v>0</v>
      </c>
      <c r="H101" s="45">
        <v>0</v>
      </c>
      <c r="I101" s="45">
        <v>0</v>
      </c>
      <c r="J101" s="45">
        <v>0</v>
      </c>
      <c r="K101" s="45">
        <v>0</v>
      </c>
      <c r="L101" s="45">
        <v>0</v>
      </c>
      <c r="M101" s="45">
        <v>0</v>
      </c>
      <c r="N101" s="45">
        <f t="shared" si="12"/>
        <v>434</v>
      </c>
      <c r="O101" s="46">
        <f t="shared" ref="O101:O132" si="13">(N101/O$139)</f>
        <v>3.5029633940325322E-4</v>
      </c>
      <c r="P101" s="9"/>
    </row>
    <row r="102" spans="1:16">
      <c r="A102" s="11"/>
      <c r="B102" s="24">
        <v>347.4</v>
      </c>
      <c r="C102" s="19" t="s">
        <v>105</v>
      </c>
      <c r="D102" s="45">
        <v>19722</v>
      </c>
      <c r="E102" s="45">
        <v>0</v>
      </c>
      <c r="F102" s="45">
        <v>538115</v>
      </c>
      <c r="G102" s="45">
        <v>0</v>
      </c>
      <c r="H102" s="45">
        <v>0</v>
      </c>
      <c r="I102" s="45">
        <v>0</v>
      </c>
      <c r="J102" s="45">
        <v>0</v>
      </c>
      <c r="K102" s="45">
        <v>0</v>
      </c>
      <c r="L102" s="45">
        <v>0</v>
      </c>
      <c r="M102" s="45">
        <v>0</v>
      </c>
      <c r="N102" s="45">
        <f t="shared" si="12"/>
        <v>557837</v>
      </c>
      <c r="O102" s="46">
        <f t="shared" si="13"/>
        <v>0.45024944489330088</v>
      </c>
      <c r="P102" s="9"/>
    </row>
    <row r="103" spans="1:16">
      <c r="A103" s="11"/>
      <c r="B103" s="24">
        <v>347.5</v>
      </c>
      <c r="C103" s="19" t="s">
        <v>106</v>
      </c>
      <c r="D103" s="45">
        <v>213291</v>
      </c>
      <c r="E103" s="45">
        <v>0</v>
      </c>
      <c r="F103" s="45">
        <v>0</v>
      </c>
      <c r="G103" s="45">
        <v>0</v>
      </c>
      <c r="H103" s="45">
        <v>0</v>
      </c>
      <c r="I103" s="45">
        <v>0</v>
      </c>
      <c r="J103" s="45">
        <v>0</v>
      </c>
      <c r="K103" s="45">
        <v>0</v>
      </c>
      <c r="L103" s="45">
        <v>0</v>
      </c>
      <c r="M103" s="45">
        <v>0</v>
      </c>
      <c r="N103" s="45">
        <f t="shared" si="12"/>
        <v>213291</v>
      </c>
      <c r="O103" s="46">
        <f t="shared" si="13"/>
        <v>0.1721545081282472</v>
      </c>
      <c r="P103" s="9"/>
    </row>
    <row r="104" spans="1:16">
      <c r="A104" s="11"/>
      <c r="B104" s="24">
        <v>347.9</v>
      </c>
      <c r="C104" s="19" t="s">
        <v>107</v>
      </c>
      <c r="D104" s="45">
        <v>173810</v>
      </c>
      <c r="E104" s="45">
        <v>54494</v>
      </c>
      <c r="F104" s="45">
        <v>0</v>
      </c>
      <c r="G104" s="45">
        <v>0</v>
      </c>
      <c r="H104" s="45">
        <v>0</v>
      </c>
      <c r="I104" s="45">
        <v>0</v>
      </c>
      <c r="J104" s="45">
        <v>0</v>
      </c>
      <c r="K104" s="45">
        <v>0</v>
      </c>
      <c r="L104" s="45">
        <v>0</v>
      </c>
      <c r="M104" s="45">
        <v>0</v>
      </c>
      <c r="N104" s="45">
        <f t="shared" si="12"/>
        <v>228304</v>
      </c>
      <c r="O104" s="46">
        <f t="shared" si="13"/>
        <v>0.18427201721456296</v>
      </c>
      <c r="P104" s="9"/>
    </row>
    <row r="105" spans="1:16">
      <c r="A105" s="11"/>
      <c r="B105" s="24">
        <v>348.88</v>
      </c>
      <c r="C105" s="19" t="s">
        <v>108</v>
      </c>
      <c r="D105" s="45">
        <v>89400</v>
      </c>
      <c r="E105" s="45">
        <v>0</v>
      </c>
      <c r="F105" s="45">
        <v>0</v>
      </c>
      <c r="G105" s="45">
        <v>0</v>
      </c>
      <c r="H105" s="45">
        <v>0</v>
      </c>
      <c r="I105" s="45">
        <v>0</v>
      </c>
      <c r="J105" s="45">
        <v>0</v>
      </c>
      <c r="K105" s="45">
        <v>0</v>
      </c>
      <c r="L105" s="45">
        <v>0</v>
      </c>
      <c r="M105" s="45">
        <v>0</v>
      </c>
      <c r="N105" s="45">
        <f t="shared" si="12"/>
        <v>89400</v>
      </c>
      <c r="O105" s="46">
        <f t="shared" si="13"/>
        <v>7.2157817379379818E-2</v>
      </c>
      <c r="P105" s="9"/>
    </row>
    <row r="106" spans="1:16">
      <c r="A106" s="11"/>
      <c r="B106" s="24">
        <v>348.92099999999999</v>
      </c>
      <c r="C106" s="19" t="s">
        <v>109</v>
      </c>
      <c r="D106" s="45">
        <v>0</v>
      </c>
      <c r="E106" s="45">
        <v>418019</v>
      </c>
      <c r="F106" s="45">
        <v>0</v>
      </c>
      <c r="G106" s="45">
        <v>0</v>
      </c>
      <c r="H106" s="45">
        <v>0</v>
      </c>
      <c r="I106" s="45">
        <v>0</v>
      </c>
      <c r="J106" s="45">
        <v>0</v>
      </c>
      <c r="K106" s="45">
        <v>0</v>
      </c>
      <c r="L106" s="45">
        <v>0</v>
      </c>
      <c r="M106" s="45">
        <v>0</v>
      </c>
      <c r="N106" s="45">
        <f t="shared" si="12"/>
        <v>418019</v>
      </c>
      <c r="O106" s="46">
        <f t="shared" si="13"/>
        <v>0.33739752419587216</v>
      </c>
      <c r="P106" s="9"/>
    </row>
    <row r="107" spans="1:16">
      <c r="A107" s="11"/>
      <c r="B107" s="24">
        <v>348.92200000000003</v>
      </c>
      <c r="C107" s="19" t="s">
        <v>110</v>
      </c>
      <c r="D107" s="45">
        <v>0</v>
      </c>
      <c r="E107" s="45">
        <v>418019</v>
      </c>
      <c r="F107" s="45">
        <v>0</v>
      </c>
      <c r="G107" s="45">
        <v>0</v>
      </c>
      <c r="H107" s="45">
        <v>0</v>
      </c>
      <c r="I107" s="45">
        <v>0</v>
      </c>
      <c r="J107" s="45">
        <v>0</v>
      </c>
      <c r="K107" s="45">
        <v>0</v>
      </c>
      <c r="L107" s="45">
        <v>0</v>
      </c>
      <c r="M107" s="45">
        <v>0</v>
      </c>
      <c r="N107" s="45">
        <f t="shared" si="12"/>
        <v>418019</v>
      </c>
      <c r="O107" s="46">
        <f t="shared" si="13"/>
        <v>0.33739752419587216</v>
      </c>
      <c r="P107" s="9"/>
    </row>
    <row r="108" spans="1:16">
      <c r="A108" s="11"/>
      <c r="B108" s="24">
        <v>348.923</v>
      </c>
      <c r="C108" s="19" t="s">
        <v>111</v>
      </c>
      <c r="D108" s="45">
        <v>0</v>
      </c>
      <c r="E108" s="45">
        <v>418019</v>
      </c>
      <c r="F108" s="45">
        <v>0</v>
      </c>
      <c r="G108" s="45">
        <v>0</v>
      </c>
      <c r="H108" s="45">
        <v>0</v>
      </c>
      <c r="I108" s="45">
        <v>0</v>
      </c>
      <c r="J108" s="45">
        <v>0</v>
      </c>
      <c r="K108" s="45">
        <v>0</v>
      </c>
      <c r="L108" s="45">
        <v>0</v>
      </c>
      <c r="M108" s="45">
        <v>0</v>
      </c>
      <c r="N108" s="45">
        <f t="shared" si="12"/>
        <v>418019</v>
      </c>
      <c r="O108" s="46">
        <f t="shared" si="13"/>
        <v>0.33739752419587216</v>
      </c>
      <c r="P108" s="9"/>
    </row>
    <row r="109" spans="1:16">
      <c r="A109" s="11"/>
      <c r="B109" s="24">
        <v>348.93</v>
      </c>
      <c r="C109" s="19" t="s">
        <v>113</v>
      </c>
      <c r="D109" s="45">
        <v>69516</v>
      </c>
      <c r="E109" s="45">
        <v>2778226</v>
      </c>
      <c r="F109" s="45">
        <v>0</v>
      </c>
      <c r="G109" s="45">
        <v>0</v>
      </c>
      <c r="H109" s="45">
        <v>0</v>
      </c>
      <c r="I109" s="45">
        <v>0</v>
      </c>
      <c r="J109" s="45">
        <v>0</v>
      </c>
      <c r="K109" s="45">
        <v>0</v>
      </c>
      <c r="L109" s="45">
        <v>0</v>
      </c>
      <c r="M109" s="45">
        <v>0</v>
      </c>
      <c r="N109" s="45">
        <f t="shared" si="12"/>
        <v>2847742</v>
      </c>
      <c r="O109" s="46">
        <f t="shared" si="13"/>
        <v>2.298510594849998</v>
      </c>
      <c r="P109" s="9"/>
    </row>
    <row r="110" spans="1:16">
      <c r="A110" s="11"/>
      <c r="B110" s="24">
        <v>348.99</v>
      </c>
      <c r="C110" s="19" t="s">
        <v>174</v>
      </c>
      <c r="D110" s="45">
        <v>1525</v>
      </c>
      <c r="E110" s="45">
        <v>1053500</v>
      </c>
      <c r="F110" s="45">
        <v>0</v>
      </c>
      <c r="G110" s="45">
        <v>0</v>
      </c>
      <c r="H110" s="45">
        <v>0</v>
      </c>
      <c r="I110" s="45">
        <v>0</v>
      </c>
      <c r="J110" s="45">
        <v>0</v>
      </c>
      <c r="K110" s="45">
        <v>0</v>
      </c>
      <c r="L110" s="45">
        <v>0</v>
      </c>
      <c r="M110" s="45">
        <v>0</v>
      </c>
      <c r="N110" s="45">
        <f t="shared" si="12"/>
        <v>1055025</v>
      </c>
      <c r="O110" s="46">
        <f t="shared" si="13"/>
        <v>0.85154699419105351</v>
      </c>
      <c r="P110" s="9"/>
    </row>
    <row r="111" spans="1:16">
      <c r="A111" s="11"/>
      <c r="B111" s="24">
        <v>349</v>
      </c>
      <c r="C111" s="19" t="s">
        <v>1</v>
      </c>
      <c r="D111" s="45">
        <v>3193615</v>
      </c>
      <c r="E111" s="45">
        <v>194738</v>
      </c>
      <c r="F111" s="45">
        <v>0</v>
      </c>
      <c r="G111" s="45">
        <v>0</v>
      </c>
      <c r="H111" s="45">
        <v>0</v>
      </c>
      <c r="I111" s="45">
        <v>0</v>
      </c>
      <c r="J111" s="45">
        <v>0</v>
      </c>
      <c r="K111" s="45">
        <v>0</v>
      </c>
      <c r="L111" s="45">
        <v>0</v>
      </c>
      <c r="M111" s="45">
        <v>0</v>
      </c>
      <c r="N111" s="45">
        <f t="shared" si="12"/>
        <v>3388353</v>
      </c>
      <c r="O111" s="46">
        <f t="shared" si="13"/>
        <v>2.7348563421797958</v>
      </c>
      <c r="P111" s="9"/>
    </row>
    <row r="112" spans="1:16" ht="15.75">
      <c r="A112" s="28" t="s">
        <v>76</v>
      </c>
      <c r="B112" s="29"/>
      <c r="C112" s="30"/>
      <c r="D112" s="31">
        <f t="shared" ref="D112:M112" si="14">SUM(D113:D120)</f>
        <v>3382866</v>
      </c>
      <c r="E112" s="31">
        <f t="shared" si="14"/>
        <v>3796507</v>
      </c>
      <c r="F112" s="31">
        <f t="shared" si="14"/>
        <v>0</v>
      </c>
      <c r="G112" s="31">
        <f t="shared" si="14"/>
        <v>0</v>
      </c>
      <c r="H112" s="31">
        <f t="shared" si="14"/>
        <v>0</v>
      </c>
      <c r="I112" s="31">
        <f t="shared" si="14"/>
        <v>0</v>
      </c>
      <c r="J112" s="31">
        <f t="shared" si="14"/>
        <v>0</v>
      </c>
      <c r="K112" s="31">
        <f t="shared" si="14"/>
        <v>0</v>
      </c>
      <c r="L112" s="31">
        <f t="shared" si="14"/>
        <v>0</v>
      </c>
      <c r="M112" s="31">
        <f t="shared" si="14"/>
        <v>0</v>
      </c>
      <c r="N112" s="31">
        <f>SUM(D112:M112)</f>
        <v>7179373</v>
      </c>
      <c r="O112" s="44">
        <f t="shared" si="13"/>
        <v>5.7947190808998901</v>
      </c>
      <c r="P112" s="10"/>
    </row>
    <row r="113" spans="1:16">
      <c r="A113" s="12"/>
      <c r="B113" s="38">
        <v>351.1</v>
      </c>
      <c r="C113" s="20" t="s">
        <v>134</v>
      </c>
      <c r="D113" s="45">
        <v>301273</v>
      </c>
      <c r="E113" s="45">
        <v>22395</v>
      </c>
      <c r="F113" s="45">
        <v>0</v>
      </c>
      <c r="G113" s="45">
        <v>0</v>
      </c>
      <c r="H113" s="45">
        <v>0</v>
      </c>
      <c r="I113" s="45">
        <v>0</v>
      </c>
      <c r="J113" s="45">
        <v>0</v>
      </c>
      <c r="K113" s="45">
        <v>0</v>
      </c>
      <c r="L113" s="45">
        <v>0</v>
      </c>
      <c r="M113" s="45">
        <v>0</v>
      </c>
      <c r="N113" s="45">
        <f>SUM(D113:M113)</f>
        <v>323668</v>
      </c>
      <c r="O113" s="46">
        <f t="shared" si="13"/>
        <v>0.26124358429025846</v>
      </c>
      <c r="P113" s="9"/>
    </row>
    <row r="114" spans="1:16">
      <c r="A114" s="12"/>
      <c r="B114" s="38">
        <v>351.4</v>
      </c>
      <c r="C114" s="20" t="s">
        <v>184</v>
      </c>
      <c r="D114" s="45">
        <v>3070592</v>
      </c>
      <c r="E114" s="45">
        <v>0</v>
      </c>
      <c r="F114" s="45">
        <v>0</v>
      </c>
      <c r="G114" s="45">
        <v>0</v>
      </c>
      <c r="H114" s="45">
        <v>0</v>
      </c>
      <c r="I114" s="45">
        <v>0</v>
      </c>
      <c r="J114" s="45">
        <v>0</v>
      </c>
      <c r="K114" s="45">
        <v>0</v>
      </c>
      <c r="L114" s="45">
        <v>0</v>
      </c>
      <c r="M114" s="45">
        <v>0</v>
      </c>
      <c r="N114" s="45">
        <f t="shared" ref="N114:N120" si="15">SUM(D114:M114)</f>
        <v>3070592</v>
      </c>
      <c r="O114" s="46">
        <f t="shared" si="13"/>
        <v>2.4783805009237652</v>
      </c>
      <c r="P114" s="9"/>
    </row>
    <row r="115" spans="1:16">
      <c r="A115" s="12"/>
      <c r="B115" s="38">
        <v>351.7</v>
      </c>
      <c r="C115" s="20" t="s">
        <v>135</v>
      </c>
      <c r="D115" s="45">
        <v>0</v>
      </c>
      <c r="E115" s="45">
        <v>923445</v>
      </c>
      <c r="F115" s="45">
        <v>0</v>
      </c>
      <c r="G115" s="45">
        <v>0</v>
      </c>
      <c r="H115" s="45">
        <v>0</v>
      </c>
      <c r="I115" s="45">
        <v>0</v>
      </c>
      <c r="J115" s="45">
        <v>0</v>
      </c>
      <c r="K115" s="45">
        <v>0</v>
      </c>
      <c r="L115" s="45">
        <v>0</v>
      </c>
      <c r="M115" s="45">
        <v>0</v>
      </c>
      <c r="N115" s="45">
        <f t="shared" si="15"/>
        <v>923445</v>
      </c>
      <c r="O115" s="46">
        <f t="shared" si="13"/>
        <v>0.74534424686690592</v>
      </c>
      <c r="P115" s="9"/>
    </row>
    <row r="116" spans="1:16">
      <c r="A116" s="12"/>
      <c r="B116" s="38">
        <v>351.8</v>
      </c>
      <c r="C116" s="20" t="s">
        <v>176</v>
      </c>
      <c r="D116" s="45">
        <v>0</v>
      </c>
      <c r="E116" s="45">
        <v>1322673</v>
      </c>
      <c r="F116" s="45">
        <v>0</v>
      </c>
      <c r="G116" s="45">
        <v>0</v>
      </c>
      <c r="H116" s="45">
        <v>0</v>
      </c>
      <c r="I116" s="45">
        <v>0</v>
      </c>
      <c r="J116" s="45">
        <v>0</v>
      </c>
      <c r="K116" s="45">
        <v>0</v>
      </c>
      <c r="L116" s="45">
        <v>0</v>
      </c>
      <c r="M116" s="45">
        <v>0</v>
      </c>
      <c r="N116" s="45">
        <f t="shared" si="15"/>
        <v>1322673</v>
      </c>
      <c r="O116" s="46">
        <f t="shared" si="13"/>
        <v>1.0675749081279244</v>
      </c>
      <c r="P116" s="9"/>
    </row>
    <row r="117" spans="1:16">
      <c r="A117" s="12"/>
      <c r="B117" s="38">
        <v>352</v>
      </c>
      <c r="C117" s="20" t="s">
        <v>138</v>
      </c>
      <c r="D117" s="45">
        <v>0</v>
      </c>
      <c r="E117" s="45">
        <v>510619</v>
      </c>
      <c r="F117" s="45">
        <v>0</v>
      </c>
      <c r="G117" s="45">
        <v>0</v>
      </c>
      <c r="H117" s="45">
        <v>0</v>
      </c>
      <c r="I117" s="45">
        <v>0</v>
      </c>
      <c r="J117" s="45">
        <v>0</v>
      </c>
      <c r="K117" s="45">
        <v>0</v>
      </c>
      <c r="L117" s="45">
        <v>0</v>
      </c>
      <c r="M117" s="45">
        <v>0</v>
      </c>
      <c r="N117" s="45">
        <f t="shared" si="15"/>
        <v>510619</v>
      </c>
      <c r="O117" s="46">
        <f t="shared" si="13"/>
        <v>0.41213817172753403</v>
      </c>
      <c r="P117" s="9"/>
    </row>
    <row r="118" spans="1:16">
      <c r="A118" s="12"/>
      <c r="B118" s="38">
        <v>353</v>
      </c>
      <c r="C118" s="20" t="s">
        <v>139</v>
      </c>
      <c r="D118" s="45">
        <v>0</v>
      </c>
      <c r="E118" s="45">
        <v>161950</v>
      </c>
      <c r="F118" s="45">
        <v>0</v>
      </c>
      <c r="G118" s="45">
        <v>0</v>
      </c>
      <c r="H118" s="45">
        <v>0</v>
      </c>
      <c r="I118" s="45">
        <v>0</v>
      </c>
      <c r="J118" s="45">
        <v>0</v>
      </c>
      <c r="K118" s="45">
        <v>0</v>
      </c>
      <c r="L118" s="45">
        <v>0</v>
      </c>
      <c r="M118" s="45">
        <v>0</v>
      </c>
      <c r="N118" s="45">
        <f t="shared" si="15"/>
        <v>161950</v>
      </c>
      <c r="O118" s="46">
        <f t="shared" si="13"/>
        <v>0.13071541973814946</v>
      </c>
      <c r="P118" s="9"/>
    </row>
    <row r="119" spans="1:16">
      <c r="A119" s="12"/>
      <c r="B119" s="38">
        <v>354</v>
      </c>
      <c r="C119" s="20" t="s">
        <v>140</v>
      </c>
      <c r="D119" s="45">
        <v>0</v>
      </c>
      <c r="E119" s="45">
        <v>404896</v>
      </c>
      <c r="F119" s="45">
        <v>0</v>
      </c>
      <c r="G119" s="45">
        <v>0</v>
      </c>
      <c r="H119" s="45">
        <v>0</v>
      </c>
      <c r="I119" s="45">
        <v>0</v>
      </c>
      <c r="J119" s="45">
        <v>0</v>
      </c>
      <c r="K119" s="45">
        <v>0</v>
      </c>
      <c r="L119" s="45">
        <v>0</v>
      </c>
      <c r="M119" s="45">
        <v>0</v>
      </c>
      <c r="N119" s="45">
        <f t="shared" si="15"/>
        <v>404896</v>
      </c>
      <c r="O119" s="46">
        <f t="shared" si="13"/>
        <v>0.32680549916824797</v>
      </c>
      <c r="P119" s="9"/>
    </row>
    <row r="120" spans="1:16">
      <c r="A120" s="12"/>
      <c r="B120" s="38">
        <v>359</v>
      </c>
      <c r="C120" s="20" t="s">
        <v>141</v>
      </c>
      <c r="D120" s="45">
        <v>11001</v>
      </c>
      <c r="E120" s="45">
        <v>450529</v>
      </c>
      <c r="F120" s="45">
        <v>0</v>
      </c>
      <c r="G120" s="45">
        <v>0</v>
      </c>
      <c r="H120" s="45">
        <v>0</v>
      </c>
      <c r="I120" s="45">
        <v>0</v>
      </c>
      <c r="J120" s="45">
        <v>0</v>
      </c>
      <c r="K120" s="45">
        <v>0</v>
      </c>
      <c r="L120" s="45">
        <v>0</v>
      </c>
      <c r="M120" s="45">
        <v>0</v>
      </c>
      <c r="N120" s="45">
        <f t="shared" si="15"/>
        <v>461530</v>
      </c>
      <c r="O120" s="46">
        <f t="shared" si="13"/>
        <v>0.37251675005710477</v>
      </c>
      <c r="P120" s="9"/>
    </row>
    <row r="121" spans="1:16" ht="15.75">
      <c r="A121" s="28" t="s">
        <v>5</v>
      </c>
      <c r="B121" s="29"/>
      <c r="C121" s="30"/>
      <c r="D121" s="31">
        <f t="shared" ref="D121:M121" si="16">SUM(D122:D129)</f>
        <v>11169617</v>
      </c>
      <c r="E121" s="31">
        <f t="shared" si="16"/>
        <v>18147447</v>
      </c>
      <c r="F121" s="31">
        <f t="shared" si="16"/>
        <v>483121</v>
      </c>
      <c r="G121" s="31">
        <f t="shared" si="16"/>
        <v>766212</v>
      </c>
      <c r="H121" s="31">
        <f t="shared" si="16"/>
        <v>0</v>
      </c>
      <c r="I121" s="31">
        <f t="shared" si="16"/>
        <v>1013000</v>
      </c>
      <c r="J121" s="31">
        <f t="shared" si="16"/>
        <v>1220000</v>
      </c>
      <c r="K121" s="31">
        <f t="shared" si="16"/>
        <v>0</v>
      </c>
      <c r="L121" s="31">
        <f t="shared" si="16"/>
        <v>0</v>
      </c>
      <c r="M121" s="31">
        <f t="shared" si="16"/>
        <v>47000</v>
      </c>
      <c r="N121" s="31">
        <f>SUM(D121:M121)</f>
        <v>32846397</v>
      </c>
      <c r="O121" s="44">
        <f t="shared" si="13"/>
        <v>26.511457676695851</v>
      </c>
      <c r="P121" s="10"/>
    </row>
    <row r="122" spans="1:16">
      <c r="A122" s="11"/>
      <c r="B122" s="24">
        <v>361.1</v>
      </c>
      <c r="C122" s="19" t="s">
        <v>142</v>
      </c>
      <c r="D122" s="45">
        <v>3842024</v>
      </c>
      <c r="E122" s="45">
        <v>3930988</v>
      </c>
      <c r="F122" s="45">
        <v>216592</v>
      </c>
      <c r="G122" s="45">
        <v>352268</v>
      </c>
      <c r="H122" s="45">
        <v>0</v>
      </c>
      <c r="I122" s="45">
        <v>0</v>
      </c>
      <c r="J122" s="45">
        <v>0</v>
      </c>
      <c r="K122" s="45">
        <v>0</v>
      </c>
      <c r="L122" s="45">
        <v>0</v>
      </c>
      <c r="M122" s="45">
        <v>47000</v>
      </c>
      <c r="N122" s="45">
        <f>SUM(D122:M122)</f>
        <v>8388872</v>
      </c>
      <c r="O122" s="46">
        <f t="shared" si="13"/>
        <v>6.7709473578858246</v>
      </c>
      <c r="P122" s="9"/>
    </row>
    <row r="123" spans="1:16">
      <c r="A123" s="11"/>
      <c r="B123" s="24">
        <v>361.3</v>
      </c>
      <c r="C123" s="19" t="s">
        <v>143</v>
      </c>
      <c r="D123" s="45">
        <v>335261</v>
      </c>
      <c r="E123" s="45">
        <v>-96425</v>
      </c>
      <c r="F123" s="45">
        <v>22809</v>
      </c>
      <c r="G123" s="45">
        <v>-27569</v>
      </c>
      <c r="H123" s="45">
        <v>0</v>
      </c>
      <c r="I123" s="45">
        <v>0</v>
      </c>
      <c r="J123" s="45">
        <v>0</v>
      </c>
      <c r="K123" s="45">
        <v>0</v>
      </c>
      <c r="L123" s="45">
        <v>0</v>
      </c>
      <c r="M123" s="45">
        <v>0</v>
      </c>
      <c r="N123" s="45">
        <f t="shared" ref="N123:N129" si="17">SUM(D123:M123)</f>
        <v>234076</v>
      </c>
      <c r="O123" s="46">
        <f t="shared" si="13"/>
        <v>0.18893079710174171</v>
      </c>
      <c r="P123" s="9"/>
    </row>
    <row r="124" spans="1:16">
      <c r="A124" s="11"/>
      <c r="B124" s="24">
        <v>362</v>
      </c>
      <c r="C124" s="19" t="s">
        <v>145</v>
      </c>
      <c r="D124" s="45">
        <v>1281578</v>
      </c>
      <c r="E124" s="45">
        <v>289785</v>
      </c>
      <c r="F124" s="45">
        <v>243720</v>
      </c>
      <c r="G124" s="45">
        <v>229204</v>
      </c>
      <c r="H124" s="45">
        <v>0</v>
      </c>
      <c r="I124" s="45">
        <v>0</v>
      </c>
      <c r="J124" s="45">
        <v>0</v>
      </c>
      <c r="K124" s="45">
        <v>0</v>
      </c>
      <c r="L124" s="45">
        <v>0</v>
      </c>
      <c r="M124" s="45">
        <v>0</v>
      </c>
      <c r="N124" s="45">
        <f t="shared" si="17"/>
        <v>2044287</v>
      </c>
      <c r="O124" s="46">
        <f t="shared" si="13"/>
        <v>1.6500144073494432</v>
      </c>
      <c r="P124" s="9"/>
    </row>
    <row r="125" spans="1:16">
      <c r="A125" s="11"/>
      <c r="B125" s="24">
        <v>364</v>
      </c>
      <c r="C125" s="19" t="s">
        <v>146</v>
      </c>
      <c r="D125" s="45">
        <v>1774417</v>
      </c>
      <c r="E125" s="45">
        <v>34492</v>
      </c>
      <c r="F125" s="45">
        <v>0</v>
      </c>
      <c r="G125" s="45">
        <v>49139</v>
      </c>
      <c r="H125" s="45">
        <v>0</v>
      </c>
      <c r="I125" s="45">
        <v>1013000</v>
      </c>
      <c r="J125" s="45">
        <v>1220000</v>
      </c>
      <c r="K125" s="45">
        <v>0</v>
      </c>
      <c r="L125" s="45">
        <v>0</v>
      </c>
      <c r="M125" s="45">
        <v>0</v>
      </c>
      <c r="N125" s="45">
        <f t="shared" si="17"/>
        <v>4091048</v>
      </c>
      <c r="O125" s="46">
        <f t="shared" si="13"/>
        <v>3.3020256652603694</v>
      </c>
      <c r="P125" s="9"/>
    </row>
    <row r="126" spans="1:16">
      <c r="A126" s="11"/>
      <c r="B126" s="24">
        <v>365</v>
      </c>
      <c r="C126" s="19" t="s">
        <v>147</v>
      </c>
      <c r="D126" s="45">
        <v>54383</v>
      </c>
      <c r="E126" s="45">
        <v>26590</v>
      </c>
      <c r="F126" s="45">
        <v>0</v>
      </c>
      <c r="G126" s="45">
        <v>0</v>
      </c>
      <c r="H126" s="45">
        <v>0</v>
      </c>
      <c r="I126" s="45">
        <v>0</v>
      </c>
      <c r="J126" s="45">
        <v>0</v>
      </c>
      <c r="K126" s="45">
        <v>0</v>
      </c>
      <c r="L126" s="45">
        <v>0</v>
      </c>
      <c r="M126" s="45">
        <v>0</v>
      </c>
      <c r="N126" s="45">
        <f t="shared" si="17"/>
        <v>80973</v>
      </c>
      <c r="O126" s="46">
        <f t="shared" si="13"/>
        <v>6.535609560022955E-2</v>
      </c>
      <c r="P126" s="9"/>
    </row>
    <row r="127" spans="1:16">
      <c r="A127" s="11"/>
      <c r="B127" s="24">
        <v>366</v>
      </c>
      <c r="C127" s="19" t="s">
        <v>148</v>
      </c>
      <c r="D127" s="45">
        <v>280189</v>
      </c>
      <c r="E127" s="45">
        <v>1075607</v>
      </c>
      <c r="F127" s="45">
        <v>0</v>
      </c>
      <c r="G127" s="45">
        <v>0</v>
      </c>
      <c r="H127" s="45">
        <v>0</v>
      </c>
      <c r="I127" s="45">
        <v>0</v>
      </c>
      <c r="J127" s="45">
        <v>0</v>
      </c>
      <c r="K127" s="45">
        <v>0</v>
      </c>
      <c r="L127" s="45">
        <v>0</v>
      </c>
      <c r="M127" s="45">
        <v>0</v>
      </c>
      <c r="N127" s="45">
        <f t="shared" si="17"/>
        <v>1355796</v>
      </c>
      <c r="O127" s="46">
        <f t="shared" si="13"/>
        <v>1.0943096216073114</v>
      </c>
      <c r="P127" s="9"/>
    </row>
    <row r="128" spans="1:16">
      <c r="A128" s="11"/>
      <c r="B128" s="24">
        <v>369.3</v>
      </c>
      <c r="C128" s="19" t="s">
        <v>150</v>
      </c>
      <c r="D128" s="45">
        <v>181678</v>
      </c>
      <c r="E128" s="45">
        <v>1071458</v>
      </c>
      <c r="F128" s="45">
        <v>0</v>
      </c>
      <c r="G128" s="45">
        <v>0</v>
      </c>
      <c r="H128" s="45">
        <v>0</v>
      </c>
      <c r="I128" s="45">
        <v>0</v>
      </c>
      <c r="J128" s="45">
        <v>0</v>
      </c>
      <c r="K128" s="45">
        <v>0</v>
      </c>
      <c r="L128" s="45">
        <v>0</v>
      </c>
      <c r="M128" s="45">
        <v>0</v>
      </c>
      <c r="N128" s="45">
        <f t="shared" si="17"/>
        <v>1253136</v>
      </c>
      <c r="O128" s="46">
        <f t="shared" si="13"/>
        <v>1.0114492017844128</v>
      </c>
      <c r="P128" s="9"/>
    </row>
    <row r="129" spans="1:119">
      <c r="A129" s="11"/>
      <c r="B129" s="24">
        <v>369.9</v>
      </c>
      <c r="C129" s="19" t="s">
        <v>151</v>
      </c>
      <c r="D129" s="45">
        <v>3420087</v>
      </c>
      <c r="E129" s="45">
        <v>11814952</v>
      </c>
      <c r="F129" s="45">
        <v>0</v>
      </c>
      <c r="G129" s="45">
        <v>163170</v>
      </c>
      <c r="H129" s="45">
        <v>0</v>
      </c>
      <c r="I129" s="45">
        <v>0</v>
      </c>
      <c r="J129" s="45">
        <v>0</v>
      </c>
      <c r="K129" s="45">
        <v>0</v>
      </c>
      <c r="L129" s="45">
        <v>0</v>
      </c>
      <c r="M129" s="45">
        <v>0</v>
      </c>
      <c r="N129" s="45">
        <f t="shared" si="17"/>
        <v>15398209</v>
      </c>
      <c r="O129" s="46">
        <f t="shared" si="13"/>
        <v>12.428424530106518</v>
      </c>
      <c r="P129" s="9"/>
    </row>
    <row r="130" spans="1:119" ht="15.75">
      <c r="A130" s="28" t="s">
        <v>77</v>
      </c>
      <c r="B130" s="29"/>
      <c r="C130" s="30"/>
      <c r="D130" s="31">
        <f t="shared" ref="D130:M130" si="18">SUM(D131:D136)</f>
        <v>591597972</v>
      </c>
      <c r="E130" s="31">
        <f t="shared" si="18"/>
        <v>349245895</v>
      </c>
      <c r="F130" s="31">
        <f t="shared" si="18"/>
        <v>46323688</v>
      </c>
      <c r="G130" s="31">
        <f t="shared" si="18"/>
        <v>19271567</v>
      </c>
      <c r="H130" s="31">
        <f t="shared" si="18"/>
        <v>0</v>
      </c>
      <c r="I130" s="31">
        <f t="shared" si="18"/>
        <v>24213000</v>
      </c>
      <c r="J130" s="31">
        <f t="shared" si="18"/>
        <v>2467000</v>
      </c>
      <c r="K130" s="31">
        <f t="shared" si="18"/>
        <v>0</v>
      </c>
      <c r="L130" s="31">
        <f t="shared" si="18"/>
        <v>0</v>
      </c>
      <c r="M130" s="31">
        <f t="shared" si="18"/>
        <v>6637000</v>
      </c>
      <c r="N130" s="31">
        <f t="shared" ref="N130:N137" si="19">SUM(D130:M130)</f>
        <v>1039756122</v>
      </c>
      <c r="O130" s="44">
        <f t="shared" si="13"/>
        <v>839.2229571629548</v>
      </c>
      <c r="P130" s="9"/>
    </row>
    <row r="131" spans="1:119">
      <c r="A131" s="11"/>
      <c r="B131" s="24">
        <v>381</v>
      </c>
      <c r="C131" s="19" t="s">
        <v>152</v>
      </c>
      <c r="D131" s="45">
        <v>591597972</v>
      </c>
      <c r="E131" s="45">
        <v>94619085</v>
      </c>
      <c r="F131" s="45">
        <v>46323688</v>
      </c>
      <c r="G131" s="45">
        <v>11271567</v>
      </c>
      <c r="H131" s="45">
        <v>0</v>
      </c>
      <c r="I131" s="45">
        <v>190000</v>
      </c>
      <c r="J131" s="45">
        <v>0</v>
      </c>
      <c r="K131" s="45">
        <v>0</v>
      </c>
      <c r="L131" s="45">
        <v>0</v>
      </c>
      <c r="M131" s="45">
        <v>96000</v>
      </c>
      <c r="N131" s="45">
        <f t="shared" si="19"/>
        <v>744098312</v>
      </c>
      <c r="O131" s="46">
        <f t="shared" si="13"/>
        <v>600.58736140493045</v>
      </c>
      <c r="P131" s="9"/>
    </row>
    <row r="132" spans="1:119">
      <c r="A132" s="11"/>
      <c r="B132" s="24">
        <v>384</v>
      </c>
      <c r="C132" s="19" t="s">
        <v>153</v>
      </c>
      <c r="D132" s="45">
        <v>0</v>
      </c>
      <c r="E132" s="45">
        <v>253330000</v>
      </c>
      <c r="F132" s="45">
        <v>0</v>
      </c>
      <c r="G132" s="45">
        <v>8000000</v>
      </c>
      <c r="H132" s="45">
        <v>0</v>
      </c>
      <c r="I132" s="45">
        <v>0</v>
      </c>
      <c r="J132" s="45">
        <v>0</v>
      </c>
      <c r="K132" s="45">
        <v>0</v>
      </c>
      <c r="L132" s="45">
        <v>0</v>
      </c>
      <c r="M132" s="45">
        <v>0</v>
      </c>
      <c r="N132" s="45">
        <f t="shared" si="19"/>
        <v>261330000</v>
      </c>
      <c r="O132" s="46">
        <f t="shared" si="13"/>
        <v>210.92843865495891</v>
      </c>
      <c r="P132" s="9"/>
    </row>
    <row r="133" spans="1:119">
      <c r="A133" s="11"/>
      <c r="B133" s="24">
        <v>389.1</v>
      </c>
      <c r="C133" s="19" t="s">
        <v>154</v>
      </c>
      <c r="D133" s="45">
        <v>0</v>
      </c>
      <c r="E133" s="45">
        <v>0</v>
      </c>
      <c r="F133" s="45">
        <v>0</v>
      </c>
      <c r="G133" s="45">
        <v>0</v>
      </c>
      <c r="H133" s="45">
        <v>0</v>
      </c>
      <c r="I133" s="45">
        <v>10542000</v>
      </c>
      <c r="J133" s="45">
        <v>2039000</v>
      </c>
      <c r="K133" s="45">
        <v>0</v>
      </c>
      <c r="L133" s="45">
        <v>0</v>
      </c>
      <c r="M133" s="45">
        <v>0</v>
      </c>
      <c r="N133" s="45">
        <f t="shared" si="19"/>
        <v>12581000</v>
      </c>
      <c r="O133" s="46">
        <f>(N133/O$139)</f>
        <v>10.154558170581403</v>
      </c>
      <c r="P133" s="9"/>
    </row>
    <row r="134" spans="1:119">
      <c r="A134" s="11"/>
      <c r="B134" s="24">
        <v>389.2</v>
      </c>
      <c r="C134" s="19" t="s">
        <v>155</v>
      </c>
      <c r="D134" s="45">
        <v>0</v>
      </c>
      <c r="E134" s="45">
        <v>-16682</v>
      </c>
      <c r="F134" s="45">
        <v>0</v>
      </c>
      <c r="G134" s="45">
        <v>0</v>
      </c>
      <c r="H134" s="45">
        <v>0</v>
      </c>
      <c r="I134" s="45">
        <v>0</v>
      </c>
      <c r="J134" s="45">
        <v>0</v>
      </c>
      <c r="K134" s="45">
        <v>0</v>
      </c>
      <c r="L134" s="45">
        <v>0</v>
      </c>
      <c r="M134" s="45">
        <v>0</v>
      </c>
      <c r="N134" s="45">
        <f t="shared" si="19"/>
        <v>-16682</v>
      </c>
      <c r="O134" s="46">
        <f>(N134/O$139)</f>
        <v>-1.346461643761537E-2</v>
      </c>
      <c r="P134" s="9"/>
    </row>
    <row r="135" spans="1:119">
      <c r="A135" s="11"/>
      <c r="B135" s="24">
        <v>389.4</v>
      </c>
      <c r="C135" s="19" t="s">
        <v>156</v>
      </c>
      <c r="D135" s="45">
        <v>0</v>
      </c>
      <c r="E135" s="45">
        <v>0</v>
      </c>
      <c r="F135" s="45">
        <v>0</v>
      </c>
      <c r="G135" s="45">
        <v>0</v>
      </c>
      <c r="H135" s="45">
        <v>0</v>
      </c>
      <c r="I135" s="45">
        <v>9770000</v>
      </c>
      <c r="J135" s="45">
        <v>334000</v>
      </c>
      <c r="K135" s="45">
        <v>0</v>
      </c>
      <c r="L135" s="45">
        <v>0</v>
      </c>
      <c r="M135" s="45">
        <v>6541000</v>
      </c>
      <c r="N135" s="45">
        <f t="shared" si="19"/>
        <v>16645000</v>
      </c>
      <c r="O135" s="46">
        <f>(N135/O$139)</f>
        <v>13.434752463979608</v>
      </c>
      <c r="P135" s="9"/>
    </row>
    <row r="136" spans="1:119" ht="15.75" thickBot="1">
      <c r="A136" s="11"/>
      <c r="B136" s="24">
        <v>389.9</v>
      </c>
      <c r="C136" s="19" t="s">
        <v>157</v>
      </c>
      <c r="D136" s="45">
        <v>0</v>
      </c>
      <c r="E136" s="45">
        <v>1313492</v>
      </c>
      <c r="F136" s="45">
        <v>0</v>
      </c>
      <c r="G136" s="45">
        <v>0</v>
      </c>
      <c r="H136" s="45">
        <v>0</v>
      </c>
      <c r="I136" s="45">
        <v>3711000</v>
      </c>
      <c r="J136" s="45">
        <v>94000</v>
      </c>
      <c r="K136" s="45">
        <v>0</v>
      </c>
      <c r="L136" s="45">
        <v>0</v>
      </c>
      <c r="M136" s="45">
        <v>0</v>
      </c>
      <c r="N136" s="45">
        <f t="shared" si="19"/>
        <v>5118492</v>
      </c>
      <c r="O136" s="46">
        <f>(N136/O$139)</f>
        <v>4.1313110849420198</v>
      </c>
      <c r="P136" s="9"/>
    </row>
    <row r="137" spans="1:119" ht="16.5" thickBot="1">
      <c r="A137" s="13" t="s">
        <v>114</v>
      </c>
      <c r="B137" s="22"/>
      <c r="C137" s="21"/>
      <c r="D137" s="14">
        <f t="shared" ref="D137:M137" si="20">SUM(D5,D13,D27,D73,D112,D121,D130)</f>
        <v>1285099380</v>
      </c>
      <c r="E137" s="14">
        <f t="shared" si="20"/>
        <v>970163656</v>
      </c>
      <c r="F137" s="14">
        <f t="shared" si="20"/>
        <v>52097187</v>
      </c>
      <c r="G137" s="14">
        <f t="shared" si="20"/>
        <v>21041553</v>
      </c>
      <c r="H137" s="14">
        <f t="shared" si="20"/>
        <v>0</v>
      </c>
      <c r="I137" s="14">
        <f t="shared" si="20"/>
        <v>320351000</v>
      </c>
      <c r="J137" s="14">
        <f t="shared" si="20"/>
        <v>128976000</v>
      </c>
      <c r="K137" s="14">
        <f t="shared" si="20"/>
        <v>0</v>
      </c>
      <c r="L137" s="14">
        <f t="shared" si="20"/>
        <v>0</v>
      </c>
      <c r="M137" s="14">
        <f t="shared" si="20"/>
        <v>10682000</v>
      </c>
      <c r="N137" s="14">
        <f t="shared" si="19"/>
        <v>2788410776</v>
      </c>
      <c r="O137" s="37">
        <f>(N137/O$139)</f>
        <v>2250.6223216253106</v>
      </c>
      <c r="P137" s="6"/>
      <c r="Q137" s="2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</row>
    <row r="138" spans="1:119">
      <c r="A138" s="15"/>
      <c r="B138" s="17"/>
      <c r="C138" s="17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8"/>
    </row>
    <row r="139" spans="1:119">
      <c r="A139" s="39"/>
      <c r="B139" s="40"/>
      <c r="C139" s="40"/>
      <c r="D139" s="41"/>
      <c r="E139" s="41"/>
      <c r="F139" s="41"/>
      <c r="G139" s="41"/>
      <c r="H139" s="41"/>
      <c r="I139" s="41"/>
      <c r="J139" s="41"/>
      <c r="K139" s="41"/>
      <c r="L139" s="48" t="s">
        <v>185</v>
      </c>
      <c r="M139" s="48"/>
      <c r="N139" s="48"/>
      <c r="O139" s="42">
        <v>1238951</v>
      </c>
    </row>
    <row r="140" spans="1:119">
      <c r="A140" s="49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1"/>
    </row>
    <row r="141" spans="1:119" ht="15.75" customHeight="1" thickBot="1">
      <c r="A141" s="52" t="s">
        <v>178</v>
      </c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4"/>
    </row>
  </sheetData>
  <mergeCells count="10">
    <mergeCell ref="L139:N139"/>
    <mergeCell ref="A140:O140"/>
    <mergeCell ref="A141:O141"/>
    <mergeCell ref="A1:O1"/>
    <mergeCell ref="A2:O2"/>
    <mergeCell ref="A3:C4"/>
    <mergeCell ref="D3:H3"/>
    <mergeCell ref="I3:J3"/>
    <mergeCell ref="K3:L3"/>
    <mergeCell ref="O3:O4"/>
  </mergeCells>
  <printOptions horizontalCentered="1"/>
  <pageMargins left="0.5" right="0.5" top="0.5" bottom="0.5" header="0.3" footer="0.3"/>
  <pageSetup paperSize="5" scale="55" fitToHeight="0" orientation="landscape" r:id="rId1"/>
  <headerFooter>
    <oddFooter>&amp;L&amp;14Office of Economic and Demographic Research&amp;R&amp;14Page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EC141"/>
  <sheetViews>
    <sheetView workbookViewId="0">
      <selection sqref="A1:O1"/>
    </sheetView>
  </sheetViews>
  <sheetFormatPr defaultColWidth="9.77734375" defaultRowHeight="15"/>
  <cols>
    <col min="1" max="1" width="1.77734375" style="3" customWidth="1"/>
    <col min="2" max="2" width="6.77734375" style="3" customWidth="1"/>
    <col min="3" max="3" width="60.77734375" style="3" customWidth="1"/>
    <col min="4" max="5" width="16.77734375" style="4" customWidth="1"/>
    <col min="6" max="7" width="15.77734375" style="4" customWidth="1"/>
    <col min="8" max="8" width="13.77734375" style="4" customWidth="1"/>
    <col min="9" max="10" width="15.77734375" style="4" customWidth="1"/>
    <col min="11" max="13" width="13.77734375" style="4" customWidth="1"/>
    <col min="14" max="14" width="16.77734375" style="4" customWidth="1"/>
    <col min="15" max="15" width="13.77734375" style="3" customWidth="1"/>
    <col min="16" max="16" width="9.77734375" style="3" customWidth="1"/>
    <col min="17" max="17" width="9.77734375" style="3"/>
  </cols>
  <sheetData>
    <row r="1" spans="1:133" ht="27.75">
      <c r="A1" s="55" t="s">
        <v>165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7"/>
      <c r="P1" s="7"/>
      <c r="Q1"/>
    </row>
    <row r="2" spans="1:133" ht="24" thickBot="1">
      <c r="A2" s="58" t="s">
        <v>166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60"/>
      <c r="P2" s="7"/>
      <c r="Q2"/>
    </row>
    <row r="3" spans="1:133" ht="18" customHeight="1">
      <c r="A3" s="61" t="s">
        <v>158</v>
      </c>
      <c r="B3" s="62"/>
      <c r="C3" s="63"/>
      <c r="D3" s="67" t="s">
        <v>71</v>
      </c>
      <c r="E3" s="68"/>
      <c r="F3" s="68"/>
      <c r="G3" s="68"/>
      <c r="H3" s="69"/>
      <c r="I3" s="67" t="s">
        <v>72</v>
      </c>
      <c r="J3" s="69"/>
      <c r="K3" s="67" t="s">
        <v>74</v>
      </c>
      <c r="L3" s="69"/>
      <c r="M3" s="35"/>
      <c r="N3" s="36"/>
      <c r="O3" s="70" t="s">
        <v>163</v>
      </c>
      <c r="P3" s="5"/>
      <c r="Q3"/>
    </row>
    <row r="4" spans="1:133" ht="32.25" customHeight="1" thickBot="1">
      <c r="A4" s="64"/>
      <c r="B4" s="65"/>
      <c r="C4" s="66"/>
      <c r="D4" s="33" t="s">
        <v>6</v>
      </c>
      <c r="E4" s="33" t="s">
        <v>159</v>
      </c>
      <c r="F4" s="33" t="s">
        <v>160</v>
      </c>
      <c r="G4" s="33" t="s">
        <v>161</v>
      </c>
      <c r="H4" s="33" t="s">
        <v>7</v>
      </c>
      <c r="I4" s="33" t="s">
        <v>8</v>
      </c>
      <c r="J4" s="34" t="s">
        <v>162</v>
      </c>
      <c r="K4" s="34" t="s">
        <v>9</v>
      </c>
      <c r="L4" s="34" t="s">
        <v>10</v>
      </c>
      <c r="M4" s="34" t="s">
        <v>11</v>
      </c>
      <c r="N4" s="34" t="s">
        <v>73</v>
      </c>
      <c r="O4" s="71"/>
      <c r="P4" s="8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</row>
    <row r="5" spans="1:133" ht="15.75">
      <c r="A5" s="23" t="s">
        <v>2</v>
      </c>
      <c r="B5" s="25"/>
      <c r="C5" s="25"/>
      <c r="D5" s="26">
        <f t="shared" ref="D5:M5" si="0">SUM(D6:D12)</f>
        <v>614685556</v>
      </c>
      <c r="E5" s="26">
        <f t="shared" si="0"/>
        <v>263065203</v>
      </c>
      <c r="F5" s="26">
        <f t="shared" si="0"/>
        <v>5346267</v>
      </c>
      <c r="G5" s="26">
        <f t="shared" si="0"/>
        <v>0</v>
      </c>
      <c r="H5" s="26">
        <f t="shared" si="0"/>
        <v>0</v>
      </c>
      <c r="I5" s="26">
        <f t="shared" si="0"/>
        <v>0</v>
      </c>
      <c r="J5" s="26">
        <f t="shared" si="0"/>
        <v>0</v>
      </c>
      <c r="K5" s="26">
        <f t="shared" si="0"/>
        <v>0</v>
      </c>
      <c r="L5" s="26">
        <f t="shared" si="0"/>
        <v>0</v>
      </c>
      <c r="M5" s="26">
        <f t="shared" si="0"/>
        <v>0</v>
      </c>
      <c r="N5" s="27">
        <f>SUM(D5:M5)</f>
        <v>883097026</v>
      </c>
      <c r="O5" s="32">
        <f t="shared" ref="O5:O36" si="1">(N5/O$139)</f>
        <v>718.41713891505708</v>
      </c>
      <c r="P5" s="6"/>
    </row>
    <row r="6" spans="1:133">
      <c r="A6" s="11"/>
      <c r="B6" s="24">
        <v>311</v>
      </c>
      <c r="C6" s="19" t="s">
        <v>3</v>
      </c>
      <c r="D6" s="45">
        <v>588287098</v>
      </c>
      <c r="E6" s="45">
        <v>37467655</v>
      </c>
      <c r="F6" s="45">
        <v>5346267</v>
      </c>
      <c r="G6" s="45">
        <v>0</v>
      </c>
      <c r="H6" s="45">
        <v>0</v>
      </c>
      <c r="I6" s="45">
        <v>0</v>
      </c>
      <c r="J6" s="45">
        <v>0</v>
      </c>
      <c r="K6" s="45">
        <v>0</v>
      </c>
      <c r="L6" s="45">
        <v>0</v>
      </c>
      <c r="M6" s="45">
        <v>0</v>
      </c>
      <c r="N6" s="45">
        <f>SUM(D6:M6)</f>
        <v>631101020</v>
      </c>
      <c r="O6" s="46">
        <f t="shared" si="1"/>
        <v>513.41333489529188</v>
      </c>
      <c r="P6" s="9"/>
    </row>
    <row r="7" spans="1:133">
      <c r="A7" s="11"/>
      <c r="B7" s="24">
        <v>312.10000000000002</v>
      </c>
      <c r="C7" s="19" t="s">
        <v>12</v>
      </c>
      <c r="D7" s="45">
        <v>0</v>
      </c>
      <c r="E7" s="45">
        <v>17537996</v>
      </c>
      <c r="F7" s="45">
        <v>0</v>
      </c>
      <c r="G7" s="45">
        <v>0</v>
      </c>
      <c r="H7" s="45">
        <v>0</v>
      </c>
      <c r="I7" s="45">
        <v>0</v>
      </c>
      <c r="J7" s="45">
        <v>0</v>
      </c>
      <c r="K7" s="45">
        <v>0</v>
      </c>
      <c r="L7" s="45">
        <v>0</v>
      </c>
      <c r="M7" s="45">
        <v>0</v>
      </c>
      <c r="N7" s="45">
        <f t="shared" ref="N7:N12" si="2">SUM(D7:M7)</f>
        <v>17537996</v>
      </c>
      <c r="O7" s="46">
        <f t="shared" si="1"/>
        <v>14.267511425889136</v>
      </c>
      <c r="P7" s="9"/>
    </row>
    <row r="8" spans="1:133">
      <c r="A8" s="11"/>
      <c r="B8" s="24">
        <v>312.3</v>
      </c>
      <c r="C8" s="19" t="s">
        <v>13</v>
      </c>
      <c r="D8" s="45">
        <v>0</v>
      </c>
      <c r="E8" s="45">
        <v>6680499</v>
      </c>
      <c r="F8" s="45">
        <v>0</v>
      </c>
      <c r="G8" s="45">
        <v>0</v>
      </c>
      <c r="H8" s="45">
        <v>0</v>
      </c>
      <c r="I8" s="45">
        <v>0</v>
      </c>
      <c r="J8" s="45">
        <v>0</v>
      </c>
      <c r="K8" s="45">
        <v>0</v>
      </c>
      <c r="L8" s="45">
        <v>0</v>
      </c>
      <c r="M8" s="45">
        <v>0</v>
      </c>
      <c r="N8" s="45">
        <f t="shared" si="2"/>
        <v>6680499</v>
      </c>
      <c r="O8" s="46">
        <f t="shared" si="1"/>
        <v>5.4347198969107389</v>
      </c>
      <c r="P8" s="9"/>
    </row>
    <row r="9" spans="1:133">
      <c r="A9" s="11"/>
      <c r="B9" s="24">
        <v>312.41000000000003</v>
      </c>
      <c r="C9" s="19" t="s">
        <v>14</v>
      </c>
      <c r="D9" s="45">
        <v>0</v>
      </c>
      <c r="E9" s="45">
        <v>24830105</v>
      </c>
      <c r="F9" s="45">
        <v>0</v>
      </c>
      <c r="G9" s="45">
        <v>0</v>
      </c>
      <c r="H9" s="45">
        <v>0</v>
      </c>
      <c r="I9" s="45">
        <v>0</v>
      </c>
      <c r="J9" s="45">
        <v>0</v>
      </c>
      <c r="K9" s="45">
        <v>0</v>
      </c>
      <c r="L9" s="45">
        <v>0</v>
      </c>
      <c r="M9" s="45">
        <v>0</v>
      </c>
      <c r="N9" s="45">
        <f t="shared" si="2"/>
        <v>24830105</v>
      </c>
      <c r="O9" s="46">
        <f t="shared" si="1"/>
        <v>20.199788322082352</v>
      </c>
      <c r="P9" s="9"/>
    </row>
    <row r="10" spans="1:133">
      <c r="A10" s="11"/>
      <c r="B10" s="24">
        <v>312.60000000000002</v>
      </c>
      <c r="C10" s="19" t="s">
        <v>15</v>
      </c>
      <c r="D10" s="45">
        <v>0</v>
      </c>
      <c r="E10" s="45">
        <v>176147617</v>
      </c>
      <c r="F10" s="45">
        <v>0</v>
      </c>
      <c r="G10" s="45">
        <v>0</v>
      </c>
      <c r="H10" s="45">
        <v>0</v>
      </c>
      <c r="I10" s="45">
        <v>0</v>
      </c>
      <c r="J10" s="45">
        <v>0</v>
      </c>
      <c r="K10" s="45">
        <v>0</v>
      </c>
      <c r="L10" s="45">
        <v>0</v>
      </c>
      <c r="M10" s="45">
        <v>0</v>
      </c>
      <c r="N10" s="45">
        <f t="shared" si="2"/>
        <v>176147617</v>
      </c>
      <c r="O10" s="46">
        <f t="shared" si="1"/>
        <v>143.2996186217994</v>
      </c>
      <c r="P10" s="9"/>
    </row>
    <row r="11" spans="1:133">
      <c r="A11" s="11"/>
      <c r="B11" s="24">
        <v>315</v>
      </c>
      <c r="C11" s="19" t="s">
        <v>16</v>
      </c>
      <c r="D11" s="45">
        <v>24871132</v>
      </c>
      <c r="E11" s="45">
        <v>0</v>
      </c>
      <c r="F11" s="45">
        <v>0</v>
      </c>
      <c r="G11" s="45">
        <v>0</v>
      </c>
      <c r="H11" s="45">
        <v>0</v>
      </c>
      <c r="I11" s="45">
        <v>0</v>
      </c>
      <c r="J11" s="45">
        <v>0</v>
      </c>
      <c r="K11" s="45">
        <v>0</v>
      </c>
      <c r="L11" s="45">
        <v>0</v>
      </c>
      <c r="M11" s="45">
        <v>0</v>
      </c>
      <c r="N11" s="45">
        <f t="shared" si="2"/>
        <v>24871132</v>
      </c>
      <c r="O11" s="46">
        <f t="shared" si="1"/>
        <v>20.233164609274453</v>
      </c>
      <c r="P11" s="9"/>
    </row>
    <row r="12" spans="1:133">
      <c r="A12" s="11"/>
      <c r="B12" s="24">
        <v>316</v>
      </c>
      <c r="C12" s="19" t="s">
        <v>17</v>
      </c>
      <c r="D12" s="45">
        <v>1527326</v>
      </c>
      <c r="E12" s="45">
        <v>401331</v>
      </c>
      <c r="F12" s="45">
        <v>0</v>
      </c>
      <c r="G12" s="45">
        <v>0</v>
      </c>
      <c r="H12" s="45">
        <v>0</v>
      </c>
      <c r="I12" s="45">
        <v>0</v>
      </c>
      <c r="J12" s="45">
        <v>0</v>
      </c>
      <c r="K12" s="45">
        <v>0</v>
      </c>
      <c r="L12" s="45">
        <v>0</v>
      </c>
      <c r="M12" s="45">
        <v>0</v>
      </c>
      <c r="N12" s="45">
        <f t="shared" si="2"/>
        <v>1928657</v>
      </c>
      <c r="O12" s="46">
        <f t="shared" si="1"/>
        <v>1.5690011438091938</v>
      </c>
      <c r="P12" s="9"/>
    </row>
    <row r="13" spans="1:133" ht="15.75">
      <c r="A13" s="28" t="s">
        <v>18</v>
      </c>
      <c r="B13" s="29"/>
      <c r="C13" s="30"/>
      <c r="D13" s="31">
        <f>SUM(D14:D25)</f>
        <v>3068395</v>
      </c>
      <c r="E13" s="31">
        <f t="shared" ref="E13:M13" si="3">SUM(E14:E25)</f>
        <v>34052212</v>
      </c>
      <c r="F13" s="31">
        <f t="shared" si="3"/>
        <v>0</v>
      </c>
      <c r="G13" s="31">
        <f t="shared" si="3"/>
        <v>0</v>
      </c>
      <c r="H13" s="31">
        <f t="shared" si="3"/>
        <v>0</v>
      </c>
      <c r="I13" s="31">
        <f t="shared" si="3"/>
        <v>0</v>
      </c>
      <c r="J13" s="31">
        <f t="shared" si="3"/>
        <v>0</v>
      </c>
      <c r="K13" s="31">
        <f t="shared" si="3"/>
        <v>0</v>
      </c>
      <c r="L13" s="31">
        <f t="shared" si="3"/>
        <v>0</v>
      </c>
      <c r="M13" s="31">
        <f t="shared" si="3"/>
        <v>2004000</v>
      </c>
      <c r="N13" s="43">
        <f>SUM(D13:M13)</f>
        <v>39124607</v>
      </c>
      <c r="O13" s="44">
        <f t="shared" si="1"/>
        <v>31.828652338951503</v>
      </c>
      <c r="P13" s="10"/>
    </row>
    <row r="14" spans="1:133">
      <c r="A14" s="11"/>
      <c r="B14" s="24">
        <v>322</v>
      </c>
      <c r="C14" s="19" t="s">
        <v>0</v>
      </c>
      <c r="D14" s="45">
        <v>11890</v>
      </c>
      <c r="E14" s="45">
        <v>8961594</v>
      </c>
      <c r="F14" s="45">
        <v>0</v>
      </c>
      <c r="G14" s="45">
        <v>0</v>
      </c>
      <c r="H14" s="45">
        <v>0</v>
      </c>
      <c r="I14" s="45">
        <v>0</v>
      </c>
      <c r="J14" s="45">
        <v>0</v>
      </c>
      <c r="K14" s="45">
        <v>0</v>
      </c>
      <c r="L14" s="45">
        <v>0</v>
      </c>
      <c r="M14" s="45">
        <v>0</v>
      </c>
      <c r="N14" s="45">
        <f>SUM(D14:M14)</f>
        <v>8973484</v>
      </c>
      <c r="O14" s="46">
        <f t="shared" si="1"/>
        <v>7.3001091743910393</v>
      </c>
      <c r="P14" s="9"/>
    </row>
    <row r="15" spans="1:133">
      <c r="A15" s="11"/>
      <c r="B15" s="24">
        <v>323.3</v>
      </c>
      <c r="C15" s="19" t="s">
        <v>19</v>
      </c>
      <c r="D15" s="45">
        <v>23618</v>
      </c>
      <c r="E15" s="45">
        <v>0</v>
      </c>
      <c r="F15" s="45">
        <v>0</v>
      </c>
      <c r="G15" s="45">
        <v>0</v>
      </c>
      <c r="H15" s="45">
        <v>0</v>
      </c>
      <c r="I15" s="45">
        <v>0</v>
      </c>
      <c r="J15" s="45">
        <v>0</v>
      </c>
      <c r="K15" s="45">
        <v>0</v>
      </c>
      <c r="L15" s="45">
        <v>0</v>
      </c>
      <c r="M15" s="45">
        <v>0</v>
      </c>
      <c r="N15" s="45">
        <f t="shared" ref="N15:N25" si="4">SUM(D15:M15)</f>
        <v>23618</v>
      </c>
      <c r="O15" s="46">
        <f t="shared" si="1"/>
        <v>1.9213716598900445E-2</v>
      </c>
      <c r="P15" s="9"/>
    </row>
    <row r="16" spans="1:133">
      <c r="A16" s="11"/>
      <c r="B16" s="24">
        <v>323.60000000000002</v>
      </c>
      <c r="C16" s="19" t="s">
        <v>20</v>
      </c>
      <c r="D16" s="45">
        <v>15637</v>
      </c>
      <c r="E16" s="45">
        <v>0</v>
      </c>
      <c r="F16" s="45">
        <v>0</v>
      </c>
      <c r="G16" s="45">
        <v>0</v>
      </c>
      <c r="H16" s="45">
        <v>0</v>
      </c>
      <c r="I16" s="45">
        <v>0</v>
      </c>
      <c r="J16" s="45">
        <v>0</v>
      </c>
      <c r="K16" s="45">
        <v>0</v>
      </c>
      <c r="L16" s="45">
        <v>0</v>
      </c>
      <c r="M16" s="45">
        <v>0</v>
      </c>
      <c r="N16" s="45">
        <f t="shared" si="4"/>
        <v>15637</v>
      </c>
      <c r="O16" s="46">
        <f t="shared" si="1"/>
        <v>1.2721013060250922E-2</v>
      </c>
      <c r="P16" s="9"/>
    </row>
    <row r="17" spans="1:16">
      <c r="A17" s="11"/>
      <c r="B17" s="24">
        <v>324.11</v>
      </c>
      <c r="C17" s="19" t="s">
        <v>21</v>
      </c>
      <c r="D17" s="45">
        <v>0</v>
      </c>
      <c r="E17" s="45">
        <v>159306</v>
      </c>
      <c r="F17" s="45">
        <v>0</v>
      </c>
      <c r="G17" s="45">
        <v>0</v>
      </c>
      <c r="H17" s="45">
        <v>0</v>
      </c>
      <c r="I17" s="45">
        <v>0</v>
      </c>
      <c r="J17" s="45">
        <v>0</v>
      </c>
      <c r="K17" s="45">
        <v>0</v>
      </c>
      <c r="L17" s="45">
        <v>0</v>
      </c>
      <c r="M17" s="45">
        <v>0</v>
      </c>
      <c r="N17" s="45">
        <f t="shared" si="4"/>
        <v>159306</v>
      </c>
      <c r="O17" s="46">
        <f t="shared" si="1"/>
        <v>0.12959862547651937</v>
      </c>
      <c r="P17" s="9"/>
    </row>
    <row r="18" spans="1:16">
      <c r="A18" s="11"/>
      <c r="B18" s="24">
        <v>324.20999999999998</v>
      </c>
      <c r="C18" s="19" t="s">
        <v>22</v>
      </c>
      <c r="D18" s="45">
        <v>0</v>
      </c>
      <c r="E18" s="45">
        <v>6984637</v>
      </c>
      <c r="F18" s="45">
        <v>0</v>
      </c>
      <c r="G18" s="45">
        <v>0</v>
      </c>
      <c r="H18" s="45">
        <v>0</v>
      </c>
      <c r="I18" s="45">
        <v>0</v>
      </c>
      <c r="J18" s="45">
        <v>0</v>
      </c>
      <c r="K18" s="45">
        <v>0</v>
      </c>
      <c r="L18" s="45">
        <v>0</v>
      </c>
      <c r="M18" s="45">
        <v>0</v>
      </c>
      <c r="N18" s="45">
        <f t="shared" si="4"/>
        <v>6984637</v>
      </c>
      <c r="O18" s="46">
        <f t="shared" si="1"/>
        <v>5.6821422586245331</v>
      </c>
      <c r="P18" s="9"/>
    </row>
    <row r="19" spans="1:16">
      <c r="A19" s="11"/>
      <c r="B19" s="24">
        <v>324.31</v>
      </c>
      <c r="C19" s="19" t="s">
        <v>23</v>
      </c>
      <c r="D19" s="45">
        <v>0</v>
      </c>
      <c r="E19" s="45">
        <v>2250279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5">
        <v>0</v>
      </c>
      <c r="L19" s="45">
        <v>0</v>
      </c>
      <c r="M19" s="45">
        <v>0</v>
      </c>
      <c r="N19" s="45">
        <f t="shared" si="4"/>
        <v>2250279</v>
      </c>
      <c r="O19" s="46">
        <f t="shared" si="1"/>
        <v>1.8306470901201244</v>
      </c>
      <c r="P19" s="9"/>
    </row>
    <row r="20" spans="1:16">
      <c r="A20" s="11"/>
      <c r="B20" s="24">
        <v>324.32</v>
      </c>
      <c r="C20" s="19" t="s">
        <v>167</v>
      </c>
      <c r="D20" s="45">
        <v>0</v>
      </c>
      <c r="E20" s="45">
        <v>539721</v>
      </c>
      <c r="F20" s="45">
        <v>0</v>
      </c>
      <c r="G20" s="45">
        <v>0</v>
      </c>
      <c r="H20" s="45">
        <v>0</v>
      </c>
      <c r="I20" s="45">
        <v>0</v>
      </c>
      <c r="J20" s="45">
        <v>0</v>
      </c>
      <c r="K20" s="45">
        <v>0</v>
      </c>
      <c r="L20" s="45">
        <v>0</v>
      </c>
      <c r="M20" s="45">
        <v>0</v>
      </c>
      <c r="N20" s="45">
        <f t="shared" si="4"/>
        <v>539721</v>
      </c>
      <c r="O20" s="46">
        <f t="shared" si="1"/>
        <v>0.43907385623148226</v>
      </c>
      <c r="P20" s="9"/>
    </row>
    <row r="21" spans="1:16">
      <c r="A21" s="11"/>
      <c r="B21" s="24">
        <v>324.61</v>
      </c>
      <c r="C21" s="19" t="s">
        <v>24</v>
      </c>
      <c r="D21" s="45">
        <v>0</v>
      </c>
      <c r="E21" s="45">
        <v>780976</v>
      </c>
      <c r="F21" s="45">
        <v>0</v>
      </c>
      <c r="G21" s="45">
        <v>0</v>
      </c>
      <c r="H21" s="45">
        <v>0</v>
      </c>
      <c r="I21" s="45">
        <v>0</v>
      </c>
      <c r="J21" s="45">
        <v>0</v>
      </c>
      <c r="K21" s="45">
        <v>0</v>
      </c>
      <c r="L21" s="45">
        <v>0</v>
      </c>
      <c r="M21" s="45">
        <v>0</v>
      </c>
      <c r="N21" s="45">
        <f t="shared" si="4"/>
        <v>780976</v>
      </c>
      <c r="O21" s="46">
        <f t="shared" si="1"/>
        <v>0.63533963648669978</v>
      </c>
      <c r="P21" s="9"/>
    </row>
    <row r="22" spans="1:16">
      <c r="A22" s="11"/>
      <c r="B22" s="24">
        <v>325.10000000000002</v>
      </c>
      <c r="C22" s="19" t="s">
        <v>25</v>
      </c>
      <c r="D22" s="45">
        <v>0</v>
      </c>
      <c r="E22" s="45">
        <v>5916921</v>
      </c>
      <c r="F22" s="45">
        <v>0</v>
      </c>
      <c r="G22" s="45">
        <v>0</v>
      </c>
      <c r="H22" s="45">
        <v>0</v>
      </c>
      <c r="I22" s="45">
        <v>0</v>
      </c>
      <c r="J22" s="45">
        <v>0</v>
      </c>
      <c r="K22" s="45">
        <v>0</v>
      </c>
      <c r="L22" s="45">
        <v>0</v>
      </c>
      <c r="M22" s="45">
        <v>2004000</v>
      </c>
      <c r="N22" s="45">
        <f t="shared" si="4"/>
        <v>7920921</v>
      </c>
      <c r="O22" s="46">
        <f t="shared" si="1"/>
        <v>6.4438280674180337</v>
      </c>
      <c r="P22" s="9"/>
    </row>
    <row r="23" spans="1:16">
      <c r="A23" s="11"/>
      <c r="B23" s="24">
        <v>325.2</v>
      </c>
      <c r="C23" s="19" t="s">
        <v>26</v>
      </c>
      <c r="D23" s="45">
        <v>0</v>
      </c>
      <c r="E23" s="45">
        <v>7784551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45">
        <v>0</v>
      </c>
      <c r="L23" s="45">
        <v>0</v>
      </c>
      <c r="M23" s="45">
        <v>0</v>
      </c>
      <c r="N23" s="45">
        <f t="shared" si="4"/>
        <v>7784551</v>
      </c>
      <c r="O23" s="46">
        <f t="shared" si="1"/>
        <v>6.3328883378646399</v>
      </c>
      <c r="P23" s="9"/>
    </row>
    <row r="24" spans="1:16">
      <c r="A24" s="11"/>
      <c r="B24" s="24">
        <v>329</v>
      </c>
      <c r="C24" s="19" t="s">
        <v>27</v>
      </c>
      <c r="D24" s="45">
        <v>592633</v>
      </c>
      <c r="E24" s="45">
        <v>494772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5">
        <v>0</v>
      </c>
      <c r="L24" s="45">
        <v>0</v>
      </c>
      <c r="M24" s="45">
        <v>0</v>
      </c>
      <c r="N24" s="45">
        <f>SUM(D24:M24)</f>
        <v>1087405</v>
      </c>
      <c r="O24" s="46">
        <f t="shared" si="1"/>
        <v>0.88462577264066977</v>
      </c>
      <c r="P24" s="9"/>
    </row>
    <row r="25" spans="1:16">
      <c r="A25" s="11"/>
      <c r="B25" s="24">
        <v>367</v>
      </c>
      <c r="C25" s="19" t="s">
        <v>149</v>
      </c>
      <c r="D25" s="45">
        <v>2424617</v>
      </c>
      <c r="E25" s="45">
        <v>179455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f t="shared" si="4"/>
        <v>2604072</v>
      </c>
      <c r="O25" s="46">
        <f t="shared" si="1"/>
        <v>2.1184647900386095</v>
      </c>
      <c r="P25" s="9"/>
    </row>
    <row r="26" spans="1:16" ht="15.75">
      <c r="A26" s="28" t="s">
        <v>30</v>
      </c>
      <c r="B26" s="29"/>
      <c r="C26" s="30"/>
      <c r="D26" s="31">
        <f t="shared" ref="D26:M26" si="5">SUM(D27:D72)</f>
        <v>23115966</v>
      </c>
      <c r="E26" s="31">
        <f t="shared" si="5"/>
        <v>271968857</v>
      </c>
      <c r="F26" s="31">
        <f t="shared" si="5"/>
        <v>0</v>
      </c>
      <c r="G26" s="31">
        <f t="shared" si="5"/>
        <v>1602237</v>
      </c>
      <c r="H26" s="31">
        <f t="shared" si="5"/>
        <v>0</v>
      </c>
      <c r="I26" s="31">
        <f t="shared" si="5"/>
        <v>0</v>
      </c>
      <c r="J26" s="31">
        <f t="shared" si="5"/>
        <v>428000</v>
      </c>
      <c r="K26" s="31">
        <f t="shared" si="5"/>
        <v>0</v>
      </c>
      <c r="L26" s="31">
        <f t="shared" si="5"/>
        <v>0</v>
      </c>
      <c r="M26" s="31">
        <f t="shared" si="5"/>
        <v>0</v>
      </c>
      <c r="N26" s="43">
        <f>SUM(D26:M26)</f>
        <v>297115060</v>
      </c>
      <c r="O26" s="44">
        <f t="shared" si="1"/>
        <v>241.70905919660015</v>
      </c>
      <c r="P26" s="10"/>
    </row>
    <row r="27" spans="1:16">
      <c r="A27" s="11"/>
      <c r="B27" s="24">
        <v>331.1</v>
      </c>
      <c r="C27" s="19" t="s">
        <v>28</v>
      </c>
      <c r="D27" s="45">
        <v>20386</v>
      </c>
      <c r="E27" s="45">
        <v>3611</v>
      </c>
      <c r="F27" s="45">
        <v>0</v>
      </c>
      <c r="G27" s="45">
        <v>0</v>
      </c>
      <c r="H27" s="45">
        <v>0</v>
      </c>
      <c r="I27" s="45">
        <v>0</v>
      </c>
      <c r="J27" s="45">
        <v>0</v>
      </c>
      <c r="K27" s="45">
        <v>0</v>
      </c>
      <c r="L27" s="45">
        <v>0</v>
      </c>
      <c r="M27" s="45">
        <v>0</v>
      </c>
      <c r="N27" s="45">
        <f>SUM(D27:M27)</f>
        <v>23997</v>
      </c>
      <c r="O27" s="46">
        <f t="shared" si="1"/>
        <v>1.9522040698781183E-2</v>
      </c>
      <c r="P27" s="9"/>
    </row>
    <row r="28" spans="1:16">
      <c r="A28" s="11"/>
      <c r="B28" s="24">
        <v>331.2</v>
      </c>
      <c r="C28" s="19" t="s">
        <v>29</v>
      </c>
      <c r="D28" s="45">
        <v>2757988</v>
      </c>
      <c r="E28" s="45">
        <v>8069461</v>
      </c>
      <c r="F28" s="45">
        <v>0</v>
      </c>
      <c r="G28" s="45">
        <v>0</v>
      </c>
      <c r="H28" s="45">
        <v>0</v>
      </c>
      <c r="I28" s="45">
        <v>0</v>
      </c>
      <c r="J28" s="45">
        <v>0</v>
      </c>
      <c r="K28" s="45">
        <v>0</v>
      </c>
      <c r="L28" s="45">
        <v>0</v>
      </c>
      <c r="M28" s="45">
        <v>0</v>
      </c>
      <c r="N28" s="45">
        <f>SUM(D28:M28)</f>
        <v>10827449</v>
      </c>
      <c r="O28" s="46">
        <f t="shared" si="1"/>
        <v>8.8083468784422063</v>
      </c>
      <c r="P28" s="9"/>
    </row>
    <row r="29" spans="1:16">
      <c r="A29" s="11"/>
      <c r="B29" s="24">
        <v>331.31</v>
      </c>
      <c r="C29" s="19" t="s">
        <v>34</v>
      </c>
      <c r="D29" s="45">
        <v>0</v>
      </c>
      <c r="E29" s="45">
        <v>15060</v>
      </c>
      <c r="F29" s="45">
        <v>0</v>
      </c>
      <c r="G29" s="45">
        <v>0</v>
      </c>
      <c r="H29" s="45">
        <v>0</v>
      </c>
      <c r="I29" s="45">
        <v>0</v>
      </c>
      <c r="J29" s="45">
        <v>0</v>
      </c>
      <c r="K29" s="45">
        <v>0</v>
      </c>
      <c r="L29" s="45">
        <v>0</v>
      </c>
      <c r="M29" s="45">
        <v>0</v>
      </c>
      <c r="N29" s="45">
        <f t="shared" ref="N29:N40" si="6">SUM(D29:M29)</f>
        <v>15060</v>
      </c>
      <c r="O29" s="46">
        <f t="shared" si="1"/>
        <v>1.2251611989983941E-2</v>
      </c>
      <c r="P29" s="9"/>
    </row>
    <row r="30" spans="1:16">
      <c r="A30" s="11"/>
      <c r="B30" s="24">
        <v>331.39</v>
      </c>
      <c r="C30" s="19" t="s">
        <v>35</v>
      </c>
      <c r="D30" s="45">
        <v>0</v>
      </c>
      <c r="E30" s="45">
        <v>759633</v>
      </c>
      <c r="F30" s="45">
        <v>0</v>
      </c>
      <c r="G30" s="45">
        <v>1602237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f t="shared" si="6"/>
        <v>2361870</v>
      </c>
      <c r="O30" s="46">
        <f t="shared" si="1"/>
        <v>1.9214286062937165</v>
      </c>
      <c r="P30" s="9"/>
    </row>
    <row r="31" spans="1:16">
      <c r="A31" s="11"/>
      <c r="B31" s="24">
        <v>331.42</v>
      </c>
      <c r="C31" s="19" t="s">
        <v>168</v>
      </c>
      <c r="D31" s="45">
        <v>0</v>
      </c>
      <c r="E31" s="45">
        <v>200730</v>
      </c>
      <c r="F31" s="45">
        <v>0</v>
      </c>
      <c r="G31" s="45">
        <v>0</v>
      </c>
      <c r="H31" s="45">
        <v>0</v>
      </c>
      <c r="I31" s="45">
        <v>0</v>
      </c>
      <c r="J31" s="45">
        <v>0</v>
      </c>
      <c r="K31" s="45">
        <v>0</v>
      </c>
      <c r="L31" s="45">
        <v>0</v>
      </c>
      <c r="M31" s="45">
        <v>0</v>
      </c>
      <c r="N31" s="45">
        <f t="shared" si="6"/>
        <v>200730</v>
      </c>
      <c r="O31" s="46">
        <f t="shared" si="1"/>
        <v>0.16329788012944732</v>
      </c>
      <c r="P31" s="9"/>
    </row>
    <row r="32" spans="1:16">
      <c r="A32" s="11"/>
      <c r="B32" s="24">
        <v>331.49</v>
      </c>
      <c r="C32" s="19" t="s">
        <v>36</v>
      </c>
      <c r="D32" s="45">
        <v>0</v>
      </c>
      <c r="E32" s="45">
        <v>10713841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45">
        <f t="shared" si="6"/>
        <v>10713841</v>
      </c>
      <c r="O32" s="46">
        <f t="shared" si="1"/>
        <v>8.7159244923228112</v>
      </c>
      <c r="P32" s="9"/>
    </row>
    <row r="33" spans="1:16">
      <c r="A33" s="11"/>
      <c r="B33" s="24">
        <v>331.5</v>
      </c>
      <c r="C33" s="19" t="s">
        <v>31</v>
      </c>
      <c r="D33" s="45">
        <v>0</v>
      </c>
      <c r="E33" s="45">
        <v>39169797</v>
      </c>
      <c r="F33" s="45">
        <v>0</v>
      </c>
      <c r="G33" s="45">
        <v>0</v>
      </c>
      <c r="H33" s="45">
        <v>0</v>
      </c>
      <c r="I33" s="45">
        <v>0</v>
      </c>
      <c r="J33" s="45">
        <v>0</v>
      </c>
      <c r="K33" s="45">
        <v>0</v>
      </c>
      <c r="L33" s="45">
        <v>0</v>
      </c>
      <c r="M33" s="45">
        <v>0</v>
      </c>
      <c r="N33" s="45">
        <f t="shared" si="6"/>
        <v>39169797</v>
      </c>
      <c r="O33" s="46">
        <f t="shared" si="1"/>
        <v>31.865415310121978</v>
      </c>
      <c r="P33" s="9"/>
    </row>
    <row r="34" spans="1:16">
      <c r="A34" s="11"/>
      <c r="B34" s="24">
        <v>331.61</v>
      </c>
      <c r="C34" s="19" t="s">
        <v>37</v>
      </c>
      <c r="D34" s="45">
        <v>0</v>
      </c>
      <c r="E34" s="45">
        <v>3430167</v>
      </c>
      <c r="F34" s="45">
        <v>0</v>
      </c>
      <c r="G34" s="45">
        <v>0</v>
      </c>
      <c r="H34" s="45">
        <v>0</v>
      </c>
      <c r="I34" s="45">
        <v>0</v>
      </c>
      <c r="J34" s="45">
        <v>0</v>
      </c>
      <c r="K34" s="45">
        <v>0</v>
      </c>
      <c r="L34" s="45">
        <v>0</v>
      </c>
      <c r="M34" s="45">
        <v>0</v>
      </c>
      <c r="N34" s="45">
        <f t="shared" si="6"/>
        <v>3430167</v>
      </c>
      <c r="O34" s="46">
        <f t="shared" si="1"/>
        <v>2.7905096377720615</v>
      </c>
      <c r="P34" s="9"/>
    </row>
    <row r="35" spans="1:16">
      <c r="A35" s="11"/>
      <c r="B35" s="24">
        <v>331.65</v>
      </c>
      <c r="C35" s="19" t="s">
        <v>38</v>
      </c>
      <c r="D35" s="45">
        <v>1390857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f t="shared" si="6"/>
        <v>1390857</v>
      </c>
      <c r="O35" s="46">
        <f t="shared" si="1"/>
        <v>1.1314900595984791</v>
      </c>
      <c r="P35" s="9"/>
    </row>
    <row r="36" spans="1:16">
      <c r="A36" s="11"/>
      <c r="B36" s="24">
        <v>331.69</v>
      </c>
      <c r="C36" s="19" t="s">
        <v>39</v>
      </c>
      <c r="D36" s="45">
        <v>6300</v>
      </c>
      <c r="E36" s="45">
        <v>47010074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f t="shared" si="6"/>
        <v>47016374</v>
      </c>
      <c r="O36" s="46">
        <f t="shared" si="1"/>
        <v>38.248763042760238</v>
      </c>
      <c r="P36" s="9"/>
    </row>
    <row r="37" spans="1:16">
      <c r="A37" s="11"/>
      <c r="B37" s="24">
        <v>331.7</v>
      </c>
      <c r="C37" s="19" t="s">
        <v>169</v>
      </c>
      <c r="D37" s="45">
        <v>0</v>
      </c>
      <c r="E37" s="45">
        <v>24500</v>
      </c>
      <c r="F37" s="45">
        <v>0</v>
      </c>
      <c r="G37" s="45">
        <v>0</v>
      </c>
      <c r="H37" s="45">
        <v>0</v>
      </c>
      <c r="I37" s="45">
        <v>0</v>
      </c>
      <c r="J37" s="45">
        <v>0</v>
      </c>
      <c r="K37" s="45">
        <v>0</v>
      </c>
      <c r="L37" s="45">
        <v>0</v>
      </c>
      <c r="M37" s="45">
        <v>0</v>
      </c>
      <c r="N37" s="45">
        <f t="shared" si="6"/>
        <v>24500</v>
      </c>
      <c r="O37" s="46">
        <f t="shared" ref="O37:O68" si="7">(N37/O$139)</f>
        <v>1.9931241285166438E-2</v>
      </c>
      <c r="P37" s="9"/>
    </row>
    <row r="38" spans="1:16">
      <c r="A38" s="11"/>
      <c r="B38" s="24">
        <v>331.9</v>
      </c>
      <c r="C38" s="19" t="s">
        <v>32</v>
      </c>
      <c r="D38" s="45">
        <v>0</v>
      </c>
      <c r="E38" s="45">
        <v>2662923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5">
        <v>0</v>
      </c>
      <c r="L38" s="45">
        <v>0</v>
      </c>
      <c r="M38" s="45">
        <v>0</v>
      </c>
      <c r="N38" s="45">
        <f t="shared" si="6"/>
        <v>2662923</v>
      </c>
      <c r="O38" s="46">
        <f t="shared" si="7"/>
        <v>2.1663412586456845</v>
      </c>
      <c r="P38" s="9"/>
    </row>
    <row r="39" spans="1:16">
      <c r="A39" s="11"/>
      <c r="B39" s="24">
        <v>333</v>
      </c>
      <c r="C39" s="19" t="s">
        <v>4</v>
      </c>
      <c r="D39" s="45">
        <v>786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f t="shared" si="6"/>
        <v>786</v>
      </c>
      <c r="O39" s="46">
        <f t="shared" si="7"/>
        <v>6.394267612302376E-4</v>
      </c>
      <c r="P39" s="9"/>
    </row>
    <row r="40" spans="1:16">
      <c r="A40" s="11"/>
      <c r="B40" s="24">
        <v>334.2</v>
      </c>
      <c r="C40" s="19" t="s">
        <v>33</v>
      </c>
      <c r="D40" s="45">
        <v>0</v>
      </c>
      <c r="E40" s="45">
        <v>1401224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5">
        <v>0</v>
      </c>
      <c r="L40" s="45">
        <v>0</v>
      </c>
      <c r="M40" s="45">
        <v>0</v>
      </c>
      <c r="N40" s="45">
        <f t="shared" si="6"/>
        <v>1401224</v>
      </c>
      <c r="O40" s="46">
        <f t="shared" si="7"/>
        <v>1.139923821982288</v>
      </c>
      <c r="P40" s="9"/>
    </row>
    <row r="41" spans="1:16">
      <c r="A41" s="11"/>
      <c r="B41" s="24">
        <v>334.39</v>
      </c>
      <c r="C41" s="19" t="s">
        <v>40</v>
      </c>
      <c r="D41" s="45">
        <v>0</v>
      </c>
      <c r="E41" s="45">
        <v>2567997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f t="shared" ref="N41:N66" si="8">SUM(D41:M41)</f>
        <v>2567997</v>
      </c>
      <c r="O41" s="46">
        <f t="shared" si="7"/>
        <v>2.0891170541462678</v>
      </c>
      <c r="P41" s="9"/>
    </row>
    <row r="42" spans="1:16">
      <c r="A42" s="11"/>
      <c r="B42" s="24">
        <v>334.49</v>
      </c>
      <c r="C42" s="19" t="s">
        <v>41</v>
      </c>
      <c r="D42" s="45">
        <v>0</v>
      </c>
      <c r="E42" s="45">
        <v>2534664</v>
      </c>
      <c r="F42" s="45">
        <v>0</v>
      </c>
      <c r="G42" s="45">
        <v>0</v>
      </c>
      <c r="H42" s="45">
        <v>0</v>
      </c>
      <c r="I42" s="45">
        <v>0</v>
      </c>
      <c r="J42" s="45">
        <v>0</v>
      </c>
      <c r="K42" s="45">
        <v>0</v>
      </c>
      <c r="L42" s="45">
        <v>0</v>
      </c>
      <c r="M42" s="45">
        <v>0</v>
      </c>
      <c r="N42" s="45">
        <f t="shared" si="8"/>
        <v>2534664</v>
      </c>
      <c r="O42" s="46">
        <f t="shared" si="7"/>
        <v>2.0619999902377595</v>
      </c>
      <c r="P42" s="9"/>
    </row>
    <row r="43" spans="1:16">
      <c r="A43" s="11"/>
      <c r="B43" s="24">
        <v>334.5</v>
      </c>
      <c r="C43" s="19" t="s">
        <v>42</v>
      </c>
      <c r="D43" s="45">
        <v>0</v>
      </c>
      <c r="E43" s="45">
        <v>1120980</v>
      </c>
      <c r="F43" s="45">
        <v>0</v>
      </c>
      <c r="G43" s="45">
        <v>0</v>
      </c>
      <c r="H43" s="45">
        <v>0</v>
      </c>
      <c r="I43" s="45">
        <v>0</v>
      </c>
      <c r="J43" s="45">
        <v>0</v>
      </c>
      <c r="K43" s="45">
        <v>0</v>
      </c>
      <c r="L43" s="45">
        <v>0</v>
      </c>
      <c r="M43" s="45">
        <v>0</v>
      </c>
      <c r="N43" s="45">
        <f t="shared" si="8"/>
        <v>1120980</v>
      </c>
      <c r="O43" s="46">
        <f t="shared" si="7"/>
        <v>0.91193970840187244</v>
      </c>
      <c r="P43" s="9"/>
    </row>
    <row r="44" spans="1:16">
      <c r="A44" s="11"/>
      <c r="B44" s="24">
        <v>334.61</v>
      </c>
      <c r="C44" s="19" t="s">
        <v>43</v>
      </c>
      <c r="D44" s="45">
        <v>0</v>
      </c>
      <c r="E44" s="45">
        <v>213940</v>
      </c>
      <c r="F44" s="45">
        <v>0</v>
      </c>
      <c r="G44" s="45">
        <v>0</v>
      </c>
      <c r="H44" s="45">
        <v>0</v>
      </c>
      <c r="I44" s="45">
        <v>0</v>
      </c>
      <c r="J44" s="45">
        <v>0</v>
      </c>
      <c r="K44" s="45">
        <v>0</v>
      </c>
      <c r="L44" s="45">
        <v>0</v>
      </c>
      <c r="M44" s="45">
        <v>0</v>
      </c>
      <c r="N44" s="45">
        <f t="shared" si="8"/>
        <v>213940</v>
      </c>
      <c r="O44" s="46">
        <f t="shared" si="7"/>
        <v>0.17404448002238807</v>
      </c>
      <c r="P44" s="9"/>
    </row>
    <row r="45" spans="1:16">
      <c r="A45" s="11"/>
      <c r="B45" s="24">
        <v>334.69</v>
      </c>
      <c r="C45" s="19" t="s">
        <v>44</v>
      </c>
      <c r="D45" s="45">
        <v>0</v>
      </c>
      <c r="E45" s="45">
        <v>4329618</v>
      </c>
      <c r="F45" s="45">
        <v>0</v>
      </c>
      <c r="G45" s="45">
        <v>0</v>
      </c>
      <c r="H45" s="45">
        <v>0</v>
      </c>
      <c r="I45" s="45">
        <v>0</v>
      </c>
      <c r="J45" s="45">
        <v>0</v>
      </c>
      <c r="K45" s="45">
        <v>0</v>
      </c>
      <c r="L45" s="45">
        <v>0</v>
      </c>
      <c r="M45" s="45">
        <v>0</v>
      </c>
      <c r="N45" s="45">
        <f t="shared" si="8"/>
        <v>4329618</v>
      </c>
      <c r="O45" s="46">
        <f t="shared" si="7"/>
        <v>3.522231062473459</v>
      </c>
      <c r="P45" s="9"/>
    </row>
    <row r="46" spans="1:16">
      <c r="A46" s="11"/>
      <c r="B46" s="24">
        <v>334.7</v>
      </c>
      <c r="C46" s="19" t="s">
        <v>45</v>
      </c>
      <c r="D46" s="45">
        <v>0</v>
      </c>
      <c r="E46" s="45">
        <v>1279991</v>
      </c>
      <c r="F46" s="45">
        <v>0</v>
      </c>
      <c r="G46" s="45">
        <v>0</v>
      </c>
      <c r="H46" s="45">
        <v>0</v>
      </c>
      <c r="I46" s="45">
        <v>0</v>
      </c>
      <c r="J46" s="45">
        <v>0</v>
      </c>
      <c r="K46" s="45">
        <v>0</v>
      </c>
      <c r="L46" s="45">
        <v>0</v>
      </c>
      <c r="M46" s="45">
        <v>0</v>
      </c>
      <c r="N46" s="45">
        <f t="shared" si="8"/>
        <v>1279991</v>
      </c>
      <c r="O46" s="46">
        <f t="shared" si="7"/>
        <v>1.0412983454629172</v>
      </c>
      <c r="P46" s="9"/>
    </row>
    <row r="47" spans="1:16">
      <c r="A47" s="11"/>
      <c r="B47" s="24">
        <v>334.83</v>
      </c>
      <c r="C47" s="19" t="s">
        <v>170</v>
      </c>
      <c r="D47" s="45">
        <v>0</v>
      </c>
      <c r="E47" s="45">
        <v>71880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f t="shared" si="8"/>
        <v>71880</v>
      </c>
      <c r="O47" s="46">
        <f t="shared" si="7"/>
        <v>5.8475821370520965E-2</v>
      </c>
      <c r="P47" s="9"/>
    </row>
    <row r="48" spans="1:16">
      <c r="A48" s="11"/>
      <c r="B48" s="24">
        <v>334.89</v>
      </c>
      <c r="C48" s="19" t="s">
        <v>46</v>
      </c>
      <c r="D48" s="45">
        <v>0</v>
      </c>
      <c r="E48" s="45">
        <v>5209321</v>
      </c>
      <c r="F48" s="45">
        <v>0</v>
      </c>
      <c r="G48" s="45">
        <v>0</v>
      </c>
      <c r="H48" s="45">
        <v>0</v>
      </c>
      <c r="I48" s="45">
        <v>0</v>
      </c>
      <c r="J48" s="45">
        <v>0</v>
      </c>
      <c r="K48" s="45">
        <v>0</v>
      </c>
      <c r="L48" s="45">
        <v>0</v>
      </c>
      <c r="M48" s="45">
        <v>0</v>
      </c>
      <c r="N48" s="45">
        <f t="shared" si="8"/>
        <v>5209321</v>
      </c>
      <c r="O48" s="46">
        <f t="shared" si="7"/>
        <v>4.2378870931789594</v>
      </c>
      <c r="P48" s="9"/>
    </row>
    <row r="49" spans="1:16">
      <c r="A49" s="11"/>
      <c r="B49" s="24">
        <v>334.9</v>
      </c>
      <c r="C49" s="19" t="s">
        <v>47</v>
      </c>
      <c r="D49" s="45">
        <v>1076</v>
      </c>
      <c r="E49" s="45">
        <v>2117860</v>
      </c>
      <c r="F49" s="45">
        <v>0</v>
      </c>
      <c r="G49" s="45">
        <v>0</v>
      </c>
      <c r="H49" s="45">
        <v>0</v>
      </c>
      <c r="I49" s="45">
        <v>0</v>
      </c>
      <c r="J49" s="45">
        <v>0</v>
      </c>
      <c r="K49" s="45">
        <v>0</v>
      </c>
      <c r="L49" s="45">
        <v>0</v>
      </c>
      <c r="M49" s="45">
        <v>0</v>
      </c>
      <c r="N49" s="45">
        <f t="shared" si="8"/>
        <v>2118936</v>
      </c>
      <c r="O49" s="46">
        <f t="shared" si="7"/>
        <v>1.7237969258704258</v>
      </c>
      <c r="P49" s="9"/>
    </row>
    <row r="50" spans="1:16">
      <c r="A50" s="11"/>
      <c r="B50" s="24">
        <v>335.12</v>
      </c>
      <c r="C50" s="19" t="s">
        <v>48</v>
      </c>
      <c r="D50" s="45">
        <v>16926102</v>
      </c>
      <c r="E50" s="45">
        <v>6752474</v>
      </c>
      <c r="F50" s="45">
        <v>0</v>
      </c>
      <c r="G50" s="45">
        <v>0</v>
      </c>
      <c r="H50" s="45">
        <v>0</v>
      </c>
      <c r="I50" s="45">
        <v>0</v>
      </c>
      <c r="J50" s="45">
        <v>0</v>
      </c>
      <c r="K50" s="45">
        <v>0</v>
      </c>
      <c r="L50" s="45">
        <v>0</v>
      </c>
      <c r="M50" s="45">
        <v>0</v>
      </c>
      <c r="N50" s="45">
        <f t="shared" si="8"/>
        <v>23678576</v>
      </c>
      <c r="O50" s="46">
        <f t="shared" si="7"/>
        <v>19.262996389598008</v>
      </c>
      <c r="P50" s="9"/>
    </row>
    <row r="51" spans="1:16">
      <c r="A51" s="11"/>
      <c r="B51" s="24">
        <v>335.13</v>
      </c>
      <c r="C51" s="19" t="s">
        <v>49</v>
      </c>
      <c r="D51" s="45">
        <v>295270</v>
      </c>
      <c r="E51" s="45">
        <v>0</v>
      </c>
      <c r="F51" s="45">
        <v>0</v>
      </c>
      <c r="G51" s="45">
        <v>0</v>
      </c>
      <c r="H51" s="45">
        <v>0</v>
      </c>
      <c r="I51" s="45">
        <v>0</v>
      </c>
      <c r="J51" s="45">
        <v>0</v>
      </c>
      <c r="K51" s="45">
        <v>0</v>
      </c>
      <c r="L51" s="45">
        <v>0</v>
      </c>
      <c r="M51" s="45">
        <v>0</v>
      </c>
      <c r="N51" s="45">
        <f t="shared" si="8"/>
        <v>295270</v>
      </c>
      <c r="O51" s="46">
        <f t="shared" si="7"/>
        <v>0.2402080658886161</v>
      </c>
      <c r="P51" s="9"/>
    </row>
    <row r="52" spans="1:16">
      <c r="A52" s="11"/>
      <c r="B52" s="24">
        <v>335.14</v>
      </c>
      <c r="C52" s="19" t="s">
        <v>50</v>
      </c>
      <c r="D52" s="45">
        <v>445682</v>
      </c>
      <c r="E52" s="45">
        <v>0</v>
      </c>
      <c r="F52" s="45">
        <v>0</v>
      </c>
      <c r="G52" s="45">
        <v>0</v>
      </c>
      <c r="H52" s="45">
        <v>0</v>
      </c>
      <c r="I52" s="45">
        <v>0</v>
      </c>
      <c r="J52" s="45">
        <v>0</v>
      </c>
      <c r="K52" s="45">
        <v>0</v>
      </c>
      <c r="L52" s="45">
        <v>0</v>
      </c>
      <c r="M52" s="45">
        <v>0</v>
      </c>
      <c r="N52" s="45">
        <f t="shared" si="8"/>
        <v>445682</v>
      </c>
      <c r="O52" s="46">
        <f t="shared" si="7"/>
        <v>0.36257124401859381</v>
      </c>
      <c r="P52" s="9"/>
    </row>
    <row r="53" spans="1:16">
      <c r="A53" s="11"/>
      <c r="B53" s="24">
        <v>335.15</v>
      </c>
      <c r="C53" s="19" t="s">
        <v>51</v>
      </c>
      <c r="D53" s="45">
        <v>385755</v>
      </c>
      <c r="E53" s="45">
        <v>0</v>
      </c>
      <c r="F53" s="45">
        <v>0</v>
      </c>
      <c r="G53" s="45">
        <v>0</v>
      </c>
      <c r="H53" s="45">
        <v>0</v>
      </c>
      <c r="I53" s="45">
        <v>0</v>
      </c>
      <c r="J53" s="45">
        <v>0</v>
      </c>
      <c r="K53" s="45">
        <v>0</v>
      </c>
      <c r="L53" s="45">
        <v>0</v>
      </c>
      <c r="M53" s="45">
        <v>0</v>
      </c>
      <c r="N53" s="45">
        <f t="shared" si="8"/>
        <v>385755</v>
      </c>
      <c r="O53" s="46">
        <f t="shared" si="7"/>
        <v>0.31381942783507671</v>
      </c>
      <c r="P53" s="9"/>
    </row>
    <row r="54" spans="1:16">
      <c r="A54" s="11"/>
      <c r="B54" s="24">
        <v>335.16</v>
      </c>
      <c r="C54" s="19" t="s">
        <v>52</v>
      </c>
      <c r="D54" s="45">
        <v>446500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f t="shared" si="8"/>
        <v>446500</v>
      </c>
      <c r="O54" s="46">
        <f t="shared" si="7"/>
        <v>0.36323670342150266</v>
      </c>
      <c r="P54" s="9"/>
    </row>
    <row r="55" spans="1:16">
      <c r="A55" s="11"/>
      <c r="B55" s="24">
        <v>335.17</v>
      </c>
      <c r="C55" s="19" t="s">
        <v>53</v>
      </c>
      <c r="D55" s="45">
        <v>165150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f t="shared" si="8"/>
        <v>165150</v>
      </c>
      <c r="O55" s="46">
        <f t="shared" si="7"/>
        <v>0.13435283666307091</v>
      </c>
      <c r="P55" s="9"/>
    </row>
    <row r="56" spans="1:16">
      <c r="A56" s="11"/>
      <c r="B56" s="24">
        <v>335.18</v>
      </c>
      <c r="C56" s="19" t="s">
        <v>54</v>
      </c>
      <c r="D56" s="45">
        <v>0</v>
      </c>
      <c r="E56" s="45">
        <v>73552571</v>
      </c>
      <c r="F56" s="45">
        <v>0</v>
      </c>
      <c r="G56" s="45">
        <v>0</v>
      </c>
      <c r="H56" s="45">
        <v>0</v>
      </c>
      <c r="I56" s="45">
        <v>0</v>
      </c>
      <c r="J56" s="45">
        <v>0</v>
      </c>
      <c r="K56" s="45">
        <v>0</v>
      </c>
      <c r="L56" s="45">
        <v>0</v>
      </c>
      <c r="M56" s="45">
        <v>0</v>
      </c>
      <c r="N56" s="45">
        <f t="shared" si="8"/>
        <v>73552571</v>
      </c>
      <c r="O56" s="46">
        <f t="shared" si="7"/>
        <v>59.836491418176969</v>
      </c>
      <c r="P56" s="9"/>
    </row>
    <row r="57" spans="1:16">
      <c r="A57" s="11"/>
      <c r="B57" s="24">
        <v>335.21</v>
      </c>
      <c r="C57" s="19" t="s">
        <v>55</v>
      </c>
      <c r="D57" s="45">
        <v>206184</v>
      </c>
      <c r="E57" s="45">
        <v>0</v>
      </c>
      <c r="F57" s="45">
        <v>0</v>
      </c>
      <c r="G57" s="45">
        <v>0</v>
      </c>
      <c r="H57" s="45">
        <v>0</v>
      </c>
      <c r="I57" s="45">
        <v>0</v>
      </c>
      <c r="J57" s="45">
        <v>0</v>
      </c>
      <c r="K57" s="45">
        <v>0</v>
      </c>
      <c r="L57" s="45">
        <v>0</v>
      </c>
      <c r="M57" s="45">
        <v>0</v>
      </c>
      <c r="N57" s="45">
        <f t="shared" si="8"/>
        <v>206184</v>
      </c>
      <c r="O57" s="46">
        <f t="shared" si="7"/>
        <v>0.16773481849554109</v>
      </c>
      <c r="P57" s="9"/>
    </row>
    <row r="58" spans="1:16">
      <c r="A58" s="11"/>
      <c r="B58" s="24">
        <v>335.22</v>
      </c>
      <c r="C58" s="19" t="s">
        <v>56</v>
      </c>
      <c r="D58" s="45">
        <v>0</v>
      </c>
      <c r="E58" s="45">
        <v>7239160</v>
      </c>
      <c r="F58" s="45">
        <v>0</v>
      </c>
      <c r="G58" s="45">
        <v>0</v>
      </c>
      <c r="H58" s="45">
        <v>0</v>
      </c>
      <c r="I58" s="45">
        <v>0</v>
      </c>
      <c r="J58" s="45">
        <v>0</v>
      </c>
      <c r="K58" s="45">
        <v>0</v>
      </c>
      <c r="L58" s="45">
        <v>0</v>
      </c>
      <c r="M58" s="45">
        <v>0</v>
      </c>
      <c r="N58" s="45">
        <f t="shared" si="8"/>
        <v>7239160</v>
      </c>
      <c r="O58" s="46">
        <f t="shared" si="7"/>
        <v>5.8892018229357337</v>
      </c>
      <c r="P58" s="9"/>
    </row>
    <row r="59" spans="1:16">
      <c r="A59" s="11"/>
      <c r="B59" s="24">
        <v>335.23</v>
      </c>
      <c r="C59" s="19" t="s">
        <v>171</v>
      </c>
      <c r="D59" s="45">
        <v>0</v>
      </c>
      <c r="E59" s="45">
        <v>-42551</v>
      </c>
      <c r="F59" s="45">
        <v>0</v>
      </c>
      <c r="G59" s="45">
        <v>0</v>
      </c>
      <c r="H59" s="45">
        <v>0</v>
      </c>
      <c r="I59" s="45">
        <v>0</v>
      </c>
      <c r="J59" s="45">
        <v>0</v>
      </c>
      <c r="K59" s="45">
        <v>0</v>
      </c>
      <c r="L59" s="45">
        <v>0</v>
      </c>
      <c r="M59" s="45">
        <v>0</v>
      </c>
      <c r="N59" s="45">
        <f t="shared" si="8"/>
        <v>-42551</v>
      </c>
      <c r="O59" s="46">
        <f t="shared" si="7"/>
        <v>-3.4616091752045594E-2</v>
      </c>
      <c r="P59" s="9"/>
    </row>
    <row r="60" spans="1:16">
      <c r="A60" s="11"/>
      <c r="B60" s="24">
        <v>335.29</v>
      </c>
      <c r="C60" s="19" t="s">
        <v>57</v>
      </c>
      <c r="D60" s="45">
        <v>583</v>
      </c>
      <c r="E60" s="45">
        <v>143168</v>
      </c>
      <c r="F60" s="45">
        <v>0</v>
      </c>
      <c r="G60" s="45">
        <v>0</v>
      </c>
      <c r="H60" s="45">
        <v>0</v>
      </c>
      <c r="I60" s="45">
        <v>0</v>
      </c>
      <c r="J60" s="45">
        <v>0</v>
      </c>
      <c r="K60" s="45">
        <v>0</v>
      </c>
      <c r="L60" s="45">
        <v>0</v>
      </c>
      <c r="M60" s="45">
        <v>0</v>
      </c>
      <c r="N60" s="45">
        <f t="shared" si="8"/>
        <v>143751</v>
      </c>
      <c r="O60" s="46">
        <f t="shared" si="7"/>
        <v>0.11694432106056982</v>
      </c>
      <c r="P60" s="9"/>
    </row>
    <row r="61" spans="1:16">
      <c r="A61" s="11"/>
      <c r="B61" s="24">
        <v>335.39</v>
      </c>
      <c r="C61" s="19" t="s">
        <v>58</v>
      </c>
      <c r="D61" s="45">
        <v>0</v>
      </c>
      <c r="E61" s="45">
        <v>1837070</v>
      </c>
      <c r="F61" s="45">
        <v>0</v>
      </c>
      <c r="G61" s="45">
        <v>0</v>
      </c>
      <c r="H61" s="45">
        <v>0</v>
      </c>
      <c r="I61" s="45">
        <v>0</v>
      </c>
      <c r="J61" s="45">
        <v>0</v>
      </c>
      <c r="K61" s="45">
        <v>0</v>
      </c>
      <c r="L61" s="45">
        <v>0</v>
      </c>
      <c r="M61" s="45">
        <v>0</v>
      </c>
      <c r="N61" s="45">
        <f t="shared" si="8"/>
        <v>1837070</v>
      </c>
      <c r="O61" s="46">
        <f t="shared" si="7"/>
        <v>1.4944932827649269</v>
      </c>
      <c r="P61" s="9"/>
    </row>
    <row r="62" spans="1:16">
      <c r="A62" s="11"/>
      <c r="B62" s="24">
        <v>335.49</v>
      </c>
      <c r="C62" s="19" t="s">
        <v>59</v>
      </c>
      <c r="D62" s="45">
        <v>700</v>
      </c>
      <c r="E62" s="45">
        <v>16062632</v>
      </c>
      <c r="F62" s="45">
        <v>0</v>
      </c>
      <c r="G62" s="45">
        <v>0</v>
      </c>
      <c r="H62" s="45">
        <v>0</v>
      </c>
      <c r="I62" s="45">
        <v>0</v>
      </c>
      <c r="J62" s="45">
        <v>0</v>
      </c>
      <c r="K62" s="45">
        <v>0</v>
      </c>
      <c r="L62" s="45">
        <v>0</v>
      </c>
      <c r="M62" s="45">
        <v>0</v>
      </c>
      <c r="N62" s="45">
        <f t="shared" si="8"/>
        <v>16063332</v>
      </c>
      <c r="O62" s="46">
        <f t="shared" si="7"/>
        <v>13.067842691254496</v>
      </c>
      <c r="P62" s="9"/>
    </row>
    <row r="63" spans="1:16">
      <c r="A63" s="11"/>
      <c r="B63" s="24">
        <v>335.5</v>
      </c>
      <c r="C63" s="19" t="s">
        <v>60</v>
      </c>
      <c r="D63" s="45">
        <v>1331</v>
      </c>
      <c r="E63" s="45">
        <v>-415024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0</v>
      </c>
      <c r="N63" s="45">
        <f t="shared" si="8"/>
        <v>-413693</v>
      </c>
      <c r="O63" s="46">
        <f t="shared" si="7"/>
        <v>-0.33654755106058609</v>
      </c>
      <c r="P63" s="9"/>
    </row>
    <row r="64" spans="1:16">
      <c r="A64" s="11"/>
      <c r="B64" s="24">
        <v>335.69</v>
      </c>
      <c r="C64" s="19" t="s">
        <v>61</v>
      </c>
      <c r="D64" s="45">
        <v>41743</v>
      </c>
      <c r="E64" s="45">
        <v>0</v>
      </c>
      <c r="F64" s="45">
        <v>0</v>
      </c>
      <c r="G64" s="45">
        <v>0</v>
      </c>
      <c r="H64" s="45">
        <v>0</v>
      </c>
      <c r="I64" s="45">
        <v>0</v>
      </c>
      <c r="J64" s="45">
        <v>428000</v>
      </c>
      <c r="K64" s="45">
        <v>0</v>
      </c>
      <c r="L64" s="45">
        <v>0</v>
      </c>
      <c r="M64" s="45">
        <v>0</v>
      </c>
      <c r="N64" s="45">
        <f t="shared" si="8"/>
        <v>469743</v>
      </c>
      <c r="O64" s="46">
        <f t="shared" si="7"/>
        <v>0.38214535000073219</v>
      </c>
      <c r="P64" s="9"/>
    </row>
    <row r="65" spans="1:16">
      <c r="A65" s="11"/>
      <c r="B65" s="24">
        <v>335.7</v>
      </c>
      <c r="C65" s="19" t="s">
        <v>62</v>
      </c>
      <c r="D65" s="45">
        <v>0</v>
      </c>
      <c r="E65" s="45">
        <v>2267178</v>
      </c>
      <c r="F65" s="45">
        <v>0</v>
      </c>
      <c r="G65" s="45">
        <v>0</v>
      </c>
      <c r="H65" s="45">
        <v>0</v>
      </c>
      <c r="I65" s="45">
        <v>0</v>
      </c>
      <c r="J65" s="45">
        <v>0</v>
      </c>
      <c r="K65" s="45">
        <v>0</v>
      </c>
      <c r="L65" s="45">
        <v>0</v>
      </c>
      <c r="M65" s="45">
        <v>0</v>
      </c>
      <c r="N65" s="45">
        <f t="shared" si="8"/>
        <v>2267178</v>
      </c>
      <c r="O65" s="46">
        <f t="shared" si="7"/>
        <v>1.8443947654865744</v>
      </c>
      <c r="P65" s="9"/>
    </row>
    <row r="66" spans="1:16">
      <c r="A66" s="11"/>
      <c r="B66" s="24">
        <v>335.8</v>
      </c>
      <c r="C66" s="19" t="s">
        <v>63</v>
      </c>
      <c r="D66" s="45">
        <v>0</v>
      </c>
      <c r="E66" s="45">
        <v>29102757</v>
      </c>
      <c r="F66" s="45">
        <v>0</v>
      </c>
      <c r="G66" s="45">
        <v>0</v>
      </c>
      <c r="H66" s="45">
        <v>0</v>
      </c>
      <c r="I66" s="45">
        <v>0</v>
      </c>
      <c r="J66" s="45">
        <v>0</v>
      </c>
      <c r="K66" s="45">
        <v>0</v>
      </c>
      <c r="L66" s="45">
        <v>0</v>
      </c>
      <c r="M66" s="45">
        <v>0</v>
      </c>
      <c r="N66" s="45">
        <f t="shared" si="8"/>
        <v>29102757</v>
      </c>
      <c r="O66" s="46">
        <f t="shared" si="7"/>
        <v>23.675676401247614</v>
      </c>
      <c r="P66" s="9"/>
    </row>
    <row r="67" spans="1:16">
      <c r="A67" s="11"/>
      <c r="B67" s="24">
        <v>337.1</v>
      </c>
      <c r="C67" s="19" t="s">
        <v>64</v>
      </c>
      <c r="D67" s="45">
        <v>0</v>
      </c>
      <c r="E67" s="45">
        <v>88000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>
        <v>0</v>
      </c>
      <c r="N67" s="45">
        <f t="shared" ref="N67:N74" si="9">SUM(D67:M67)</f>
        <v>88000</v>
      </c>
      <c r="O67" s="46">
        <f t="shared" si="7"/>
        <v>7.1589764616108026E-2</v>
      </c>
      <c r="P67" s="9"/>
    </row>
    <row r="68" spans="1:16">
      <c r="A68" s="11"/>
      <c r="B68" s="24">
        <v>337.2</v>
      </c>
      <c r="C68" s="19" t="s">
        <v>65</v>
      </c>
      <c r="D68" s="45">
        <v>0</v>
      </c>
      <c r="E68" s="45">
        <v>94156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</v>
      </c>
      <c r="L68" s="45">
        <v>0</v>
      </c>
      <c r="M68" s="45">
        <v>0</v>
      </c>
      <c r="N68" s="45">
        <f t="shared" si="9"/>
        <v>94156</v>
      </c>
      <c r="O68" s="46">
        <f t="shared" si="7"/>
        <v>7.6597794059025767E-2</v>
      </c>
      <c r="P68" s="9"/>
    </row>
    <row r="69" spans="1:16">
      <c r="A69" s="11"/>
      <c r="B69" s="24">
        <v>337.3</v>
      </c>
      <c r="C69" s="19" t="s">
        <v>66</v>
      </c>
      <c r="D69" s="45">
        <v>4477</v>
      </c>
      <c r="E69" s="45">
        <v>786497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5">
        <v>0</v>
      </c>
      <c r="L69" s="45">
        <v>0</v>
      </c>
      <c r="M69" s="45">
        <v>0</v>
      </c>
      <c r="N69" s="45">
        <f t="shared" si="9"/>
        <v>790974</v>
      </c>
      <c r="O69" s="46">
        <f t="shared" ref="O69:O100" si="10">(N69/O$139)</f>
        <v>0.64347320997115254</v>
      </c>
      <c r="P69" s="9"/>
    </row>
    <row r="70" spans="1:16">
      <c r="A70" s="11"/>
      <c r="B70" s="24">
        <v>337.4</v>
      </c>
      <c r="C70" s="19" t="s">
        <v>172</v>
      </c>
      <c r="D70" s="45">
        <v>0</v>
      </c>
      <c r="E70" s="45">
        <v>1603445</v>
      </c>
      <c r="F70" s="45">
        <v>0</v>
      </c>
      <c r="G70" s="45">
        <v>0</v>
      </c>
      <c r="H70" s="45">
        <v>0</v>
      </c>
      <c r="I70" s="45">
        <v>0</v>
      </c>
      <c r="J70" s="45">
        <v>0</v>
      </c>
      <c r="K70" s="45">
        <v>0</v>
      </c>
      <c r="L70" s="45">
        <v>0</v>
      </c>
      <c r="M70" s="45">
        <v>0</v>
      </c>
      <c r="N70" s="45">
        <f t="shared" si="9"/>
        <v>1603445</v>
      </c>
      <c r="O70" s="46">
        <f t="shared" si="10"/>
        <v>1.3044346605099468</v>
      </c>
      <c r="P70" s="9"/>
    </row>
    <row r="71" spans="1:16">
      <c r="A71" s="11"/>
      <c r="B71" s="24">
        <v>337.5</v>
      </c>
      <c r="C71" s="19" t="s">
        <v>67</v>
      </c>
      <c r="D71" s="45">
        <v>0</v>
      </c>
      <c r="E71" s="45">
        <v>-59948</v>
      </c>
      <c r="F71" s="45">
        <v>0</v>
      </c>
      <c r="G71" s="45">
        <v>0</v>
      </c>
      <c r="H71" s="45">
        <v>0</v>
      </c>
      <c r="I71" s="45">
        <v>0</v>
      </c>
      <c r="J71" s="45">
        <v>0</v>
      </c>
      <c r="K71" s="45">
        <v>0</v>
      </c>
      <c r="L71" s="45">
        <v>0</v>
      </c>
      <c r="M71" s="45">
        <v>0</v>
      </c>
      <c r="N71" s="45">
        <f t="shared" si="9"/>
        <v>-59948</v>
      </c>
      <c r="O71" s="46">
        <f t="shared" si="10"/>
        <v>-4.8768900104618679E-2</v>
      </c>
      <c r="P71" s="9"/>
    </row>
    <row r="72" spans="1:16">
      <c r="A72" s="11"/>
      <c r="B72" s="24">
        <v>337.9</v>
      </c>
      <c r="C72" s="19" t="s">
        <v>69</v>
      </c>
      <c r="D72" s="45">
        <v>19096</v>
      </c>
      <c r="E72" s="45">
        <v>50000</v>
      </c>
      <c r="F72" s="45">
        <v>0</v>
      </c>
      <c r="G72" s="45">
        <v>0</v>
      </c>
      <c r="H72" s="45">
        <v>0</v>
      </c>
      <c r="I72" s="45">
        <v>0</v>
      </c>
      <c r="J72" s="45">
        <v>0</v>
      </c>
      <c r="K72" s="45">
        <v>0</v>
      </c>
      <c r="L72" s="45">
        <v>0</v>
      </c>
      <c r="M72" s="45">
        <v>0</v>
      </c>
      <c r="N72" s="45">
        <f t="shared" si="9"/>
        <v>69096</v>
      </c>
      <c r="O72" s="46">
        <f t="shared" si="10"/>
        <v>5.621098154448409E-2</v>
      </c>
      <c r="P72" s="9"/>
    </row>
    <row r="73" spans="1:16" ht="15.75">
      <c r="A73" s="28" t="s">
        <v>75</v>
      </c>
      <c r="B73" s="29"/>
      <c r="C73" s="30"/>
      <c r="D73" s="31">
        <f>SUM(D74:D111)</f>
        <v>103533155</v>
      </c>
      <c r="E73" s="31">
        <f t="shared" ref="E73:M73" si="11">SUM(E74:E111)</f>
        <v>26567657</v>
      </c>
      <c r="F73" s="31">
        <f t="shared" si="11"/>
        <v>394830</v>
      </c>
      <c r="G73" s="31">
        <f t="shared" si="11"/>
        <v>0</v>
      </c>
      <c r="H73" s="31">
        <f t="shared" si="11"/>
        <v>0</v>
      </c>
      <c r="I73" s="31">
        <f t="shared" si="11"/>
        <v>275108000</v>
      </c>
      <c r="J73" s="31">
        <f t="shared" si="11"/>
        <v>116517000</v>
      </c>
      <c r="K73" s="31">
        <f t="shared" si="11"/>
        <v>0</v>
      </c>
      <c r="L73" s="31">
        <f t="shared" si="11"/>
        <v>0</v>
      </c>
      <c r="M73" s="31">
        <f t="shared" si="11"/>
        <v>2186000</v>
      </c>
      <c r="N73" s="31">
        <f t="shared" si="9"/>
        <v>524306642</v>
      </c>
      <c r="O73" s="44">
        <f t="shared" si="10"/>
        <v>426.53396690275019</v>
      </c>
      <c r="P73" s="10"/>
    </row>
    <row r="74" spans="1:16">
      <c r="A74" s="11"/>
      <c r="B74" s="24">
        <v>341.1</v>
      </c>
      <c r="C74" s="19" t="s">
        <v>78</v>
      </c>
      <c r="D74" s="45">
        <v>3320133</v>
      </c>
      <c r="E74" s="45">
        <v>0</v>
      </c>
      <c r="F74" s="45">
        <v>0</v>
      </c>
      <c r="G74" s="45">
        <v>0</v>
      </c>
      <c r="H74" s="45">
        <v>0</v>
      </c>
      <c r="I74" s="45">
        <v>0</v>
      </c>
      <c r="J74" s="45">
        <v>0</v>
      </c>
      <c r="K74" s="45">
        <v>0</v>
      </c>
      <c r="L74" s="45">
        <v>0</v>
      </c>
      <c r="M74" s="45">
        <v>0</v>
      </c>
      <c r="N74" s="45">
        <f t="shared" si="9"/>
        <v>3320133</v>
      </c>
      <c r="O74" s="46">
        <f t="shared" si="10"/>
        <v>2.7009947723201431</v>
      </c>
      <c r="P74" s="9"/>
    </row>
    <row r="75" spans="1:16">
      <c r="A75" s="11"/>
      <c r="B75" s="24">
        <v>341.15</v>
      </c>
      <c r="C75" s="19" t="s">
        <v>79</v>
      </c>
      <c r="D75" s="45">
        <v>0</v>
      </c>
      <c r="E75" s="45">
        <v>1620298</v>
      </c>
      <c r="F75" s="45">
        <v>0</v>
      </c>
      <c r="G75" s="45">
        <v>0</v>
      </c>
      <c r="H75" s="45">
        <v>0</v>
      </c>
      <c r="I75" s="45">
        <v>0</v>
      </c>
      <c r="J75" s="45">
        <v>0</v>
      </c>
      <c r="K75" s="45">
        <v>0</v>
      </c>
      <c r="L75" s="45">
        <v>0</v>
      </c>
      <c r="M75" s="45">
        <v>0</v>
      </c>
      <c r="N75" s="45">
        <f t="shared" ref="N75:N111" si="12">SUM(D75:M75)</f>
        <v>1620298</v>
      </c>
      <c r="O75" s="46">
        <f t="shared" si="10"/>
        <v>1.318144913953984</v>
      </c>
      <c r="P75" s="9"/>
    </row>
    <row r="76" spans="1:16">
      <c r="A76" s="11"/>
      <c r="B76" s="24">
        <v>341.16</v>
      </c>
      <c r="C76" s="19" t="s">
        <v>80</v>
      </c>
      <c r="D76" s="45">
        <v>0</v>
      </c>
      <c r="E76" s="45">
        <v>1302906</v>
      </c>
      <c r="F76" s="45">
        <v>0</v>
      </c>
      <c r="G76" s="45">
        <v>0</v>
      </c>
      <c r="H76" s="45">
        <v>0</v>
      </c>
      <c r="I76" s="45">
        <v>0</v>
      </c>
      <c r="J76" s="45">
        <v>0</v>
      </c>
      <c r="K76" s="45">
        <v>0</v>
      </c>
      <c r="L76" s="45">
        <v>0</v>
      </c>
      <c r="M76" s="45">
        <v>0</v>
      </c>
      <c r="N76" s="45">
        <f t="shared" si="12"/>
        <v>1302906</v>
      </c>
      <c r="O76" s="46">
        <f t="shared" si="10"/>
        <v>1.0599401574649414</v>
      </c>
      <c r="P76" s="9"/>
    </row>
    <row r="77" spans="1:16">
      <c r="A77" s="11"/>
      <c r="B77" s="24">
        <v>341.2</v>
      </c>
      <c r="C77" s="19" t="s">
        <v>81</v>
      </c>
      <c r="D77" s="45">
        <v>1</v>
      </c>
      <c r="E77" s="45">
        <v>0</v>
      </c>
      <c r="F77" s="45">
        <v>0</v>
      </c>
      <c r="G77" s="45">
        <v>0</v>
      </c>
      <c r="H77" s="45">
        <v>0</v>
      </c>
      <c r="I77" s="45">
        <v>0</v>
      </c>
      <c r="J77" s="45">
        <v>116517000</v>
      </c>
      <c r="K77" s="45">
        <v>0</v>
      </c>
      <c r="L77" s="45">
        <v>0</v>
      </c>
      <c r="M77" s="45">
        <v>0</v>
      </c>
      <c r="N77" s="45">
        <f t="shared" si="12"/>
        <v>116517001</v>
      </c>
      <c r="O77" s="46">
        <f t="shared" si="10"/>
        <v>94.788916765509356</v>
      </c>
      <c r="P77" s="9"/>
    </row>
    <row r="78" spans="1:16">
      <c r="A78" s="11"/>
      <c r="B78" s="24">
        <v>341.3</v>
      </c>
      <c r="C78" s="19" t="s">
        <v>82</v>
      </c>
      <c r="D78" s="45">
        <v>127354</v>
      </c>
      <c r="E78" s="45">
        <v>757</v>
      </c>
      <c r="F78" s="45">
        <v>0</v>
      </c>
      <c r="G78" s="45">
        <v>0</v>
      </c>
      <c r="H78" s="45">
        <v>0</v>
      </c>
      <c r="I78" s="45">
        <v>0</v>
      </c>
      <c r="J78" s="45">
        <v>0</v>
      </c>
      <c r="K78" s="45">
        <v>0</v>
      </c>
      <c r="L78" s="45">
        <v>0</v>
      </c>
      <c r="M78" s="45">
        <v>0</v>
      </c>
      <c r="N78" s="45">
        <f t="shared" si="12"/>
        <v>128111</v>
      </c>
      <c r="O78" s="46">
        <f t="shared" si="10"/>
        <v>0.10422086744016153</v>
      </c>
      <c r="P78" s="9"/>
    </row>
    <row r="79" spans="1:16">
      <c r="A79" s="11"/>
      <c r="B79" s="24">
        <v>341.52</v>
      </c>
      <c r="C79" s="19" t="s">
        <v>83</v>
      </c>
      <c r="D79" s="45">
        <v>2308650</v>
      </c>
      <c r="E79" s="45">
        <v>63880</v>
      </c>
      <c r="F79" s="45">
        <v>0</v>
      </c>
      <c r="G79" s="45">
        <v>0</v>
      </c>
      <c r="H79" s="45">
        <v>0</v>
      </c>
      <c r="I79" s="45">
        <v>0</v>
      </c>
      <c r="J79" s="45">
        <v>0</v>
      </c>
      <c r="K79" s="45">
        <v>0</v>
      </c>
      <c r="L79" s="45">
        <v>0</v>
      </c>
      <c r="M79" s="45">
        <v>0</v>
      </c>
      <c r="N79" s="45">
        <f t="shared" si="12"/>
        <v>2372530</v>
      </c>
      <c r="O79" s="46">
        <f t="shared" si="10"/>
        <v>1.9301007300528952</v>
      </c>
      <c r="P79" s="9"/>
    </row>
    <row r="80" spans="1:16">
      <c r="A80" s="11"/>
      <c r="B80" s="24">
        <v>341.55</v>
      </c>
      <c r="C80" s="19" t="s">
        <v>84</v>
      </c>
      <c r="D80" s="45">
        <v>26714</v>
      </c>
      <c r="E80" s="45">
        <v>0</v>
      </c>
      <c r="F80" s="45">
        <v>0</v>
      </c>
      <c r="G80" s="45">
        <v>0</v>
      </c>
      <c r="H80" s="45">
        <v>0</v>
      </c>
      <c r="I80" s="45">
        <v>0</v>
      </c>
      <c r="J80" s="45">
        <v>0</v>
      </c>
      <c r="K80" s="45">
        <v>0</v>
      </c>
      <c r="L80" s="45">
        <v>0</v>
      </c>
      <c r="M80" s="45">
        <v>0</v>
      </c>
      <c r="N80" s="45">
        <f t="shared" si="12"/>
        <v>26714</v>
      </c>
      <c r="O80" s="46">
        <f t="shared" si="10"/>
        <v>2.1732374681303519E-2</v>
      </c>
      <c r="P80" s="9"/>
    </row>
    <row r="81" spans="1:16">
      <c r="A81" s="11"/>
      <c r="B81" s="24">
        <v>341.8</v>
      </c>
      <c r="C81" s="19" t="s">
        <v>85</v>
      </c>
      <c r="D81" s="45">
        <v>17471954</v>
      </c>
      <c r="E81" s="45">
        <v>10167125</v>
      </c>
      <c r="F81" s="45">
        <v>0</v>
      </c>
      <c r="G81" s="45">
        <v>0</v>
      </c>
      <c r="H81" s="45">
        <v>0</v>
      </c>
      <c r="I81" s="45">
        <v>0</v>
      </c>
      <c r="J81" s="45">
        <v>0</v>
      </c>
      <c r="K81" s="45">
        <v>0</v>
      </c>
      <c r="L81" s="45">
        <v>0</v>
      </c>
      <c r="M81" s="45">
        <v>0</v>
      </c>
      <c r="N81" s="45">
        <f t="shared" si="12"/>
        <v>27639079</v>
      </c>
      <c r="O81" s="46">
        <f t="shared" si="10"/>
        <v>22.484944997909253</v>
      </c>
      <c r="P81" s="9"/>
    </row>
    <row r="82" spans="1:16">
      <c r="A82" s="11"/>
      <c r="B82" s="24">
        <v>341.9</v>
      </c>
      <c r="C82" s="19" t="s">
        <v>86</v>
      </c>
      <c r="D82" s="45">
        <v>52216473</v>
      </c>
      <c r="E82" s="45">
        <v>1992466</v>
      </c>
      <c r="F82" s="45">
        <v>0</v>
      </c>
      <c r="G82" s="45">
        <v>0</v>
      </c>
      <c r="H82" s="45">
        <v>0</v>
      </c>
      <c r="I82" s="45">
        <v>0</v>
      </c>
      <c r="J82" s="45">
        <v>0</v>
      </c>
      <c r="K82" s="45">
        <v>0</v>
      </c>
      <c r="L82" s="45">
        <v>0</v>
      </c>
      <c r="M82" s="45">
        <v>848817</v>
      </c>
      <c r="N82" s="45">
        <f t="shared" si="12"/>
        <v>55057756</v>
      </c>
      <c r="O82" s="46">
        <f t="shared" si="10"/>
        <v>44.790588549217148</v>
      </c>
      <c r="P82" s="9"/>
    </row>
    <row r="83" spans="1:16">
      <c r="A83" s="11"/>
      <c r="B83" s="24">
        <v>342.1</v>
      </c>
      <c r="C83" s="19" t="s">
        <v>87</v>
      </c>
      <c r="D83" s="45">
        <v>2475739</v>
      </c>
      <c r="E83" s="45">
        <v>0</v>
      </c>
      <c r="F83" s="45">
        <v>0</v>
      </c>
      <c r="G83" s="45">
        <v>0</v>
      </c>
      <c r="H83" s="45">
        <v>0</v>
      </c>
      <c r="I83" s="45">
        <v>0</v>
      </c>
      <c r="J83" s="45">
        <v>0</v>
      </c>
      <c r="K83" s="45">
        <v>0</v>
      </c>
      <c r="L83" s="45">
        <v>0</v>
      </c>
      <c r="M83" s="45">
        <v>0</v>
      </c>
      <c r="N83" s="45">
        <f t="shared" si="12"/>
        <v>2475739</v>
      </c>
      <c r="O83" s="46">
        <f t="shared" si="10"/>
        <v>2.0140633211468031</v>
      </c>
      <c r="P83" s="9"/>
    </row>
    <row r="84" spans="1:16">
      <c r="A84" s="11"/>
      <c r="B84" s="24">
        <v>342.2</v>
      </c>
      <c r="C84" s="19" t="s">
        <v>88</v>
      </c>
      <c r="D84" s="45">
        <v>1795090</v>
      </c>
      <c r="E84" s="45">
        <v>0</v>
      </c>
      <c r="F84" s="45">
        <v>0</v>
      </c>
      <c r="G84" s="45">
        <v>0</v>
      </c>
      <c r="H84" s="45">
        <v>0</v>
      </c>
      <c r="I84" s="45">
        <v>0</v>
      </c>
      <c r="J84" s="45">
        <v>0</v>
      </c>
      <c r="K84" s="45">
        <v>0</v>
      </c>
      <c r="L84" s="45">
        <v>0</v>
      </c>
      <c r="M84" s="45">
        <v>0</v>
      </c>
      <c r="N84" s="45">
        <f t="shared" si="12"/>
        <v>1795090</v>
      </c>
      <c r="O84" s="46">
        <f t="shared" si="10"/>
        <v>1.4603417109628336</v>
      </c>
      <c r="P84" s="9"/>
    </row>
    <row r="85" spans="1:16">
      <c r="A85" s="11"/>
      <c r="B85" s="24">
        <v>342.3</v>
      </c>
      <c r="C85" s="19" t="s">
        <v>89</v>
      </c>
      <c r="D85" s="45">
        <v>28322</v>
      </c>
      <c r="E85" s="45">
        <v>0</v>
      </c>
      <c r="F85" s="45">
        <v>0</v>
      </c>
      <c r="G85" s="45">
        <v>0</v>
      </c>
      <c r="H85" s="45">
        <v>0</v>
      </c>
      <c r="I85" s="45">
        <v>0</v>
      </c>
      <c r="J85" s="45">
        <v>0</v>
      </c>
      <c r="K85" s="45">
        <v>0</v>
      </c>
      <c r="L85" s="45">
        <v>0</v>
      </c>
      <c r="M85" s="45">
        <v>0</v>
      </c>
      <c r="N85" s="45">
        <f t="shared" si="12"/>
        <v>28322</v>
      </c>
      <c r="O85" s="46">
        <f t="shared" si="10"/>
        <v>2.3040514925652403E-2</v>
      </c>
      <c r="P85" s="9"/>
    </row>
    <row r="86" spans="1:16">
      <c r="A86" s="11"/>
      <c r="B86" s="24">
        <v>342.5</v>
      </c>
      <c r="C86" s="19" t="s">
        <v>90</v>
      </c>
      <c r="D86" s="45">
        <v>368824</v>
      </c>
      <c r="E86" s="45">
        <v>0</v>
      </c>
      <c r="F86" s="45">
        <v>0</v>
      </c>
      <c r="G86" s="45">
        <v>0</v>
      </c>
      <c r="H86" s="45">
        <v>0</v>
      </c>
      <c r="I86" s="45">
        <v>0</v>
      </c>
      <c r="J86" s="45">
        <v>0</v>
      </c>
      <c r="K86" s="45">
        <v>0</v>
      </c>
      <c r="L86" s="45">
        <v>0</v>
      </c>
      <c r="M86" s="45">
        <v>0</v>
      </c>
      <c r="N86" s="45">
        <f t="shared" si="12"/>
        <v>368824</v>
      </c>
      <c r="O86" s="46">
        <f t="shared" si="10"/>
        <v>0.300045719826948</v>
      </c>
      <c r="P86" s="9"/>
    </row>
    <row r="87" spans="1:16">
      <c r="A87" s="11"/>
      <c r="B87" s="24">
        <v>342.6</v>
      </c>
      <c r="C87" s="19" t="s">
        <v>91</v>
      </c>
      <c r="D87" s="45">
        <v>9488086</v>
      </c>
      <c r="E87" s="45">
        <v>0</v>
      </c>
      <c r="F87" s="45">
        <v>0</v>
      </c>
      <c r="G87" s="45">
        <v>0</v>
      </c>
      <c r="H87" s="45">
        <v>0</v>
      </c>
      <c r="I87" s="45">
        <v>0</v>
      </c>
      <c r="J87" s="45">
        <v>0</v>
      </c>
      <c r="K87" s="45">
        <v>0</v>
      </c>
      <c r="L87" s="45">
        <v>0</v>
      </c>
      <c r="M87" s="45">
        <v>0</v>
      </c>
      <c r="N87" s="45">
        <f t="shared" si="12"/>
        <v>9488086</v>
      </c>
      <c r="O87" s="46">
        <f t="shared" si="10"/>
        <v>7.7187482204248852</v>
      </c>
      <c r="P87" s="9"/>
    </row>
    <row r="88" spans="1:16">
      <c r="A88" s="11"/>
      <c r="B88" s="24">
        <v>342.9</v>
      </c>
      <c r="C88" s="19" t="s">
        <v>92</v>
      </c>
      <c r="D88" s="45">
        <v>83190</v>
      </c>
      <c r="E88" s="45">
        <v>561036</v>
      </c>
      <c r="F88" s="45">
        <v>0</v>
      </c>
      <c r="G88" s="45">
        <v>0</v>
      </c>
      <c r="H88" s="45">
        <v>0</v>
      </c>
      <c r="I88" s="45">
        <v>0</v>
      </c>
      <c r="J88" s="45">
        <v>0</v>
      </c>
      <c r="K88" s="45">
        <v>0</v>
      </c>
      <c r="L88" s="45">
        <v>0</v>
      </c>
      <c r="M88" s="45">
        <v>0</v>
      </c>
      <c r="N88" s="45">
        <f t="shared" si="12"/>
        <v>644226</v>
      </c>
      <c r="O88" s="46">
        <f t="shared" si="10"/>
        <v>0.52409076931337284</v>
      </c>
      <c r="P88" s="9"/>
    </row>
    <row r="89" spans="1:16">
      <c r="A89" s="11"/>
      <c r="B89" s="24">
        <v>343.4</v>
      </c>
      <c r="C89" s="19" t="s">
        <v>93</v>
      </c>
      <c r="D89" s="45">
        <v>0</v>
      </c>
      <c r="E89" s="45">
        <v>0</v>
      </c>
      <c r="F89" s="45">
        <v>0</v>
      </c>
      <c r="G89" s="45">
        <v>0</v>
      </c>
      <c r="H89" s="45">
        <v>0</v>
      </c>
      <c r="I89" s="45">
        <v>97793000</v>
      </c>
      <c r="J89" s="45">
        <v>0</v>
      </c>
      <c r="K89" s="45">
        <v>0</v>
      </c>
      <c r="L89" s="45">
        <v>0</v>
      </c>
      <c r="M89" s="45">
        <v>0</v>
      </c>
      <c r="N89" s="45">
        <f t="shared" si="12"/>
        <v>97793000</v>
      </c>
      <c r="O89" s="46">
        <f t="shared" si="10"/>
        <v>79.556566489807409</v>
      </c>
      <c r="P89" s="9"/>
    </row>
    <row r="90" spans="1:16">
      <c r="A90" s="11"/>
      <c r="B90" s="24">
        <v>343.6</v>
      </c>
      <c r="C90" s="19" t="s">
        <v>94</v>
      </c>
      <c r="D90" s="45">
        <v>0</v>
      </c>
      <c r="E90" s="45">
        <v>0</v>
      </c>
      <c r="F90" s="45">
        <v>0</v>
      </c>
      <c r="G90" s="45">
        <v>0</v>
      </c>
      <c r="H90" s="45">
        <v>0</v>
      </c>
      <c r="I90" s="45">
        <v>177315000</v>
      </c>
      <c r="J90" s="45">
        <v>0</v>
      </c>
      <c r="K90" s="45">
        <v>0</v>
      </c>
      <c r="L90" s="45">
        <v>0</v>
      </c>
      <c r="M90" s="45">
        <v>0</v>
      </c>
      <c r="N90" s="45">
        <f t="shared" si="12"/>
        <v>177315000</v>
      </c>
      <c r="O90" s="46">
        <f t="shared" si="10"/>
        <v>144.2493081011954</v>
      </c>
      <c r="P90" s="9"/>
    </row>
    <row r="91" spans="1:16">
      <c r="A91" s="11"/>
      <c r="B91" s="24">
        <v>343.7</v>
      </c>
      <c r="C91" s="19" t="s">
        <v>95</v>
      </c>
      <c r="D91" s="45">
        <v>1398915</v>
      </c>
      <c r="E91" s="45">
        <v>961850</v>
      </c>
      <c r="F91" s="45">
        <v>0</v>
      </c>
      <c r="G91" s="45">
        <v>0</v>
      </c>
      <c r="H91" s="45">
        <v>0</v>
      </c>
      <c r="I91" s="45">
        <v>0</v>
      </c>
      <c r="J91" s="45">
        <v>0</v>
      </c>
      <c r="K91" s="45">
        <v>0</v>
      </c>
      <c r="L91" s="45">
        <v>0</v>
      </c>
      <c r="M91" s="45">
        <v>0</v>
      </c>
      <c r="N91" s="45">
        <f t="shared" si="12"/>
        <v>2360765</v>
      </c>
      <c r="O91" s="46">
        <f t="shared" si="10"/>
        <v>1.920529666635753</v>
      </c>
      <c r="P91" s="9"/>
    </row>
    <row r="92" spans="1:16">
      <c r="A92" s="11"/>
      <c r="B92" s="24">
        <v>343.9</v>
      </c>
      <c r="C92" s="19" t="s">
        <v>96</v>
      </c>
      <c r="D92" s="45">
        <v>1554338</v>
      </c>
      <c r="E92" s="45">
        <v>324277</v>
      </c>
      <c r="F92" s="45">
        <v>0</v>
      </c>
      <c r="G92" s="45">
        <v>0</v>
      </c>
      <c r="H92" s="45">
        <v>0</v>
      </c>
      <c r="I92" s="45">
        <v>0</v>
      </c>
      <c r="J92" s="45">
        <v>0</v>
      </c>
      <c r="K92" s="45">
        <v>0</v>
      </c>
      <c r="L92" s="45">
        <v>0</v>
      </c>
      <c r="M92" s="45">
        <v>0</v>
      </c>
      <c r="N92" s="45">
        <f t="shared" si="12"/>
        <v>1878615</v>
      </c>
      <c r="O92" s="46">
        <f t="shared" si="10"/>
        <v>1.5282909733442021</v>
      </c>
      <c r="P92" s="9"/>
    </row>
    <row r="93" spans="1:16">
      <c r="A93" s="11"/>
      <c r="B93" s="24">
        <v>344.5</v>
      </c>
      <c r="C93" s="19" t="s">
        <v>97</v>
      </c>
      <c r="D93" s="45">
        <v>857989</v>
      </c>
      <c r="E93" s="45">
        <v>0</v>
      </c>
      <c r="F93" s="45">
        <v>0</v>
      </c>
      <c r="G93" s="45">
        <v>0</v>
      </c>
      <c r="H93" s="45">
        <v>0</v>
      </c>
      <c r="I93" s="45">
        <v>0</v>
      </c>
      <c r="J93" s="45">
        <v>0</v>
      </c>
      <c r="K93" s="45">
        <v>0</v>
      </c>
      <c r="L93" s="45">
        <v>0</v>
      </c>
      <c r="M93" s="45">
        <v>0</v>
      </c>
      <c r="N93" s="45">
        <f t="shared" si="12"/>
        <v>857989</v>
      </c>
      <c r="O93" s="46">
        <f t="shared" si="10"/>
        <v>0.69799125628647618</v>
      </c>
      <c r="P93" s="9"/>
    </row>
    <row r="94" spans="1:16">
      <c r="A94" s="11"/>
      <c r="B94" s="24">
        <v>344.9</v>
      </c>
      <c r="C94" s="19" t="s">
        <v>98</v>
      </c>
      <c r="D94" s="45">
        <v>1457703</v>
      </c>
      <c r="E94" s="45">
        <v>2854507</v>
      </c>
      <c r="F94" s="45">
        <v>0</v>
      </c>
      <c r="G94" s="45">
        <v>0</v>
      </c>
      <c r="H94" s="45">
        <v>0</v>
      </c>
      <c r="I94" s="45">
        <v>0</v>
      </c>
      <c r="J94" s="45">
        <v>0</v>
      </c>
      <c r="K94" s="45">
        <v>0</v>
      </c>
      <c r="L94" s="45">
        <v>0</v>
      </c>
      <c r="M94" s="45">
        <v>0</v>
      </c>
      <c r="N94" s="45">
        <f t="shared" si="12"/>
        <v>4312210</v>
      </c>
      <c r="O94" s="46">
        <f t="shared" si="10"/>
        <v>3.5080693054003089</v>
      </c>
      <c r="P94" s="9"/>
    </row>
    <row r="95" spans="1:16">
      <c r="A95" s="11"/>
      <c r="B95" s="24">
        <v>345.1</v>
      </c>
      <c r="C95" s="19" t="s">
        <v>99</v>
      </c>
      <c r="D95" s="45">
        <v>0</v>
      </c>
      <c r="E95" s="45">
        <v>0</v>
      </c>
      <c r="F95" s="45">
        <v>0</v>
      </c>
      <c r="G95" s="45">
        <v>0</v>
      </c>
      <c r="H95" s="45">
        <v>0</v>
      </c>
      <c r="I95" s="45">
        <v>0</v>
      </c>
      <c r="J95" s="45">
        <v>0</v>
      </c>
      <c r="K95" s="45">
        <v>0</v>
      </c>
      <c r="L95" s="45">
        <v>0</v>
      </c>
      <c r="M95" s="45">
        <v>908000</v>
      </c>
      <c r="N95" s="45">
        <f t="shared" si="12"/>
        <v>908000</v>
      </c>
      <c r="O95" s="46">
        <f t="shared" si="10"/>
        <v>0.73867620762984187</v>
      </c>
      <c r="P95" s="9"/>
    </row>
    <row r="96" spans="1:16">
      <c r="A96" s="11"/>
      <c r="B96" s="24">
        <v>345.9</v>
      </c>
      <c r="C96" s="19" t="s">
        <v>100</v>
      </c>
      <c r="D96" s="45">
        <v>74001</v>
      </c>
      <c r="E96" s="45">
        <v>0</v>
      </c>
      <c r="F96" s="45">
        <v>0</v>
      </c>
      <c r="G96" s="45">
        <v>0</v>
      </c>
      <c r="H96" s="45">
        <v>0</v>
      </c>
      <c r="I96" s="45">
        <v>0</v>
      </c>
      <c r="J96" s="45">
        <v>0</v>
      </c>
      <c r="K96" s="45">
        <v>0</v>
      </c>
      <c r="L96" s="45">
        <v>0</v>
      </c>
      <c r="M96" s="45">
        <v>0</v>
      </c>
      <c r="N96" s="45">
        <f t="shared" si="12"/>
        <v>74001</v>
      </c>
      <c r="O96" s="46">
        <f t="shared" si="10"/>
        <v>6.0201297401779659E-2</v>
      </c>
      <c r="P96" s="9"/>
    </row>
    <row r="97" spans="1:16">
      <c r="A97" s="11"/>
      <c r="B97" s="24">
        <v>346.1</v>
      </c>
      <c r="C97" s="19" t="s">
        <v>173</v>
      </c>
      <c r="D97" s="45">
        <v>312462</v>
      </c>
      <c r="E97" s="45">
        <v>0</v>
      </c>
      <c r="F97" s="45">
        <v>0</v>
      </c>
      <c r="G97" s="45">
        <v>0</v>
      </c>
      <c r="H97" s="45">
        <v>0</v>
      </c>
      <c r="I97" s="45">
        <v>0</v>
      </c>
      <c r="J97" s="45">
        <v>0</v>
      </c>
      <c r="K97" s="45">
        <v>0</v>
      </c>
      <c r="L97" s="45">
        <v>0</v>
      </c>
      <c r="M97" s="45">
        <v>0</v>
      </c>
      <c r="N97" s="45">
        <f t="shared" si="12"/>
        <v>312462</v>
      </c>
      <c r="O97" s="46">
        <f t="shared" si="10"/>
        <v>0.25419410263043574</v>
      </c>
      <c r="P97" s="9"/>
    </row>
    <row r="98" spans="1:16">
      <c r="A98" s="11"/>
      <c r="B98" s="24">
        <v>346.9</v>
      </c>
      <c r="C98" s="19" t="s">
        <v>102</v>
      </c>
      <c r="D98" s="45">
        <v>341979</v>
      </c>
      <c r="E98" s="45">
        <v>1212293</v>
      </c>
      <c r="F98" s="45">
        <v>0</v>
      </c>
      <c r="G98" s="45">
        <v>0</v>
      </c>
      <c r="H98" s="45">
        <v>0</v>
      </c>
      <c r="I98" s="45">
        <v>0</v>
      </c>
      <c r="J98" s="45">
        <v>0</v>
      </c>
      <c r="K98" s="45">
        <v>0</v>
      </c>
      <c r="L98" s="45">
        <v>0</v>
      </c>
      <c r="M98" s="45">
        <v>0</v>
      </c>
      <c r="N98" s="45">
        <f t="shared" si="12"/>
        <v>1554272</v>
      </c>
      <c r="O98" s="46">
        <f t="shared" si="10"/>
        <v>1.2644314389705391</v>
      </c>
      <c r="P98" s="9"/>
    </row>
    <row r="99" spans="1:16">
      <c r="A99" s="11"/>
      <c r="B99" s="24">
        <v>347.1</v>
      </c>
      <c r="C99" s="19" t="s">
        <v>103</v>
      </c>
      <c r="D99" s="45">
        <v>0</v>
      </c>
      <c r="E99" s="45">
        <v>53890</v>
      </c>
      <c r="F99" s="45">
        <v>0</v>
      </c>
      <c r="G99" s="45">
        <v>0</v>
      </c>
      <c r="H99" s="45">
        <v>0</v>
      </c>
      <c r="I99" s="45">
        <v>0</v>
      </c>
      <c r="J99" s="45">
        <v>0</v>
      </c>
      <c r="K99" s="45">
        <v>0</v>
      </c>
      <c r="L99" s="45">
        <v>0</v>
      </c>
      <c r="M99" s="45">
        <v>0</v>
      </c>
      <c r="N99" s="45">
        <f t="shared" si="12"/>
        <v>53890</v>
      </c>
      <c r="O99" s="46">
        <f t="shared" si="10"/>
        <v>4.3840595626841609E-2</v>
      </c>
      <c r="P99" s="9"/>
    </row>
    <row r="100" spans="1:16">
      <c r="A100" s="11"/>
      <c r="B100" s="24">
        <v>347.2</v>
      </c>
      <c r="C100" s="19" t="s">
        <v>104</v>
      </c>
      <c r="D100" s="45">
        <v>4355267</v>
      </c>
      <c r="E100" s="45">
        <v>0</v>
      </c>
      <c r="F100" s="45">
        <v>0</v>
      </c>
      <c r="G100" s="45">
        <v>0</v>
      </c>
      <c r="H100" s="45">
        <v>0</v>
      </c>
      <c r="I100" s="45">
        <v>0</v>
      </c>
      <c r="J100" s="45">
        <v>0</v>
      </c>
      <c r="K100" s="45">
        <v>0</v>
      </c>
      <c r="L100" s="45">
        <v>0</v>
      </c>
      <c r="M100" s="45">
        <v>0</v>
      </c>
      <c r="N100" s="45">
        <f t="shared" si="12"/>
        <v>4355267</v>
      </c>
      <c r="O100" s="46">
        <f t="shared" si="10"/>
        <v>3.5430970382988969</v>
      </c>
      <c r="P100" s="9"/>
    </row>
    <row r="101" spans="1:16">
      <c r="A101" s="11"/>
      <c r="B101" s="24">
        <v>347.4</v>
      </c>
      <c r="C101" s="19" t="s">
        <v>105</v>
      </c>
      <c r="D101" s="45">
        <v>0</v>
      </c>
      <c r="E101" s="45">
        <v>0</v>
      </c>
      <c r="F101" s="45">
        <v>394830</v>
      </c>
      <c r="G101" s="45">
        <v>0</v>
      </c>
      <c r="H101" s="45">
        <v>0</v>
      </c>
      <c r="I101" s="45">
        <v>0</v>
      </c>
      <c r="J101" s="45">
        <v>0</v>
      </c>
      <c r="K101" s="45">
        <v>0</v>
      </c>
      <c r="L101" s="45">
        <v>0</v>
      </c>
      <c r="M101" s="45">
        <v>0</v>
      </c>
      <c r="N101" s="45">
        <f t="shared" si="12"/>
        <v>394830</v>
      </c>
      <c r="O101" s="46">
        <f t="shared" ref="O101:O132" si="13">(N101/O$139)</f>
        <v>0.32120212231111284</v>
      </c>
      <c r="P101" s="9"/>
    </row>
    <row r="102" spans="1:16">
      <c r="A102" s="11"/>
      <c r="B102" s="24">
        <v>347.5</v>
      </c>
      <c r="C102" s="19" t="s">
        <v>106</v>
      </c>
      <c r="D102" s="45">
        <v>154041</v>
      </c>
      <c r="E102" s="45">
        <v>0</v>
      </c>
      <c r="F102" s="45">
        <v>0</v>
      </c>
      <c r="G102" s="45">
        <v>0</v>
      </c>
      <c r="H102" s="45">
        <v>0</v>
      </c>
      <c r="I102" s="45">
        <v>0</v>
      </c>
      <c r="J102" s="45">
        <v>0</v>
      </c>
      <c r="K102" s="45">
        <v>0</v>
      </c>
      <c r="L102" s="45">
        <v>0</v>
      </c>
      <c r="M102" s="45">
        <v>0</v>
      </c>
      <c r="N102" s="45">
        <f t="shared" si="12"/>
        <v>154041</v>
      </c>
      <c r="O102" s="46">
        <f t="shared" si="13"/>
        <v>0.12531544240033973</v>
      </c>
      <c r="P102" s="9"/>
    </row>
    <row r="103" spans="1:16">
      <c r="A103" s="11"/>
      <c r="B103" s="24">
        <v>347.9</v>
      </c>
      <c r="C103" s="19" t="s">
        <v>107</v>
      </c>
      <c r="D103" s="45">
        <v>203118</v>
      </c>
      <c r="E103" s="45">
        <v>68485</v>
      </c>
      <c r="F103" s="45">
        <v>0</v>
      </c>
      <c r="G103" s="45">
        <v>0</v>
      </c>
      <c r="H103" s="45">
        <v>0</v>
      </c>
      <c r="I103" s="45">
        <v>0</v>
      </c>
      <c r="J103" s="45">
        <v>0</v>
      </c>
      <c r="K103" s="45">
        <v>0</v>
      </c>
      <c r="L103" s="45">
        <v>0</v>
      </c>
      <c r="M103" s="45">
        <v>0</v>
      </c>
      <c r="N103" s="45">
        <f t="shared" si="12"/>
        <v>271603</v>
      </c>
      <c r="O103" s="46">
        <f t="shared" si="13"/>
        <v>0.2209544868071453</v>
      </c>
      <c r="P103" s="9"/>
    </row>
    <row r="104" spans="1:16">
      <c r="A104" s="11"/>
      <c r="B104" s="24">
        <v>348.88</v>
      </c>
      <c r="C104" s="19" t="s">
        <v>108</v>
      </c>
      <c r="D104" s="45">
        <v>83229</v>
      </c>
      <c r="E104" s="45">
        <v>0</v>
      </c>
      <c r="F104" s="45">
        <v>0</v>
      </c>
      <c r="G104" s="45">
        <v>0</v>
      </c>
      <c r="H104" s="45">
        <v>0</v>
      </c>
      <c r="I104" s="45">
        <v>0</v>
      </c>
      <c r="J104" s="45">
        <v>0</v>
      </c>
      <c r="K104" s="45">
        <v>0</v>
      </c>
      <c r="L104" s="45">
        <v>0</v>
      </c>
      <c r="M104" s="45">
        <v>0</v>
      </c>
      <c r="N104" s="45">
        <f t="shared" si="12"/>
        <v>83229</v>
      </c>
      <c r="O104" s="46">
        <f t="shared" si="13"/>
        <v>6.7708460445841528E-2</v>
      </c>
      <c r="P104" s="9"/>
    </row>
    <row r="105" spans="1:16">
      <c r="A105" s="11"/>
      <c r="B105" s="24">
        <v>348.92099999999999</v>
      </c>
      <c r="C105" s="19" t="s">
        <v>109</v>
      </c>
      <c r="D105" s="45">
        <v>0</v>
      </c>
      <c r="E105" s="45">
        <v>429184</v>
      </c>
      <c r="F105" s="45">
        <v>0</v>
      </c>
      <c r="G105" s="45">
        <v>0</v>
      </c>
      <c r="H105" s="45">
        <v>0</v>
      </c>
      <c r="I105" s="45">
        <v>0</v>
      </c>
      <c r="J105" s="45">
        <v>0</v>
      </c>
      <c r="K105" s="45">
        <v>0</v>
      </c>
      <c r="L105" s="45">
        <v>0</v>
      </c>
      <c r="M105" s="45">
        <v>0</v>
      </c>
      <c r="N105" s="45">
        <f t="shared" si="12"/>
        <v>429184</v>
      </c>
      <c r="O105" s="46">
        <f t="shared" si="13"/>
        <v>0.34914979019317849</v>
      </c>
      <c r="P105" s="9"/>
    </row>
    <row r="106" spans="1:16">
      <c r="A106" s="11"/>
      <c r="B106" s="24">
        <v>348.92200000000003</v>
      </c>
      <c r="C106" s="19" t="s">
        <v>110</v>
      </c>
      <c r="D106" s="45">
        <v>0</v>
      </c>
      <c r="E106" s="45">
        <v>429183</v>
      </c>
      <c r="F106" s="45">
        <v>0</v>
      </c>
      <c r="G106" s="45">
        <v>0</v>
      </c>
      <c r="H106" s="45">
        <v>0</v>
      </c>
      <c r="I106" s="45">
        <v>0</v>
      </c>
      <c r="J106" s="45">
        <v>0</v>
      </c>
      <c r="K106" s="45">
        <v>0</v>
      </c>
      <c r="L106" s="45">
        <v>0</v>
      </c>
      <c r="M106" s="45">
        <v>0</v>
      </c>
      <c r="N106" s="45">
        <f t="shared" si="12"/>
        <v>429183</v>
      </c>
      <c r="O106" s="46">
        <f t="shared" si="13"/>
        <v>0.349148976673126</v>
      </c>
      <c r="P106" s="9"/>
    </row>
    <row r="107" spans="1:16">
      <c r="A107" s="11"/>
      <c r="B107" s="24">
        <v>348.923</v>
      </c>
      <c r="C107" s="19" t="s">
        <v>111</v>
      </c>
      <c r="D107" s="45">
        <v>0</v>
      </c>
      <c r="E107" s="45">
        <v>0</v>
      </c>
      <c r="F107" s="45">
        <v>0</v>
      </c>
      <c r="G107" s="45">
        <v>0</v>
      </c>
      <c r="H107" s="45">
        <v>0</v>
      </c>
      <c r="I107" s="45">
        <v>0</v>
      </c>
      <c r="J107" s="45">
        <v>0</v>
      </c>
      <c r="K107" s="45">
        <v>0</v>
      </c>
      <c r="L107" s="45">
        <v>0</v>
      </c>
      <c r="M107" s="45">
        <v>429183</v>
      </c>
      <c r="N107" s="45">
        <f t="shared" si="12"/>
        <v>429183</v>
      </c>
      <c r="O107" s="46">
        <f t="shared" si="13"/>
        <v>0.349148976673126</v>
      </c>
      <c r="P107" s="9"/>
    </row>
    <row r="108" spans="1:16">
      <c r="A108" s="11"/>
      <c r="B108" s="24">
        <v>348.92399999999998</v>
      </c>
      <c r="C108" s="19" t="s">
        <v>112</v>
      </c>
      <c r="D108" s="45">
        <v>0</v>
      </c>
      <c r="E108" s="45">
        <v>429183</v>
      </c>
      <c r="F108" s="45">
        <v>0</v>
      </c>
      <c r="G108" s="45">
        <v>0</v>
      </c>
      <c r="H108" s="45">
        <v>0</v>
      </c>
      <c r="I108" s="45">
        <v>0</v>
      </c>
      <c r="J108" s="45">
        <v>0</v>
      </c>
      <c r="K108" s="45">
        <v>0</v>
      </c>
      <c r="L108" s="45">
        <v>0</v>
      </c>
      <c r="M108" s="45">
        <v>0</v>
      </c>
      <c r="N108" s="45">
        <f t="shared" si="12"/>
        <v>429183</v>
      </c>
      <c r="O108" s="46">
        <f t="shared" si="13"/>
        <v>0.349148976673126</v>
      </c>
      <c r="P108" s="9"/>
    </row>
    <row r="109" spans="1:16">
      <c r="A109" s="11"/>
      <c r="B109" s="24">
        <v>348.93</v>
      </c>
      <c r="C109" s="19" t="s">
        <v>113</v>
      </c>
      <c r="D109" s="45">
        <v>71967</v>
      </c>
      <c r="E109" s="45">
        <v>3141103</v>
      </c>
      <c r="F109" s="45">
        <v>0</v>
      </c>
      <c r="G109" s="45">
        <v>0</v>
      </c>
      <c r="H109" s="45">
        <v>0</v>
      </c>
      <c r="I109" s="45">
        <v>0</v>
      </c>
      <c r="J109" s="45">
        <v>0</v>
      </c>
      <c r="K109" s="45">
        <v>0</v>
      </c>
      <c r="L109" s="45">
        <v>0</v>
      </c>
      <c r="M109" s="45">
        <v>0</v>
      </c>
      <c r="N109" s="45">
        <f t="shared" si="12"/>
        <v>3213070</v>
      </c>
      <c r="O109" s="46">
        <f t="shared" si="13"/>
        <v>2.6138968749440705</v>
      </c>
      <c r="P109" s="9"/>
    </row>
    <row r="110" spans="1:16">
      <c r="A110" s="11"/>
      <c r="B110" s="24">
        <v>348.99</v>
      </c>
      <c r="C110" s="19" t="s">
        <v>174</v>
      </c>
      <c r="D110" s="45">
        <v>1575</v>
      </c>
      <c r="E110" s="45">
        <v>946780</v>
      </c>
      <c r="F110" s="45">
        <v>0</v>
      </c>
      <c r="G110" s="45">
        <v>0</v>
      </c>
      <c r="H110" s="45">
        <v>0</v>
      </c>
      <c r="I110" s="45">
        <v>0</v>
      </c>
      <c r="J110" s="45">
        <v>0</v>
      </c>
      <c r="K110" s="45">
        <v>0</v>
      </c>
      <c r="L110" s="45">
        <v>0</v>
      </c>
      <c r="M110" s="45">
        <v>0</v>
      </c>
      <c r="N110" s="45">
        <f t="shared" si="12"/>
        <v>948355</v>
      </c>
      <c r="O110" s="46">
        <f t="shared" si="13"/>
        <v>0.77150580934669455</v>
      </c>
      <c r="P110" s="9"/>
    </row>
    <row r="111" spans="1:16">
      <c r="A111" s="11"/>
      <c r="B111" s="24">
        <v>349</v>
      </c>
      <c r="C111" s="19" t="s">
        <v>1</v>
      </c>
      <c r="D111" s="45">
        <v>2956041</v>
      </c>
      <c r="E111" s="45">
        <v>8454</v>
      </c>
      <c r="F111" s="45">
        <v>0</v>
      </c>
      <c r="G111" s="45">
        <v>0</v>
      </c>
      <c r="H111" s="45">
        <v>0</v>
      </c>
      <c r="I111" s="45">
        <v>0</v>
      </c>
      <c r="J111" s="45">
        <v>0</v>
      </c>
      <c r="K111" s="45">
        <v>0</v>
      </c>
      <c r="L111" s="45">
        <v>0</v>
      </c>
      <c r="M111" s="45">
        <v>0</v>
      </c>
      <c r="N111" s="45">
        <f t="shared" si="12"/>
        <v>2964495</v>
      </c>
      <c r="O111" s="46">
        <f t="shared" si="13"/>
        <v>2.4116761279048768</v>
      </c>
      <c r="P111" s="9"/>
    </row>
    <row r="112" spans="1:16" ht="15.75">
      <c r="A112" s="28" t="s">
        <v>76</v>
      </c>
      <c r="B112" s="29"/>
      <c r="C112" s="30"/>
      <c r="D112" s="31">
        <f t="shared" ref="D112:M112" si="14">SUM(D113:D121)</f>
        <v>3442513</v>
      </c>
      <c r="E112" s="31">
        <f t="shared" si="14"/>
        <v>5170725</v>
      </c>
      <c r="F112" s="31">
        <f t="shared" si="14"/>
        <v>0</v>
      </c>
      <c r="G112" s="31">
        <f t="shared" si="14"/>
        <v>0</v>
      </c>
      <c r="H112" s="31">
        <f t="shared" si="14"/>
        <v>0</v>
      </c>
      <c r="I112" s="31">
        <f t="shared" si="14"/>
        <v>0</v>
      </c>
      <c r="J112" s="31">
        <f t="shared" si="14"/>
        <v>0</v>
      </c>
      <c r="K112" s="31">
        <f t="shared" si="14"/>
        <v>0</v>
      </c>
      <c r="L112" s="31">
        <f t="shared" si="14"/>
        <v>0</v>
      </c>
      <c r="M112" s="31">
        <f t="shared" si="14"/>
        <v>0</v>
      </c>
      <c r="N112" s="31">
        <f>SUM(D112:M112)</f>
        <v>8613238</v>
      </c>
      <c r="O112" s="44">
        <f t="shared" si="13"/>
        <v>7.0070418295740575</v>
      </c>
      <c r="P112" s="10"/>
    </row>
    <row r="113" spans="1:16">
      <c r="A113" s="12"/>
      <c r="B113" s="38">
        <v>351.1</v>
      </c>
      <c r="C113" s="20" t="s">
        <v>134</v>
      </c>
      <c r="D113" s="45">
        <v>0</v>
      </c>
      <c r="E113" s="45">
        <v>27322</v>
      </c>
      <c r="F113" s="45">
        <v>0</v>
      </c>
      <c r="G113" s="45">
        <v>0</v>
      </c>
      <c r="H113" s="45">
        <v>0</v>
      </c>
      <c r="I113" s="45">
        <v>0</v>
      </c>
      <c r="J113" s="45">
        <v>0</v>
      </c>
      <c r="K113" s="45">
        <v>0</v>
      </c>
      <c r="L113" s="45">
        <v>0</v>
      </c>
      <c r="M113" s="45">
        <v>0</v>
      </c>
      <c r="N113" s="45">
        <f>SUM(D113:M113)</f>
        <v>27322</v>
      </c>
      <c r="O113" s="46">
        <f t="shared" si="13"/>
        <v>2.222699487319663E-2</v>
      </c>
      <c r="P113" s="9"/>
    </row>
    <row r="114" spans="1:16">
      <c r="A114" s="12"/>
      <c r="B114" s="38">
        <v>351.2</v>
      </c>
      <c r="C114" s="20" t="s">
        <v>136</v>
      </c>
      <c r="D114" s="45">
        <v>2294</v>
      </c>
      <c r="E114" s="45">
        <v>0</v>
      </c>
      <c r="F114" s="45">
        <v>0</v>
      </c>
      <c r="G114" s="45">
        <v>0</v>
      </c>
      <c r="H114" s="45">
        <v>0</v>
      </c>
      <c r="I114" s="45">
        <v>0</v>
      </c>
      <c r="J114" s="45">
        <v>0</v>
      </c>
      <c r="K114" s="45">
        <v>0</v>
      </c>
      <c r="L114" s="45">
        <v>0</v>
      </c>
      <c r="M114" s="45">
        <v>0</v>
      </c>
      <c r="N114" s="45">
        <f t="shared" ref="N114:N121" si="15">SUM(D114:M114)</f>
        <v>2294</v>
      </c>
      <c r="O114" s="46">
        <f t="shared" si="13"/>
        <v>1.8662150003335432E-3</v>
      </c>
      <c r="P114" s="9"/>
    </row>
    <row r="115" spans="1:16">
      <c r="A115" s="12"/>
      <c r="B115" s="38">
        <v>351.3</v>
      </c>
      <c r="C115" s="20" t="s">
        <v>175</v>
      </c>
      <c r="D115" s="45">
        <v>2243</v>
      </c>
      <c r="E115" s="45">
        <v>0</v>
      </c>
      <c r="F115" s="45">
        <v>0</v>
      </c>
      <c r="G115" s="45">
        <v>0</v>
      </c>
      <c r="H115" s="45">
        <v>0</v>
      </c>
      <c r="I115" s="45">
        <v>0</v>
      </c>
      <c r="J115" s="45">
        <v>0</v>
      </c>
      <c r="K115" s="45">
        <v>0</v>
      </c>
      <c r="L115" s="45">
        <v>0</v>
      </c>
      <c r="M115" s="45">
        <v>0</v>
      </c>
      <c r="N115" s="45">
        <f t="shared" si="15"/>
        <v>2243</v>
      </c>
      <c r="O115" s="46">
        <f t="shared" si="13"/>
        <v>1.8247254776582989E-3</v>
      </c>
      <c r="P115" s="9"/>
    </row>
    <row r="116" spans="1:16">
      <c r="A116" s="12"/>
      <c r="B116" s="38">
        <v>351.7</v>
      </c>
      <c r="C116" s="20" t="s">
        <v>135</v>
      </c>
      <c r="D116" s="45">
        <v>0</v>
      </c>
      <c r="E116" s="45">
        <v>1083716</v>
      </c>
      <c r="F116" s="45">
        <v>0</v>
      </c>
      <c r="G116" s="45">
        <v>0</v>
      </c>
      <c r="H116" s="45">
        <v>0</v>
      </c>
      <c r="I116" s="45">
        <v>0</v>
      </c>
      <c r="J116" s="45">
        <v>0</v>
      </c>
      <c r="K116" s="45">
        <v>0</v>
      </c>
      <c r="L116" s="45">
        <v>0</v>
      </c>
      <c r="M116" s="45">
        <v>0</v>
      </c>
      <c r="N116" s="45">
        <f t="shared" si="15"/>
        <v>1083716</v>
      </c>
      <c r="O116" s="46">
        <f t="shared" si="13"/>
        <v>0.88162469716716052</v>
      </c>
      <c r="P116" s="9"/>
    </row>
    <row r="117" spans="1:16">
      <c r="A117" s="12"/>
      <c r="B117" s="38">
        <v>351.8</v>
      </c>
      <c r="C117" s="20" t="s">
        <v>176</v>
      </c>
      <c r="D117" s="45">
        <v>0</v>
      </c>
      <c r="E117" s="45">
        <v>1399785</v>
      </c>
      <c r="F117" s="45">
        <v>0</v>
      </c>
      <c r="G117" s="45">
        <v>0</v>
      </c>
      <c r="H117" s="45">
        <v>0</v>
      </c>
      <c r="I117" s="45">
        <v>0</v>
      </c>
      <c r="J117" s="45">
        <v>0</v>
      </c>
      <c r="K117" s="45">
        <v>0</v>
      </c>
      <c r="L117" s="45">
        <v>0</v>
      </c>
      <c r="M117" s="45">
        <v>0</v>
      </c>
      <c r="N117" s="45">
        <f t="shared" si="15"/>
        <v>1399785</v>
      </c>
      <c r="O117" s="46">
        <f t="shared" si="13"/>
        <v>1.1387531666268043</v>
      </c>
      <c r="P117" s="9"/>
    </row>
    <row r="118" spans="1:16">
      <c r="A118" s="12"/>
      <c r="B118" s="38">
        <v>352</v>
      </c>
      <c r="C118" s="20" t="s">
        <v>138</v>
      </c>
      <c r="D118" s="45">
        <v>0</v>
      </c>
      <c r="E118" s="45">
        <v>509678</v>
      </c>
      <c r="F118" s="45">
        <v>0</v>
      </c>
      <c r="G118" s="45">
        <v>0</v>
      </c>
      <c r="H118" s="45">
        <v>0</v>
      </c>
      <c r="I118" s="45">
        <v>0</v>
      </c>
      <c r="J118" s="45">
        <v>0</v>
      </c>
      <c r="K118" s="45">
        <v>0</v>
      </c>
      <c r="L118" s="45">
        <v>0</v>
      </c>
      <c r="M118" s="45">
        <v>0</v>
      </c>
      <c r="N118" s="45">
        <f t="shared" si="15"/>
        <v>509678</v>
      </c>
      <c r="O118" s="46">
        <f t="shared" si="13"/>
        <v>0.41463327329555344</v>
      </c>
      <c r="P118" s="9"/>
    </row>
    <row r="119" spans="1:16">
      <c r="A119" s="12"/>
      <c r="B119" s="38">
        <v>353</v>
      </c>
      <c r="C119" s="20" t="s">
        <v>139</v>
      </c>
      <c r="D119" s="45">
        <v>1501</v>
      </c>
      <c r="E119" s="45">
        <v>501254</v>
      </c>
      <c r="F119" s="45">
        <v>0</v>
      </c>
      <c r="G119" s="45">
        <v>0</v>
      </c>
      <c r="H119" s="45">
        <v>0</v>
      </c>
      <c r="I119" s="45">
        <v>0</v>
      </c>
      <c r="J119" s="45">
        <v>0</v>
      </c>
      <c r="K119" s="45">
        <v>0</v>
      </c>
      <c r="L119" s="45">
        <v>0</v>
      </c>
      <c r="M119" s="45">
        <v>0</v>
      </c>
      <c r="N119" s="45">
        <f t="shared" si="15"/>
        <v>502755</v>
      </c>
      <c r="O119" s="46">
        <f t="shared" si="13"/>
        <v>0.40900127397240216</v>
      </c>
      <c r="P119" s="9"/>
    </row>
    <row r="120" spans="1:16">
      <c r="A120" s="12"/>
      <c r="B120" s="38">
        <v>354</v>
      </c>
      <c r="C120" s="20" t="s">
        <v>140</v>
      </c>
      <c r="D120" s="45">
        <v>3327020</v>
      </c>
      <c r="E120" s="45">
        <v>448687</v>
      </c>
      <c r="F120" s="45">
        <v>0</v>
      </c>
      <c r="G120" s="45">
        <v>0</v>
      </c>
      <c r="H120" s="45">
        <v>0</v>
      </c>
      <c r="I120" s="45">
        <v>0</v>
      </c>
      <c r="J120" s="45">
        <v>0</v>
      </c>
      <c r="K120" s="45">
        <v>0</v>
      </c>
      <c r="L120" s="45">
        <v>0</v>
      </c>
      <c r="M120" s="45">
        <v>0</v>
      </c>
      <c r="N120" s="45">
        <f t="shared" si="15"/>
        <v>3775707</v>
      </c>
      <c r="O120" s="46">
        <f t="shared" si="13"/>
        <v>3.0716133566976294</v>
      </c>
      <c r="P120" s="9"/>
    </row>
    <row r="121" spans="1:16">
      <c r="A121" s="12"/>
      <c r="B121" s="38">
        <v>359</v>
      </c>
      <c r="C121" s="20" t="s">
        <v>141</v>
      </c>
      <c r="D121" s="45">
        <v>109455</v>
      </c>
      <c r="E121" s="45">
        <v>1200283</v>
      </c>
      <c r="F121" s="45">
        <v>0</v>
      </c>
      <c r="G121" s="45">
        <v>0</v>
      </c>
      <c r="H121" s="45">
        <v>0</v>
      </c>
      <c r="I121" s="45">
        <v>0</v>
      </c>
      <c r="J121" s="45">
        <v>0</v>
      </c>
      <c r="K121" s="45">
        <v>0</v>
      </c>
      <c r="L121" s="45">
        <v>0</v>
      </c>
      <c r="M121" s="45">
        <v>0</v>
      </c>
      <c r="N121" s="45">
        <f t="shared" si="15"/>
        <v>1309738</v>
      </c>
      <c r="O121" s="46">
        <f t="shared" si="13"/>
        <v>1.0654981264633192</v>
      </c>
      <c r="P121" s="9"/>
    </row>
    <row r="122" spans="1:16" ht="15.75">
      <c r="A122" s="28" t="s">
        <v>5</v>
      </c>
      <c r="B122" s="29"/>
      <c r="C122" s="30"/>
      <c r="D122" s="31">
        <f t="shared" ref="D122:M122" si="16">SUM(D123:D130)</f>
        <v>13156790</v>
      </c>
      <c r="E122" s="31">
        <f t="shared" si="16"/>
        <v>28041504</v>
      </c>
      <c r="F122" s="31">
        <f t="shared" si="16"/>
        <v>796236</v>
      </c>
      <c r="G122" s="31">
        <f t="shared" si="16"/>
        <v>7628092</v>
      </c>
      <c r="H122" s="31">
        <f t="shared" si="16"/>
        <v>0</v>
      </c>
      <c r="I122" s="31">
        <f t="shared" si="16"/>
        <v>649000</v>
      </c>
      <c r="J122" s="31">
        <f t="shared" si="16"/>
        <v>2237000</v>
      </c>
      <c r="K122" s="31">
        <f t="shared" si="16"/>
        <v>0</v>
      </c>
      <c r="L122" s="31">
        <f t="shared" si="16"/>
        <v>0</v>
      </c>
      <c r="M122" s="31">
        <f t="shared" si="16"/>
        <v>150000</v>
      </c>
      <c r="N122" s="31">
        <f>SUM(D122:M122)</f>
        <v>52658622</v>
      </c>
      <c r="O122" s="44">
        <f t="shared" si="13"/>
        <v>42.838844931688719</v>
      </c>
      <c r="P122" s="10"/>
    </row>
    <row r="123" spans="1:16">
      <c r="A123" s="11"/>
      <c r="B123" s="24">
        <v>361.1</v>
      </c>
      <c r="C123" s="19" t="s">
        <v>142</v>
      </c>
      <c r="D123" s="45">
        <v>6933501</v>
      </c>
      <c r="E123" s="45">
        <v>7984642</v>
      </c>
      <c r="F123" s="45">
        <v>486755</v>
      </c>
      <c r="G123" s="45">
        <v>547074</v>
      </c>
      <c r="H123" s="45">
        <v>0</v>
      </c>
      <c r="I123" s="45">
        <v>0</v>
      </c>
      <c r="J123" s="45">
        <v>0</v>
      </c>
      <c r="K123" s="45">
        <v>0</v>
      </c>
      <c r="L123" s="45">
        <v>0</v>
      </c>
      <c r="M123" s="45">
        <v>149000</v>
      </c>
      <c r="N123" s="45">
        <f>SUM(D123:M123)</f>
        <v>16100972</v>
      </c>
      <c r="O123" s="46">
        <f t="shared" si="13"/>
        <v>13.098463586028933</v>
      </c>
      <c r="P123" s="9"/>
    </row>
    <row r="124" spans="1:16">
      <c r="A124" s="11"/>
      <c r="B124" s="24">
        <v>361.3</v>
      </c>
      <c r="C124" s="19" t="s">
        <v>143</v>
      </c>
      <c r="D124" s="45">
        <v>1766394</v>
      </c>
      <c r="E124" s="45">
        <v>1972771</v>
      </c>
      <c r="F124" s="45">
        <v>47159</v>
      </c>
      <c r="G124" s="45">
        <v>311859</v>
      </c>
      <c r="H124" s="45">
        <v>0</v>
      </c>
      <c r="I124" s="45">
        <v>0</v>
      </c>
      <c r="J124" s="45">
        <v>0</v>
      </c>
      <c r="K124" s="45">
        <v>0</v>
      </c>
      <c r="L124" s="45">
        <v>0</v>
      </c>
      <c r="M124" s="45">
        <v>0</v>
      </c>
      <c r="N124" s="45">
        <f t="shared" ref="N124:N130" si="17">SUM(D124:M124)</f>
        <v>4098183</v>
      </c>
      <c r="O124" s="46">
        <f t="shared" si="13"/>
        <v>3.3339540491333572</v>
      </c>
      <c r="P124" s="9"/>
    </row>
    <row r="125" spans="1:16">
      <c r="A125" s="11"/>
      <c r="B125" s="24">
        <v>362</v>
      </c>
      <c r="C125" s="19" t="s">
        <v>145</v>
      </c>
      <c r="D125" s="45">
        <v>930356</v>
      </c>
      <c r="E125" s="45">
        <v>105503</v>
      </c>
      <c r="F125" s="45">
        <v>191287</v>
      </c>
      <c r="G125" s="45">
        <v>75051</v>
      </c>
      <c r="H125" s="45">
        <v>0</v>
      </c>
      <c r="I125" s="45">
        <v>0</v>
      </c>
      <c r="J125" s="45">
        <v>0</v>
      </c>
      <c r="K125" s="45">
        <v>0</v>
      </c>
      <c r="L125" s="45">
        <v>0</v>
      </c>
      <c r="M125" s="45">
        <v>0</v>
      </c>
      <c r="N125" s="45">
        <f t="shared" si="17"/>
        <v>1302197</v>
      </c>
      <c r="O125" s="46">
        <f t="shared" si="13"/>
        <v>1.0593633717477502</v>
      </c>
      <c r="P125" s="9"/>
    </row>
    <row r="126" spans="1:16">
      <c r="A126" s="11"/>
      <c r="B126" s="24">
        <v>364</v>
      </c>
      <c r="C126" s="19" t="s">
        <v>146</v>
      </c>
      <c r="D126" s="45">
        <v>952851</v>
      </c>
      <c r="E126" s="45">
        <v>79580</v>
      </c>
      <c r="F126" s="45">
        <v>0</v>
      </c>
      <c r="G126" s="45">
        <v>6146905</v>
      </c>
      <c r="H126" s="45">
        <v>0</v>
      </c>
      <c r="I126" s="45">
        <v>649000</v>
      </c>
      <c r="J126" s="45">
        <v>2237000</v>
      </c>
      <c r="K126" s="45">
        <v>0</v>
      </c>
      <c r="L126" s="45">
        <v>0</v>
      </c>
      <c r="M126" s="45">
        <v>0</v>
      </c>
      <c r="N126" s="45">
        <f t="shared" si="17"/>
        <v>10065336</v>
      </c>
      <c r="O126" s="46">
        <f t="shared" si="13"/>
        <v>8.1883526707049796</v>
      </c>
      <c r="P126" s="9"/>
    </row>
    <row r="127" spans="1:16">
      <c r="A127" s="11"/>
      <c r="B127" s="24">
        <v>365</v>
      </c>
      <c r="C127" s="19" t="s">
        <v>147</v>
      </c>
      <c r="D127" s="45">
        <v>58051</v>
      </c>
      <c r="E127" s="45">
        <v>10047</v>
      </c>
      <c r="F127" s="45">
        <v>0</v>
      </c>
      <c r="G127" s="45">
        <v>0</v>
      </c>
      <c r="H127" s="45">
        <v>0</v>
      </c>
      <c r="I127" s="45">
        <v>0</v>
      </c>
      <c r="J127" s="45">
        <v>0</v>
      </c>
      <c r="K127" s="45">
        <v>0</v>
      </c>
      <c r="L127" s="45">
        <v>0</v>
      </c>
      <c r="M127" s="45">
        <v>0</v>
      </c>
      <c r="N127" s="45">
        <f t="shared" si="17"/>
        <v>68098</v>
      </c>
      <c r="O127" s="46">
        <f t="shared" si="13"/>
        <v>5.5399088532133225E-2</v>
      </c>
      <c r="P127" s="9"/>
    </row>
    <row r="128" spans="1:16">
      <c r="A128" s="11"/>
      <c r="B128" s="24">
        <v>366</v>
      </c>
      <c r="C128" s="19" t="s">
        <v>148</v>
      </c>
      <c r="D128" s="45">
        <v>399381</v>
      </c>
      <c r="E128" s="45">
        <v>1885911</v>
      </c>
      <c r="F128" s="45">
        <v>0</v>
      </c>
      <c r="G128" s="45">
        <v>0</v>
      </c>
      <c r="H128" s="45">
        <v>0</v>
      </c>
      <c r="I128" s="45">
        <v>0</v>
      </c>
      <c r="J128" s="45">
        <v>0</v>
      </c>
      <c r="K128" s="45">
        <v>0</v>
      </c>
      <c r="L128" s="45">
        <v>0</v>
      </c>
      <c r="M128" s="45">
        <v>0</v>
      </c>
      <c r="N128" s="45">
        <f t="shared" si="17"/>
        <v>2285292</v>
      </c>
      <c r="O128" s="46">
        <f t="shared" si="13"/>
        <v>1.8591308677167584</v>
      </c>
      <c r="P128" s="9"/>
    </row>
    <row r="129" spans="1:119">
      <c r="A129" s="11"/>
      <c r="B129" s="24">
        <v>369.3</v>
      </c>
      <c r="C129" s="19" t="s">
        <v>150</v>
      </c>
      <c r="D129" s="45">
        <v>181261</v>
      </c>
      <c r="E129" s="45">
        <v>1020792</v>
      </c>
      <c r="F129" s="45">
        <v>0</v>
      </c>
      <c r="G129" s="45">
        <v>0</v>
      </c>
      <c r="H129" s="45">
        <v>0</v>
      </c>
      <c r="I129" s="45">
        <v>0</v>
      </c>
      <c r="J129" s="45">
        <v>0</v>
      </c>
      <c r="K129" s="45">
        <v>0</v>
      </c>
      <c r="L129" s="45">
        <v>0</v>
      </c>
      <c r="M129" s="45">
        <v>0</v>
      </c>
      <c r="N129" s="45">
        <f t="shared" si="17"/>
        <v>1202053</v>
      </c>
      <c r="O129" s="46">
        <f t="shared" si="13"/>
        <v>0.97789421961461931</v>
      </c>
      <c r="P129" s="9"/>
    </row>
    <row r="130" spans="1:119">
      <c r="A130" s="11"/>
      <c r="B130" s="24">
        <v>369.9</v>
      </c>
      <c r="C130" s="19" t="s">
        <v>151</v>
      </c>
      <c r="D130" s="45">
        <v>1934995</v>
      </c>
      <c r="E130" s="45">
        <v>14982258</v>
      </c>
      <c r="F130" s="45">
        <v>71035</v>
      </c>
      <c r="G130" s="45">
        <v>547203</v>
      </c>
      <c r="H130" s="45">
        <v>0</v>
      </c>
      <c r="I130" s="45">
        <v>0</v>
      </c>
      <c r="J130" s="45">
        <v>0</v>
      </c>
      <c r="K130" s="45">
        <v>0</v>
      </c>
      <c r="L130" s="45">
        <v>0</v>
      </c>
      <c r="M130" s="45">
        <v>1000</v>
      </c>
      <c r="N130" s="45">
        <f t="shared" si="17"/>
        <v>17536491</v>
      </c>
      <c r="O130" s="46">
        <f t="shared" si="13"/>
        <v>14.26628707821019</v>
      </c>
      <c r="P130" s="9"/>
    </row>
    <row r="131" spans="1:119" ht="15.75">
      <c r="A131" s="28" t="s">
        <v>77</v>
      </c>
      <c r="B131" s="29"/>
      <c r="C131" s="30"/>
      <c r="D131" s="31">
        <f t="shared" ref="D131:M131" si="18">SUM(D132:D136)</f>
        <v>555541342</v>
      </c>
      <c r="E131" s="31">
        <f t="shared" si="18"/>
        <v>312082819</v>
      </c>
      <c r="F131" s="31">
        <f t="shared" si="18"/>
        <v>124187393</v>
      </c>
      <c r="G131" s="31">
        <f t="shared" si="18"/>
        <v>76136703</v>
      </c>
      <c r="H131" s="31">
        <f t="shared" si="18"/>
        <v>0</v>
      </c>
      <c r="I131" s="31">
        <f t="shared" si="18"/>
        <v>24747000</v>
      </c>
      <c r="J131" s="31">
        <f t="shared" si="18"/>
        <v>6717000</v>
      </c>
      <c r="K131" s="31">
        <f t="shared" si="18"/>
        <v>0</v>
      </c>
      <c r="L131" s="31">
        <f t="shared" si="18"/>
        <v>0</v>
      </c>
      <c r="M131" s="31">
        <f t="shared" si="18"/>
        <v>3975000</v>
      </c>
      <c r="N131" s="31">
        <f t="shared" ref="N131:N137" si="19">SUM(D131:M131)</f>
        <v>1103387257</v>
      </c>
      <c r="O131" s="44">
        <f t="shared" si="13"/>
        <v>897.62765919367143</v>
      </c>
      <c r="P131" s="9"/>
    </row>
    <row r="132" spans="1:119">
      <c r="A132" s="11"/>
      <c r="B132" s="24">
        <v>381</v>
      </c>
      <c r="C132" s="19" t="s">
        <v>152</v>
      </c>
      <c r="D132" s="45">
        <v>555541342</v>
      </c>
      <c r="E132" s="45">
        <v>121752819</v>
      </c>
      <c r="F132" s="45">
        <v>124187393</v>
      </c>
      <c r="G132" s="45">
        <v>11937541</v>
      </c>
      <c r="H132" s="45">
        <v>0</v>
      </c>
      <c r="I132" s="45">
        <v>467000</v>
      </c>
      <c r="J132" s="45">
        <v>377000</v>
      </c>
      <c r="K132" s="45">
        <v>0</v>
      </c>
      <c r="L132" s="45">
        <v>0</v>
      </c>
      <c r="M132" s="45">
        <v>0</v>
      </c>
      <c r="N132" s="45">
        <f t="shared" si="19"/>
        <v>814263095</v>
      </c>
      <c r="O132" s="46">
        <f t="shared" si="13"/>
        <v>662.41935575720004</v>
      </c>
      <c r="P132" s="9"/>
    </row>
    <row r="133" spans="1:119">
      <c r="A133" s="11"/>
      <c r="B133" s="24">
        <v>384</v>
      </c>
      <c r="C133" s="19" t="s">
        <v>153</v>
      </c>
      <c r="D133" s="45">
        <v>0</v>
      </c>
      <c r="E133" s="45">
        <v>190330000</v>
      </c>
      <c r="F133" s="45">
        <v>0</v>
      </c>
      <c r="G133" s="45">
        <v>64199162</v>
      </c>
      <c r="H133" s="45">
        <v>0</v>
      </c>
      <c r="I133" s="45">
        <v>0</v>
      </c>
      <c r="J133" s="45">
        <v>0</v>
      </c>
      <c r="K133" s="45">
        <v>0</v>
      </c>
      <c r="L133" s="45">
        <v>0</v>
      </c>
      <c r="M133" s="45">
        <v>0</v>
      </c>
      <c r="N133" s="45">
        <f t="shared" si="19"/>
        <v>254529162</v>
      </c>
      <c r="O133" s="46">
        <f>(N133/O$139)</f>
        <v>207.06457722176393</v>
      </c>
      <c r="P133" s="9"/>
    </row>
    <row r="134" spans="1:119">
      <c r="A134" s="11"/>
      <c r="B134" s="24">
        <v>389.1</v>
      </c>
      <c r="C134" s="19" t="s">
        <v>154</v>
      </c>
      <c r="D134" s="45">
        <v>0</v>
      </c>
      <c r="E134" s="45">
        <v>0</v>
      </c>
      <c r="F134" s="45">
        <v>0</v>
      </c>
      <c r="G134" s="45">
        <v>0</v>
      </c>
      <c r="H134" s="45">
        <v>0</v>
      </c>
      <c r="I134" s="45">
        <v>12828000</v>
      </c>
      <c r="J134" s="45">
        <v>4751000</v>
      </c>
      <c r="K134" s="45">
        <v>0</v>
      </c>
      <c r="L134" s="45">
        <v>0</v>
      </c>
      <c r="M134" s="45">
        <v>0</v>
      </c>
      <c r="N134" s="45">
        <f t="shared" si="19"/>
        <v>17579000</v>
      </c>
      <c r="O134" s="46">
        <f>(N134/O$139)</f>
        <v>14.300869002120033</v>
      </c>
      <c r="P134" s="9"/>
    </row>
    <row r="135" spans="1:119">
      <c r="A135" s="11"/>
      <c r="B135" s="24">
        <v>389.4</v>
      </c>
      <c r="C135" s="19" t="s">
        <v>156</v>
      </c>
      <c r="D135" s="45">
        <v>0</v>
      </c>
      <c r="E135" s="45">
        <v>0</v>
      </c>
      <c r="F135" s="45">
        <v>0</v>
      </c>
      <c r="G135" s="45">
        <v>0</v>
      </c>
      <c r="H135" s="45">
        <v>0</v>
      </c>
      <c r="I135" s="45">
        <v>7847000</v>
      </c>
      <c r="J135" s="45">
        <v>1498000</v>
      </c>
      <c r="K135" s="45">
        <v>0</v>
      </c>
      <c r="L135" s="45">
        <v>0</v>
      </c>
      <c r="M135" s="45">
        <v>3975000</v>
      </c>
      <c r="N135" s="45">
        <f t="shared" si="19"/>
        <v>13320000</v>
      </c>
      <c r="O135" s="46">
        <f>(N135/O$139)</f>
        <v>10.836087098710896</v>
      </c>
      <c r="P135" s="9"/>
    </row>
    <row r="136" spans="1:119" ht="15.75" thickBot="1">
      <c r="A136" s="11"/>
      <c r="B136" s="24">
        <v>389.9</v>
      </c>
      <c r="C136" s="19" t="s">
        <v>157</v>
      </c>
      <c r="D136" s="45">
        <v>0</v>
      </c>
      <c r="E136" s="45">
        <v>0</v>
      </c>
      <c r="F136" s="45">
        <v>0</v>
      </c>
      <c r="G136" s="45">
        <v>0</v>
      </c>
      <c r="H136" s="45">
        <v>0</v>
      </c>
      <c r="I136" s="45">
        <v>3605000</v>
      </c>
      <c r="J136" s="45">
        <v>91000</v>
      </c>
      <c r="K136" s="45">
        <v>0</v>
      </c>
      <c r="L136" s="45">
        <v>0</v>
      </c>
      <c r="M136" s="45">
        <v>0</v>
      </c>
      <c r="N136" s="45">
        <f t="shared" si="19"/>
        <v>3696000</v>
      </c>
      <c r="O136" s="46">
        <f>(N136/O$139)</f>
        <v>3.006770113876537</v>
      </c>
      <c r="P136" s="9"/>
    </row>
    <row r="137" spans="1:119" ht="16.5" thickBot="1">
      <c r="A137" s="13" t="s">
        <v>114</v>
      </c>
      <c r="B137" s="22"/>
      <c r="C137" s="21"/>
      <c r="D137" s="14">
        <f t="shared" ref="D137:M137" si="20">SUM(D5,D13,D26,D73,D112,D122,D131)</f>
        <v>1316543717</v>
      </c>
      <c r="E137" s="14">
        <f t="shared" si="20"/>
        <v>940948977</v>
      </c>
      <c r="F137" s="14">
        <f t="shared" si="20"/>
        <v>130724726</v>
      </c>
      <c r="G137" s="14">
        <f t="shared" si="20"/>
        <v>85367032</v>
      </c>
      <c r="H137" s="14">
        <f t="shared" si="20"/>
        <v>0</v>
      </c>
      <c r="I137" s="14">
        <f t="shared" si="20"/>
        <v>300504000</v>
      </c>
      <c r="J137" s="14">
        <f t="shared" si="20"/>
        <v>125899000</v>
      </c>
      <c r="K137" s="14">
        <f t="shared" si="20"/>
        <v>0</v>
      </c>
      <c r="L137" s="14">
        <f t="shared" si="20"/>
        <v>0</v>
      </c>
      <c r="M137" s="14">
        <f t="shared" si="20"/>
        <v>8315000</v>
      </c>
      <c r="N137" s="14">
        <f t="shared" si="19"/>
        <v>2908302452</v>
      </c>
      <c r="O137" s="37">
        <f>(N137/O$139)</f>
        <v>2365.9623633082933</v>
      </c>
      <c r="P137" s="6"/>
      <c r="Q137" s="2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</row>
    <row r="138" spans="1:119">
      <c r="A138" s="15"/>
      <c r="B138" s="17"/>
      <c r="C138" s="17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8"/>
    </row>
    <row r="139" spans="1:119">
      <c r="A139" s="39"/>
      <c r="B139" s="40"/>
      <c r="C139" s="40"/>
      <c r="D139" s="41"/>
      <c r="E139" s="41"/>
      <c r="F139" s="41"/>
      <c r="G139" s="41"/>
      <c r="H139" s="41"/>
      <c r="I139" s="41"/>
      <c r="J139" s="41"/>
      <c r="K139" s="41"/>
      <c r="L139" s="48" t="s">
        <v>177</v>
      </c>
      <c r="M139" s="48"/>
      <c r="N139" s="48"/>
      <c r="O139" s="42">
        <v>1229226</v>
      </c>
    </row>
    <row r="140" spans="1:119">
      <c r="A140" s="49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1"/>
    </row>
    <row r="141" spans="1:119" ht="15.75" thickBot="1">
      <c r="A141" s="52" t="s">
        <v>178</v>
      </c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4"/>
    </row>
  </sheetData>
  <mergeCells count="10">
    <mergeCell ref="L139:N139"/>
    <mergeCell ref="A140:O140"/>
    <mergeCell ref="A141:O141"/>
    <mergeCell ref="A1:O1"/>
    <mergeCell ref="A2:O2"/>
    <mergeCell ref="A3:C4"/>
    <mergeCell ref="D3:H3"/>
    <mergeCell ref="I3:J3"/>
    <mergeCell ref="K3:L3"/>
    <mergeCell ref="O3:O4"/>
  </mergeCells>
  <printOptions horizontalCentered="1"/>
  <pageMargins left="0.5" right="0.5" top="0.5" bottom="0.5" header="0.3" footer="0.3"/>
  <pageSetup paperSize="5" scale="55" fitToHeight="0" orientation="landscape" r:id="rId1"/>
  <headerFooter>
    <oddFooter>&amp;L&amp;14Office of Economic and Demographic Research&amp;R&amp;14Page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EC155"/>
  <sheetViews>
    <sheetView zoomScaleNormal="100" workbookViewId="0">
      <selection sqref="A1:O1"/>
    </sheetView>
  </sheetViews>
  <sheetFormatPr defaultColWidth="9.77734375" defaultRowHeight="15"/>
  <cols>
    <col min="1" max="1" width="1.77734375" style="3" customWidth="1"/>
    <col min="2" max="2" width="6.77734375" style="3" customWidth="1"/>
    <col min="3" max="3" width="60.77734375" style="3" customWidth="1"/>
    <col min="4" max="5" width="16.77734375" style="4" customWidth="1"/>
    <col min="6" max="7" width="15.77734375" style="4" customWidth="1"/>
    <col min="8" max="8" width="13.77734375" style="4" customWidth="1"/>
    <col min="9" max="10" width="15.77734375" style="4" customWidth="1"/>
    <col min="11" max="13" width="13.77734375" style="4" customWidth="1"/>
    <col min="14" max="14" width="16.77734375" style="4" customWidth="1"/>
    <col min="15" max="15" width="13.77734375" style="3" customWidth="1"/>
    <col min="16" max="16" width="9.77734375" style="3" customWidth="1"/>
    <col min="17" max="17" width="9.77734375" style="3"/>
  </cols>
  <sheetData>
    <row r="1" spans="1:133" ht="27.75">
      <c r="A1" s="55" t="s">
        <v>165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7"/>
      <c r="P1" s="7"/>
      <c r="Q1"/>
    </row>
    <row r="2" spans="1:133" ht="24" thickBot="1">
      <c r="A2" s="58" t="s">
        <v>133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60"/>
      <c r="P2" s="7"/>
      <c r="Q2"/>
    </row>
    <row r="3" spans="1:133" ht="18" customHeight="1">
      <c r="A3" s="61" t="s">
        <v>158</v>
      </c>
      <c r="B3" s="62"/>
      <c r="C3" s="63"/>
      <c r="D3" s="67" t="s">
        <v>71</v>
      </c>
      <c r="E3" s="68"/>
      <c r="F3" s="68"/>
      <c r="G3" s="68"/>
      <c r="H3" s="69"/>
      <c r="I3" s="67" t="s">
        <v>72</v>
      </c>
      <c r="J3" s="69"/>
      <c r="K3" s="67" t="s">
        <v>74</v>
      </c>
      <c r="L3" s="69"/>
      <c r="M3" s="35"/>
      <c r="N3" s="36"/>
      <c r="O3" s="70" t="s">
        <v>163</v>
      </c>
      <c r="P3" s="5"/>
      <c r="Q3"/>
    </row>
    <row r="4" spans="1:133" ht="32.25" customHeight="1" thickBot="1">
      <c r="A4" s="64"/>
      <c r="B4" s="65"/>
      <c r="C4" s="66"/>
      <c r="D4" s="33" t="s">
        <v>6</v>
      </c>
      <c r="E4" s="33" t="s">
        <v>159</v>
      </c>
      <c r="F4" s="33" t="s">
        <v>160</v>
      </c>
      <c r="G4" s="33" t="s">
        <v>161</v>
      </c>
      <c r="H4" s="33" t="s">
        <v>7</v>
      </c>
      <c r="I4" s="33" t="s">
        <v>8</v>
      </c>
      <c r="J4" s="34" t="s">
        <v>162</v>
      </c>
      <c r="K4" s="34" t="s">
        <v>9</v>
      </c>
      <c r="L4" s="34" t="s">
        <v>10</v>
      </c>
      <c r="M4" s="34" t="s">
        <v>11</v>
      </c>
      <c r="N4" s="34" t="s">
        <v>73</v>
      </c>
      <c r="O4" s="71"/>
      <c r="P4" s="8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</row>
    <row r="5" spans="1:133" ht="15.75">
      <c r="A5" s="23" t="s">
        <v>2</v>
      </c>
      <c r="B5" s="25"/>
      <c r="C5" s="25"/>
      <c r="D5" s="26">
        <f t="shared" ref="D5:M5" si="0">SUM(D6:D12)</f>
        <v>703378491</v>
      </c>
      <c r="E5" s="26">
        <f t="shared" si="0"/>
        <v>271546598</v>
      </c>
      <c r="F5" s="26">
        <f t="shared" si="0"/>
        <v>6132329</v>
      </c>
      <c r="G5" s="26">
        <f t="shared" si="0"/>
        <v>0</v>
      </c>
      <c r="H5" s="26">
        <f t="shared" si="0"/>
        <v>0</v>
      </c>
      <c r="I5" s="26">
        <f t="shared" si="0"/>
        <v>0</v>
      </c>
      <c r="J5" s="26">
        <f t="shared" si="0"/>
        <v>0</v>
      </c>
      <c r="K5" s="26">
        <f t="shared" si="0"/>
        <v>0</v>
      </c>
      <c r="L5" s="26">
        <f t="shared" si="0"/>
        <v>0</v>
      </c>
      <c r="M5" s="26">
        <f t="shared" si="0"/>
        <v>0</v>
      </c>
      <c r="N5" s="27">
        <f>SUM(D5:M5)</f>
        <v>981057418</v>
      </c>
      <c r="O5" s="32">
        <f t="shared" ref="O5:O36" si="1">(N5/O$153)</f>
        <v>819.67079569418127</v>
      </c>
      <c r="P5" s="6"/>
    </row>
    <row r="6" spans="1:133">
      <c r="A6" s="11"/>
      <c r="B6" s="24">
        <v>311</v>
      </c>
      <c r="C6" s="19" t="s">
        <v>3</v>
      </c>
      <c r="D6" s="45">
        <v>675085359</v>
      </c>
      <c r="E6" s="45">
        <v>42993284</v>
      </c>
      <c r="F6" s="45">
        <v>6132329</v>
      </c>
      <c r="G6" s="45">
        <v>0</v>
      </c>
      <c r="H6" s="45">
        <v>0</v>
      </c>
      <c r="I6" s="45">
        <v>0</v>
      </c>
      <c r="J6" s="45">
        <v>0</v>
      </c>
      <c r="K6" s="45">
        <v>0</v>
      </c>
      <c r="L6" s="45">
        <v>0</v>
      </c>
      <c r="M6" s="45">
        <v>0</v>
      </c>
      <c r="N6" s="45">
        <f>SUM(D6:M6)</f>
        <v>724210972</v>
      </c>
      <c r="O6" s="46">
        <f t="shared" si="1"/>
        <v>605.07629092683385</v>
      </c>
      <c r="P6" s="9"/>
    </row>
    <row r="7" spans="1:133">
      <c r="A7" s="11"/>
      <c r="B7" s="24">
        <v>312.10000000000002</v>
      </c>
      <c r="C7" s="19" t="s">
        <v>12</v>
      </c>
      <c r="D7" s="45">
        <v>0</v>
      </c>
      <c r="E7" s="45">
        <v>18423290</v>
      </c>
      <c r="F7" s="45">
        <v>0</v>
      </c>
      <c r="G7" s="45">
        <v>0</v>
      </c>
      <c r="H7" s="45">
        <v>0</v>
      </c>
      <c r="I7" s="45">
        <v>0</v>
      </c>
      <c r="J7" s="45">
        <v>0</v>
      </c>
      <c r="K7" s="45">
        <v>0</v>
      </c>
      <c r="L7" s="45">
        <v>0</v>
      </c>
      <c r="M7" s="45">
        <v>0</v>
      </c>
      <c r="N7" s="45">
        <f t="shared" ref="N7:N12" si="2">SUM(D7:M7)</f>
        <v>18423290</v>
      </c>
      <c r="O7" s="46">
        <f t="shared" si="1"/>
        <v>15.392608522740565</v>
      </c>
      <c r="P7" s="9"/>
    </row>
    <row r="8" spans="1:133">
      <c r="A8" s="11"/>
      <c r="B8" s="24">
        <v>312.3</v>
      </c>
      <c r="C8" s="19" t="s">
        <v>13</v>
      </c>
      <c r="D8" s="45">
        <v>0</v>
      </c>
      <c r="E8" s="45">
        <v>6658032</v>
      </c>
      <c r="F8" s="45">
        <v>0</v>
      </c>
      <c r="G8" s="45">
        <v>0</v>
      </c>
      <c r="H8" s="45">
        <v>0</v>
      </c>
      <c r="I8" s="45">
        <v>0</v>
      </c>
      <c r="J8" s="45">
        <v>0</v>
      </c>
      <c r="K8" s="45">
        <v>0</v>
      </c>
      <c r="L8" s="45">
        <v>0</v>
      </c>
      <c r="M8" s="45">
        <v>0</v>
      </c>
      <c r="N8" s="45">
        <f t="shared" si="2"/>
        <v>6658032</v>
      </c>
      <c r="O8" s="46">
        <f t="shared" si="1"/>
        <v>5.5627675680011226</v>
      </c>
      <c r="P8" s="9"/>
    </row>
    <row r="9" spans="1:133">
      <c r="A9" s="11"/>
      <c r="B9" s="24">
        <v>312.41000000000003</v>
      </c>
      <c r="C9" s="19" t="s">
        <v>14</v>
      </c>
      <c r="D9" s="45">
        <v>0</v>
      </c>
      <c r="E9" s="45">
        <v>24725873</v>
      </c>
      <c r="F9" s="45">
        <v>0</v>
      </c>
      <c r="G9" s="45">
        <v>0</v>
      </c>
      <c r="H9" s="45">
        <v>0</v>
      </c>
      <c r="I9" s="45">
        <v>0</v>
      </c>
      <c r="J9" s="45">
        <v>0</v>
      </c>
      <c r="K9" s="45">
        <v>0</v>
      </c>
      <c r="L9" s="45">
        <v>0</v>
      </c>
      <c r="M9" s="45">
        <v>0</v>
      </c>
      <c r="N9" s="45">
        <f t="shared" si="2"/>
        <v>24725873</v>
      </c>
      <c r="O9" s="46">
        <f t="shared" si="1"/>
        <v>20.658399421167491</v>
      </c>
      <c r="P9" s="9"/>
    </row>
    <row r="10" spans="1:133">
      <c r="A10" s="11"/>
      <c r="B10" s="24">
        <v>312.60000000000002</v>
      </c>
      <c r="C10" s="19" t="s">
        <v>15</v>
      </c>
      <c r="D10" s="45">
        <v>0</v>
      </c>
      <c r="E10" s="45">
        <v>178056570</v>
      </c>
      <c r="F10" s="45">
        <v>0</v>
      </c>
      <c r="G10" s="45">
        <v>0</v>
      </c>
      <c r="H10" s="45">
        <v>0</v>
      </c>
      <c r="I10" s="45">
        <v>0</v>
      </c>
      <c r="J10" s="45">
        <v>0</v>
      </c>
      <c r="K10" s="45">
        <v>0</v>
      </c>
      <c r="L10" s="45">
        <v>0</v>
      </c>
      <c r="M10" s="45">
        <v>0</v>
      </c>
      <c r="N10" s="45">
        <f t="shared" si="2"/>
        <v>178056570</v>
      </c>
      <c r="O10" s="46">
        <f t="shared" si="1"/>
        <v>148.76577836596786</v>
      </c>
      <c r="P10" s="9"/>
    </row>
    <row r="11" spans="1:133">
      <c r="A11" s="11"/>
      <c r="B11" s="24">
        <v>315</v>
      </c>
      <c r="C11" s="19" t="s">
        <v>16</v>
      </c>
      <c r="D11" s="45">
        <v>26663108</v>
      </c>
      <c r="E11" s="45">
        <v>0</v>
      </c>
      <c r="F11" s="45">
        <v>0</v>
      </c>
      <c r="G11" s="45">
        <v>0</v>
      </c>
      <c r="H11" s="45">
        <v>0</v>
      </c>
      <c r="I11" s="45">
        <v>0</v>
      </c>
      <c r="J11" s="45">
        <v>0</v>
      </c>
      <c r="K11" s="45">
        <v>0</v>
      </c>
      <c r="L11" s="45">
        <v>0</v>
      </c>
      <c r="M11" s="45">
        <v>0</v>
      </c>
      <c r="N11" s="45">
        <f t="shared" si="2"/>
        <v>26663108</v>
      </c>
      <c r="O11" s="46">
        <f t="shared" si="1"/>
        <v>22.27695397746831</v>
      </c>
      <c r="P11" s="9"/>
    </row>
    <row r="12" spans="1:133">
      <c r="A12" s="11"/>
      <c r="B12" s="24">
        <v>316</v>
      </c>
      <c r="C12" s="19" t="s">
        <v>17</v>
      </c>
      <c r="D12" s="45">
        <v>1630024</v>
      </c>
      <c r="E12" s="45">
        <v>689549</v>
      </c>
      <c r="F12" s="45">
        <v>0</v>
      </c>
      <c r="G12" s="45">
        <v>0</v>
      </c>
      <c r="H12" s="45">
        <v>0</v>
      </c>
      <c r="I12" s="45">
        <v>0</v>
      </c>
      <c r="J12" s="45">
        <v>0</v>
      </c>
      <c r="K12" s="45">
        <v>0</v>
      </c>
      <c r="L12" s="45">
        <v>0</v>
      </c>
      <c r="M12" s="45">
        <v>0</v>
      </c>
      <c r="N12" s="45">
        <f t="shared" si="2"/>
        <v>2319573</v>
      </c>
      <c r="O12" s="46">
        <f t="shared" si="1"/>
        <v>1.9379969120020855</v>
      </c>
      <c r="P12" s="9"/>
    </row>
    <row r="13" spans="1:133" ht="15.75">
      <c r="A13" s="28" t="s">
        <v>18</v>
      </c>
      <c r="B13" s="29"/>
      <c r="C13" s="30"/>
      <c r="D13" s="31">
        <f>SUM(D14:D23)</f>
        <v>672941</v>
      </c>
      <c r="E13" s="31">
        <f t="shared" ref="E13:M13" si="3">SUM(E14:E23)</f>
        <v>33650806</v>
      </c>
      <c r="F13" s="31">
        <f t="shared" si="3"/>
        <v>0</v>
      </c>
      <c r="G13" s="31">
        <f t="shared" si="3"/>
        <v>0</v>
      </c>
      <c r="H13" s="31">
        <f t="shared" si="3"/>
        <v>0</v>
      </c>
      <c r="I13" s="31">
        <f t="shared" si="3"/>
        <v>0</v>
      </c>
      <c r="J13" s="31">
        <f t="shared" si="3"/>
        <v>0</v>
      </c>
      <c r="K13" s="31">
        <f t="shared" si="3"/>
        <v>0</v>
      </c>
      <c r="L13" s="31">
        <f t="shared" si="3"/>
        <v>0</v>
      </c>
      <c r="M13" s="31">
        <f t="shared" si="3"/>
        <v>2082000</v>
      </c>
      <c r="N13" s="43">
        <f>SUM(D13:M13)</f>
        <v>36405747</v>
      </c>
      <c r="O13" s="44">
        <f t="shared" si="1"/>
        <v>30.416902276897165</v>
      </c>
      <c r="P13" s="10"/>
    </row>
    <row r="14" spans="1:133">
      <c r="A14" s="11"/>
      <c r="B14" s="24">
        <v>322</v>
      </c>
      <c r="C14" s="19" t="s">
        <v>0</v>
      </c>
      <c r="D14" s="45">
        <v>11520</v>
      </c>
      <c r="E14" s="45">
        <v>7747109</v>
      </c>
      <c r="F14" s="45">
        <v>0</v>
      </c>
      <c r="G14" s="45">
        <v>0</v>
      </c>
      <c r="H14" s="45">
        <v>0</v>
      </c>
      <c r="I14" s="45">
        <v>0</v>
      </c>
      <c r="J14" s="45">
        <v>0</v>
      </c>
      <c r="K14" s="45">
        <v>0</v>
      </c>
      <c r="L14" s="45">
        <v>0</v>
      </c>
      <c r="M14" s="45">
        <v>0</v>
      </c>
      <c r="N14" s="45">
        <f>SUM(D14:M14)</f>
        <v>7758629</v>
      </c>
      <c r="O14" s="46">
        <f t="shared" si="1"/>
        <v>6.4823133582645722</v>
      </c>
      <c r="P14" s="9"/>
    </row>
    <row r="15" spans="1:133">
      <c r="A15" s="11"/>
      <c r="B15" s="24">
        <v>323.3</v>
      </c>
      <c r="C15" s="19" t="s">
        <v>19</v>
      </c>
      <c r="D15" s="45">
        <v>16991</v>
      </c>
      <c r="E15" s="45">
        <v>0</v>
      </c>
      <c r="F15" s="45">
        <v>0</v>
      </c>
      <c r="G15" s="45">
        <v>0</v>
      </c>
      <c r="H15" s="45">
        <v>0</v>
      </c>
      <c r="I15" s="45">
        <v>0</v>
      </c>
      <c r="J15" s="45">
        <v>0</v>
      </c>
      <c r="K15" s="45">
        <v>0</v>
      </c>
      <c r="L15" s="45">
        <v>0</v>
      </c>
      <c r="M15" s="45">
        <v>0</v>
      </c>
      <c r="N15" s="45">
        <f t="shared" ref="N15:N23" si="4">SUM(D15:M15)</f>
        <v>16991</v>
      </c>
      <c r="O15" s="46">
        <f t="shared" si="1"/>
        <v>1.4195934136079112E-2</v>
      </c>
      <c r="P15" s="9"/>
    </row>
    <row r="16" spans="1:133">
      <c r="A16" s="11"/>
      <c r="B16" s="24">
        <v>323.60000000000002</v>
      </c>
      <c r="C16" s="19" t="s">
        <v>20</v>
      </c>
      <c r="D16" s="45">
        <v>23732</v>
      </c>
      <c r="E16" s="45">
        <v>0</v>
      </c>
      <c r="F16" s="45">
        <v>0</v>
      </c>
      <c r="G16" s="45">
        <v>0</v>
      </c>
      <c r="H16" s="45">
        <v>0</v>
      </c>
      <c r="I16" s="45">
        <v>0</v>
      </c>
      <c r="J16" s="45">
        <v>0</v>
      </c>
      <c r="K16" s="45">
        <v>0</v>
      </c>
      <c r="L16" s="45">
        <v>0</v>
      </c>
      <c r="M16" s="45">
        <v>0</v>
      </c>
      <c r="N16" s="45">
        <f t="shared" si="4"/>
        <v>23732</v>
      </c>
      <c r="O16" s="46">
        <f t="shared" si="1"/>
        <v>1.9828021241682623E-2</v>
      </c>
      <c r="P16" s="9"/>
    </row>
    <row r="17" spans="1:16">
      <c r="A17" s="11"/>
      <c r="B17" s="24">
        <v>324.11</v>
      </c>
      <c r="C17" s="19" t="s">
        <v>21</v>
      </c>
      <c r="D17" s="45">
        <v>0</v>
      </c>
      <c r="E17" s="45">
        <v>221583</v>
      </c>
      <c r="F17" s="45">
        <v>0</v>
      </c>
      <c r="G17" s="45">
        <v>0</v>
      </c>
      <c r="H17" s="45">
        <v>0</v>
      </c>
      <c r="I17" s="45">
        <v>0</v>
      </c>
      <c r="J17" s="45">
        <v>0</v>
      </c>
      <c r="K17" s="45">
        <v>0</v>
      </c>
      <c r="L17" s="45">
        <v>0</v>
      </c>
      <c r="M17" s="45">
        <v>0</v>
      </c>
      <c r="N17" s="45">
        <f t="shared" si="4"/>
        <v>221583</v>
      </c>
      <c r="O17" s="46">
        <f t="shared" si="1"/>
        <v>0.1851319918589146</v>
      </c>
      <c r="P17" s="9"/>
    </row>
    <row r="18" spans="1:16">
      <c r="A18" s="11"/>
      <c r="B18" s="24">
        <v>324.20999999999998</v>
      </c>
      <c r="C18" s="19" t="s">
        <v>22</v>
      </c>
      <c r="D18" s="45">
        <v>0</v>
      </c>
      <c r="E18" s="45">
        <v>7718653</v>
      </c>
      <c r="F18" s="45">
        <v>0</v>
      </c>
      <c r="G18" s="45">
        <v>0</v>
      </c>
      <c r="H18" s="45">
        <v>0</v>
      </c>
      <c r="I18" s="45">
        <v>0</v>
      </c>
      <c r="J18" s="45">
        <v>0</v>
      </c>
      <c r="K18" s="45">
        <v>0</v>
      </c>
      <c r="L18" s="45">
        <v>0</v>
      </c>
      <c r="M18" s="45">
        <v>2082000</v>
      </c>
      <c r="N18" s="45">
        <f t="shared" si="4"/>
        <v>9800653</v>
      </c>
      <c r="O18" s="46">
        <f t="shared" si="1"/>
        <v>8.1884188381240754</v>
      </c>
      <c r="P18" s="9"/>
    </row>
    <row r="19" spans="1:16">
      <c r="A19" s="11"/>
      <c r="B19" s="24">
        <v>324.31</v>
      </c>
      <c r="C19" s="19" t="s">
        <v>23</v>
      </c>
      <c r="D19" s="45">
        <v>0</v>
      </c>
      <c r="E19" s="45">
        <v>3288618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5">
        <v>0</v>
      </c>
      <c r="L19" s="45">
        <v>0</v>
      </c>
      <c r="M19" s="45">
        <v>0</v>
      </c>
      <c r="N19" s="45">
        <f t="shared" si="4"/>
        <v>3288618</v>
      </c>
      <c r="O19" s="46">
        <f t="shared" si="1"/>
        <v>2.7476313652359612</v>
      </c>
      <c r="P19" s="9"/>
    </row>
    <row r="20" spans="1:16">
      <c r="A20" s="11"/>
      <c r="B20" s="24">
        <v>324.61</v>
      </c>
      <c r="C20" s="19" t="s">
        <v>24</v>
      </c>
      <c r="D20" s="45">
        <v>0</v>
      </c>
      <c r="E20" s="45">
        <v>887531</v>
      </c>
      <c r="F20" s="45">
        <v>0</v>
      </c>
      <c r="G20" s="45">
        <v>0</v>
      </c>
      <c r="H20" s="45">
        <v>0</v>
      </c>
      <c r="I20" s="45">
        <v>0</v>
      </c>
      <c r="J20" s="45">
        <v>0</v>
      </c>
      <c r="K20" s="45">
        <v>0</v>
      </c>
      <c r="L20" s="45">
        <v>0</v>
      </c>
      <c r="M20" s="45">
        <v>0</v>
      </c>
      <c r="N20" s="45">
        <f t="shared" si="4"/>
        <v>887531</v>
      </c>
      <c r="O20" s="46">
        <f t="shared" si="1"/>
        <v>0.74152972866390621</v>
      </c>
      <c r="P20" s="9"/>
    </row>
    <row r="21" spans="1:16">
      <c r="A21" s="11"/>
      <c r="B21" s="24">
        <v>325.10000000000002</v>
      </c>
      <c r="C21" s="19" t="s">
        <v>25</v>
      </c>
      <c r="D21" s="45">
        <v>0</v>
      </c>
      <c r="E21" s="45">
        <v>5534696</v>
      </c>
      <c r="F21" s="45">
        <v>0</v>
      </c>
      <c r="G21" s="45">
        <v>0</v>
      </c>
      <c r="H21" s="45">
        <v>0</v>
      </c>
      <c r="I21" s="45">
        <v>0</v>
      </c>
      <c r="J21" s="45">
        <v>0</v>
      </c>
      <c r="K21" s="45">
        <v>0</v>
      </c>
      <c r="L21" s="45">
        <v>0</v>
      </c>
      <c r="M21" s="45">
        <v>0</v>
      </c>
      <c r="N21" s="45">
        <f t="shared" si="4"/>
        <v>5534696</v>
      </c>
      <c r="O21" s="46">
        <f t="shared" si="1"/>
        <v>4.624223405286358</v>
      </c>
      <c r="P21" s="9"/>
    </row>
    <row r="22" spans="1:16">
      <c r="A22" s="11"/>
      <c r="B22" s="24">
        <v>325.2</v>
      </c>
      <c r="C22" s="19" t="s">
        <v>26</v>
      </c>
      <c r="D22" s="45">
        <v>0</v>
      </c>
      <c r="E22" s="45">
        <v>7715086</v>
      </c>
      <c r="F22" s="45">
        <v>0</v>
      </c>
      <c r="G22" s="45">
        <v>0</v>
      </c>
      <c r="H22" s="45">
        <v>0</v>
      </c>
      <c r="I22" s="45">
        <v>0</v>
      </c>
      <c r="J22" s="45">
        <v>0</v>
      </c>
      <c r="K22" s="45">
        <v>0</v>
      </c>
      <c r="L22" s="45">
        <v>0</v>
      </c>
      <c r="M22" s="45">
        <v>0</v>
      </c>
      <c r="N22" s="45">
        <f t="shared" si="4"/>
        <v>7715086</v>
      </c>
      <c r="O22" s="46">
        <f t="shared" si="1"/>
        <v>6.4459333005818404</v>
      </c>
      <c r="P22" s="9"/>
    </row>
    <row r="23" spans="1:16">
      <c r="A23" s="11"/>
      <c r="B23" s="24">
        <v>329</v>
      </c>
      <c r="C23" s="19" t="s">
        <v>27</v>
      </c>
      <c r="D23" s="45">
        <v>620698</v>
      </c>
      <c r="E23" s="45">
        <v>537530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45">
        <v>0</v>
      </c>
      <c r="L23" s="45">
        <v>0</v>
      </c>
      <c r="M23" s="45">
        <v>0</v>
      </c>
      <c r="N23" s="45">
        <f t="shared" si="4"/>
        <v>1158228</v>
      </c>
      <c r="O23" s="46">
        <f t="shared" si="1"/>
        <v>0.96769633350377482</v>
      </c>
      <c r="P23" s="9"/>
    </row>
    <row r="24" spans="1:16" ht="15.75">
      <c r="A24" s="28" t="s">
        <v>30</v>
      </c>
      <c r="B24" s="29"/>
      <c r="C24" s="30"/>
      <c r="D24" s="31">
        <f t="shared" ref="D24:M24" si="5">SUM(D25:D67)</f>
        <v>19024885</v>
      </c>
      <c r="E24" s="31">
        <f t="shared" si="5"/>
        <v>232795406</v>
      </c>
      <c r="F24" s="31">
        <f t="shared" si="5"/>
        <v>0</v>
      </c>
      <c r="G24" s="31">
        <f t="shared" si="5"/>
        <v>99472</v>
      </c>
      <c r="H24" s="31">
        <f t="shared" si="5"/>
        <v>0</v>
      </c>
      <c r="I24" s="31">
        <f t="shared" si="5"/>
        <v>0</v>
      </c>
      <c r="J24" s="31">
        <f t="shared" si="5"/>
        <v>695000</v>
      </c>
      <c r="K24" s="31">
        <f t="shared" si="5"/>
        <v>0</v>
      </c>
      <c r="L24" s="31">
        <f t="shared" si="5"/>
        <v>0</v>
      </c>
      <c r="M24" s="31">
        <f t="shared" si="5"/>
        <v>0</v>
      </c>
      <c r="N24" s="43">
        <f>SUM(D24:M24)</f>
        <v>252614763</v>
      </c>
      <c r="O24" s="44">
        <f t="shared" si="1"/>
        <v>211.05894516798509</v>
      </c>
      <c r="P24" s="10"/>
    </row>
    <row r="25" spans="1:16">
      <c r="A25" s="11"/>
      <c r="B25" s="24">
        <v>331.1</v>
      </c>
      <c r="C25" s="19" t="s">
        <v>28</v>
      </c>
      <c r="D25" s="45">
        <v>0</v>
      </c>
      <c r="E25" s="45">
        <v>24265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f>SUM(D25:M25)</f>
        <v>24265</v>
      </c>
      <c r="O25" s="46">
        <f t="shared" si="1"/>
        <v>2.0273341287267356E-2</v>
      </c>
      <c r="P25" s="9"/>
    </row>
    <row r="26" spans="1:16">
      <c r="A26" s="11"/>
      <c r="B26" s="24">
        <v>331.2</v>
      </c>
      <c r="C26" s="19" t="s">
        <v>29</v>
      </c>
      <c r="D26" s="45">
        <v>0</v>
      </c>
      <c r="E26" s="45">
        <v>10141914</v>
      </c>
      <c r="F26" s="45">
        <v>0</v>
      </c>
      <c r="G26" s="45">
        <v>0</v>
      </c>
      <c r="H26" s="45">
        <v>0</v>
      </c>
      <c r="I26" s="45">
        <v>0</v>
      </c>
      <c r="J26" s="45">
        <v>0</v>
      </c>
      <c r="K26" s="45">
        <v>0</v>
      </c>
      <c r="L26" s="45">
        <v>0</v>
      </c>
      <c r="M26" s="45">
        <v>0</v>
      </c>
      <c r="N26" s="45">
        <f>SUM(D26:M26)</f>
        <v>10141914</v>
      </c>
      <c r="O26" s="46">
        <f t="shared" si="1"/>
        <v>8.4735414724135509</v>
      </c>
      <c r="P26" s="9"/>
    </row>
    <row r="27" spans="1:16">
      <c r="A27" s="11"/>
      <c r="B27" s="24">
        <v>331.31</v>
      </c>
      <c r="C27" s="19" t="s">
        <v>34</v>
      </c>
      <c r="D27" s="45">
        <v>0</v>
      </c>
      <c r="E27" s="45">
        <v>473868</v>
      </c>
      <c r="F27" s="45">
        <v>0</v>
      </c>
      <c r="G27" s="45">
        <v>0</v>
      </c>
      <c r="H27" s="45">
        <v>0</v>
      </c>
      <c r="I27" s="45">
        <v>0</v>
      </c>
      <c r="J27" s="45">
        <v>0</v>
      </c>
      <c r="K27" s="45">
        <v>0</v>
      </c>
      <c r="L27" s="45">
        <v>0</v>
      </c>
      <c r="M27" s="45">
        <v>0</v>
      </c>
      <c r="N27" s="45">
        <f t="shared" ref="N27:N36" si="6">SUM(D27:M27)</f>
        <v>473868</v>
      </c>
      <c r="O27" s="46">
        <f t="shared" si="1"/>
        <v>0.39591542094023519</v>
      </c>
      <c r="P27" s="9"/>
    </row>
    <row r="28" spans="1:16">
      <c r="A28" s="11"/>
      <c r="B28" s="24">
        <v>331.39</v>
      </c>
      <c r="C28" s="19" t="s">
        <v>35</v>
      </c>
      <c r="D28" s="45">
        <v>0</v>
      </c>
      <c r="E28" s="45">
        <v>981636</v>
      </c>
      <c r="F28" s="45">
        <v>0</v>
      </c>
      <c r="G28" s="45">
        <v>0</v>
      </c>
      <c r="H28" s="45">
        <v>0</v>
      </c>
      <c r="I28" s="45">
        <v>0</v>
      </c>
      <c r="J28" s="45">
        <v>0</v>
      </c>
      <c r="K28" s="45">
        <v>0</v>
      </c>
      <c r="L28" s="45">
        <v>0</v>
      </c>
      <c r="M28" s="45">
        <v>0</v>
      </c>
      <c r="N28" s="45">
        <f t="shared" si="6"/>
        <v>981636</v>
      </c>
      <c r="O28" s="46">
        <f t="shared" si="1"/>
        <v>0.82015419937638478</v>
      </c>
      <c r="P28" s="9"/>
    </row>
    <row r="29" spans="1:16">
      <c r="A29" s="11"/>
      <c r="B29" s="24">
        <v>331.49</v>
      </c>
      <c r="C29" s="19" t="s">
        <v>36</v>
      </c>
      <c r="D29" s="45">
        <v>0</v>
      </c>
      <c r="E29" s="45">
        <v>4265120</v>
      </c>
      <c r="F29" s="45">
        <v>0</v>
      </c>
      <c r="G29" s="45">
        <v>0</v>
      </c>
      <c r="H29" s="45">
        <v>0</v>
      </c>
      <c r="I29" s="45">
        <v>0</v>
      </c>
      <c r="J29" s="45">
        <v>0</v>
      </c>
      <c r="K29" s="45">
        <v>0</v>
      </c>
      <c r="L29" s="45">
        <v>0</v>
      </c>
      <c r="M29" s="45">
        <v>0</v>
      </c>
      <c r="N29" s="45">
        <f t="shared" si="6"/>
        <v>4265120</v>
      </c>
      <c r="O29" s="46">
        <f t="shared" si="1"/>
        <v>3.5634961216216667</v>
      </c>
      <c r="P29" s="9"/>
    </row>
    <row r="30" spans="1:16">
      <c r="A30" s="11"/>
      <c r="B30" s="24">
        <v>331.5</v>
      </c>
      <c r="C30" s="19" t="s">
        <v>31</v>
      </c>
      <c r="D30" s="45">
        <v>0</v>
      </c>
      <c r="E30" s="45">
        <v>26031551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f t="shared" si="6"/>
        <v>26031551</v>
      </c>
      <c r="O30" s="46">
        <f t="shared" si="1"/>
        <v>21.749289827319423</v>
      </c>
      <c r="P30" s="9"/>
    </row>
    <row r="31" spans="1:16">
      <c r="A31" s="11"/>
      <c r="B31" s="24">
        <v>331.61</v>
      </c>
      <c r="C31" s="19" t="s">
        <v>37</v>
      </c>
      <c r="D31" s="45">
        <v>0</v>
      </c>
      <c r="E31" s="45">
        <v>3435792</v>
      </c>
      <c r="F31" s="45">
        <v>0</v>
      </c>
      <c r="G31" s="45">
        <v>0</v>
      </c>
      <c r="H31" s="45">
        <v>0</v>
      </c>
      <c r="I31" s="45">
        <v>0</v>
      </c>
      <c r="J31" s="45">
        <v>0</v>
      </c>
      <c r="K31" s="45">
        <v>0</v>
      </c>
      <c r="L31" s="45">
        <v>0</v>
      </c>
      <c r="M31" s="45">
        <v>0</v>
      </c>
      <c r="N31" s="45">
        <f t="shared" si="6"/>
        <v>3435792</v>
      </c>
      <c r="O31" s="46">
        <f t="shared" si="1"/>
        <v>2.8705948406372506</v>
      </c>
      <c r="P31" s="9"/>
    </row>
    <row r="32" spans="1:16">
      <c r="A32" s="11"/>
      <c r="B32" s="24">
        <v>331.65</v>
      </c>
      <c r="C32" s="19" t="s">
        <v>38</v>
      </c>
      <c r="D32" s="45">
        <v>0</v>
      </c>
      <c r="E32" s="45">
        <v>1582952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45">
        <f t="shared" si="6"/>
        <v>1582952</v>
      </c>
      <c r="O32" s="46">
        <f t="shared" si="1"/>
        <v>1.3225520765449179</v>
      </c>
      <c r="P32" s="9"/>
    </row>
    <row r="33" spans="1:16">
      <c r="A33" s="11"/>
      <c r="B33" s="24">
        <v>331.69</v>
      </c>
      <c r="C33" s="19" t="s">
        <v>39</v>
      </c>
      <c r="D33" s="45">
        <v>21704</v>
      </c>
      <c r="E33" s="45">
        <v>45607235</v>
      </c>
      <c r="F33" s="45">
        <v>0</v>
      </c>
      <c r="G33" s="45">
        <v>0</v>
      </c>
      <c r="H33" s="45">
        <v>0</v>
      </c>
      <c r="I33" s="45">
        <v>0</v>
      </c>
      <c r="J33" s="45">
        <v>0</v>
      </c>
      <c r="K33" s="45">
        <v>0</v>
      </c>
      <c r="L33" s="45">
        <v>0</v>
      </c>
      <c r="M33" s="45">
        <v>0</v>
      </c>
      <c r="N33" s="45">
        <f t="shared" si="6"/>
        <v>45628939</v>
      </c>
      <c r="O33" s="46">
        <f t="shared" si="1"/>
        <v>38.122854025258754</v>
      </c>
      <c r="P33" s="9"/>
    </row>
    <row r="34" spans="1:16">
      <c r="A34" s="11"/>
      <c r="B34" s="24">
        <v>331.9</v>
      </c>
      <c r="C34" s="19" t="s">
        <v>32</v>
      </c>
      <c r="D34" s="45">
        <v>0</v>
      </c>
      <c r="E34" s="45">
        <v>1258811</v>
      </c>
      <c r="F34" s="45">
        <v>0</v>
      </c>
      <c r="G34" s="45">
        <v>0</v>
      </c>
      <c r="H34" s="45">
        <v>0</v>
      </c>
      <c r="I34" s="45">
        <v>0</v>
      </c>
      <c r="J34" s="45">
        <v>0</v>
      </c>
      <c r="K34" s="45">
        <v>0</v>
      </c>
      <c r="L34" s="45">
        <v>0</v>
      </c>
      <c r="M34" s="45">
        <v>0</v>
      </c>
      <c r="N34" s="45">
        <f t="shared" si="6"/>
        <v>1258811</v>
      </c>
      <c r="O34" s="46">
        <f t="shared" si="1"/>
        <v>1.051733155539514</v>
      </c>
      <c r="P34" s="9"/>
    </row>
    <row r="35" spans="1:16">
      <c r="A35" s="11"/>
      <c r="B35" s="24">
        <v>333</v>
      </c>
      <c r="C35" s="19" t="s">
        <v>4</v>
      </c>
      <c r="D35" s="45">
        <v>1053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f t="shared" si="6"/>
        <v>1053</v>
      </c>
      <c r="O35" s="46">
        <f t="shared" si="1"/>
        <v>8.7977862664300539E-4</v>
      </c>
      <c r="P35" s="9"/>
    </row>
    <row r="36" spans="1:16">
      <c r="A36" s="11"/>
      <c r="B36" s="24">
        <v>334.2</v>
      </c>
      <c r="C36" s="19" t="s">
        <v>33</v>
      </c>
      <c r="D36" s="45">
        <v>0</v>
      </c>
      <c r="E36" s="45">
        <v>1626802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f t="shared" si="6"/>
        <v>1626802</v>
      </c>
      <c r="O36" s="46">
        <f t="shared" si="1"/>
        <v>1.3591886318899282</v>
      </c>
      <c r="P36" s="9"/>
    </row>
    <row r="37" spans="1:16">
      <c r="A37" s="11"/>
      <c r="B37" s="24">
        <v>334.39</v>
      </c>
      <c r="C37" s="19" t="s">
        <v>40</v>
      </c>
      <c r="D37" s="45">
        <v>0</v>
      </c>
      <c r="E37" s="45">
        <v>3923268</v>
      </c>
      <c r="F37" s="45">
        <v>0</v>
      </c>
      <c r="G37" s="45">
        <v>0</v>
      </c>
      <c r="H37" s="45">
        <v>0</v>
      </c>
      <c r="I37" s="45">
        <v>0</v>
      </c>
      <c r="J37" s="45">
        <v>0</v>
      </c>
      <c r="K37" s="45">
        <v>0</v>
      </c>
      <c r="L37" s="45">
        <v>0</v>
      </c>
      <c r="M37" s="45">
        <v>0</v>
      </c>
      <c r="N37" s="45">
        <f t="shared" ref="N37:N52" si="7">SUM(D37:M37)</f>
        <v>3923268</v>
      </c>
      <c r="O37" s="46">
        <f t="shared" ref="O37:O68" si="8">(N37/O$153)</f>
        <v>3.2778797084448721</v>
      </c>
      <c r="P37" s="9"/>
    </row>
    <row r="38" spans="1:16">
      <c r="A38" s="11"/>
      <c r="B38" s="24">
        <v>334.49</v>
      </c>
      <c r="C38" s="19" t="s">
        <v>41</v>
      </c>
      <c r="D38" s="45">
        <v>0</v>
      </c>
      <c r="E38" s="45">
        <v>634757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5">
        <v>0</v>
      </c>
      <c r="L38" s="45">
        <v>0</v>
      </c>
      <c r="M38" s="45">
        <v>0</v>
      </c>
      <c r="N38" s="45">
        <f t="shared" si="7"/>
        <v>634757</v>
      </c>
      <c r="O38" s="46">
        <f t="shared" si="8"/>
        <v>0.53033774141693657</v>
      </c>
      <c r="P38" s="9"/>
    </row>
    <row r="39" spans="1:16">
      <c r="A39" s="11"/>
      <c r="B39" s="24">
        <v>334.5</v>
      </c>
      <c r="C39" s="19" t="s">
        <v>42</v>
      </c>
      <c r="D39" s="45">
        <v>0</v>
      </c>
      <c r="E39" s="45">
        <v>126073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f t="shared" si="7"/>
        <v>126073</v>
      </c>
      <c r="O39" s="46">
        <f t="shared" si="8"/>
        <v>0.10533364748030732</v>
      </c>
      <c r="P39" s="9"/>
    </row>
    <row r="40" spans="1:16">
      <c r="A40" s="11"/>
      <c r="B40" s="24">
        <v>334.61</v>
      </c>
      <c r="C40" s="19" t="s">
        <v>43</v>
      </c>
      <c r="D40" s="45">
        <v>0</v>
      </c>
      <c r="E40" s="45">
        <v>608162</v>
      </c>
      <c r="F40" s="45">
        <v>0</v>
      </c>
      <c r="G40" s="45">
        <v>99472</v>
      </c>
      <c r="H40" s="45">
        <v>0</v>
      </c>
      <c r="I40" s="45">
        <v>0</v>
      </c>
      <c r="J40" s="45">
        <v>0</v>
      </c>
      <c r="K40" s="45">
        <v>0</v>
      </c>
      <c r="L40" s="45">
        <v>0</v>
      </c>
      <c r="M40" s="45">
        <v>0</v>
      </c>
      <c r="N40" s="45">
        <f t="shared" si="7"/>
        <v>707634</v>
      </c>
      <c r="O40" s="46">
        <f t="shared" si="8"/>
        <v>0.59122627605498246</v>
      </c>
      <c r="P40" s="9"/>
    </row>
    <row r="41" spans="1:16">
      <c r="A41" s="11"/>
      <c r="B41" s="24">
        <v>334.69</v>
      </c>
      <c r="C41" s="19" t="s">
        <v>44</v>
      </c>
      <c r="D41" s="45">
        <v>0</v>
      </c>
      <c r="E41" s="45">
        <v>3514687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f t="shared" si="7"/>
        <v>3514687</v>
      </c>
      <c r="O41" s="46">
        <f t="shared" si="8"/>
        <v>2.9365113978537747</v>
      </c>
      <c r="P41" s="9"/>
    </row>
    <row r="42" spans="1:16">
      <c r="A42" s="11"/>
      <c r="B42" s="24">
        <v>334.7</v>
      </c>
      <c r="C42" s="19" t="s">
        <v>45</v>
      </c>
      <c r="D42" s="45">
        <v>0</v>
      </c>
      <c r="E42" s="45">
        <v>1117317</v>
      </c>
      <c r="F42" s="45">
        <v>0</v>
      </c>
      <c r="G42" s="45">
        <v>0</v>
      </c>
      <c r="H42" s="45">
        <v>0</v>
      </c>
      <c r="I42" s="45">
        <v>0</v>
      </c>
      <c r="J42" s="45">
        <v>0</v>
      </c>
      <c r="K42" s="45">
        <v>0</v>
      </c>
      <c r="L42" s="45">
        <v>0</v>
      </c>
      <c r="M42" s="45">
        <v>0</v>
      </c>
      <c r="N42" s="45">
        <f t="shared" si="7"/>
        <v>1117317</v>
      </c>
      <c r="O42" s="46">
        <f t="shared" si="8"/>
        <v>0.933515304639015</v>
      </c>
      <c r="P42" s="9"/>
    </row>
    <row r="43" spans="1:16">
      <c r="A43" s="11"/>
      <c r="B43" s="24">
        <v>334.89</v>
      </c>
      <c r="C43" s="19" t="s">
        <v>46</v>
      </c>
      <c r="D43" s="45">
        <v>0</v>
      </c>
      <c r="E43" s="45">
        <v>287528</v>
      </c>
      <c r="F43" s="45">
        <v>0</v>
      </c>
      <c r="G43" s="45">
        <v>0</v>
      </c>
      <c r="H43" s="45">
        <v>0</v>
      </c>
      <c r="I43" s="45">
        <v>0</v>
      </c>
      <c r="J43" s="45">
        <v>0</v>
      </c>
      <c r="K43" s="45">
        <v>0</v>
      </c>
      <c r="L43" s="45">
        <v>0</v>
      </c>
      <c r="M43" s="45">
        <v>0</v>
      </c>
      <c r="N43" s="45">
        <f t="shared" si="7"/>
        <v>287528</v>
      </c>
      <c r="O43" s="46">
        <f t="shared" si="8"/>
        <v>0.24022885941254515</v>
      </c>
      <c r="P43" s="9"/>
    </row>
    <row r="44" spans="1:16">
      <c r="A44" s="11"/>
      <c r="B44" s="24">
        <v>334.9</v>
      </c>
      <c r="C44" s="19" t="s">
        <v>47</v>
      </c>
      <c r="D44" s="45">
        <v>0</v>
      </c>
      <c r="E44" s="45">
        <v>1281018</v>
      </c>
      <c r="F44" s="45">
        <v>0</v>
      </c>
      <c r="G44" s="45">
        <v>0</v>
      </c>
      <c r="H44" s="45">
        <v>0</v>
      </c>
      <c r="I44" s="45">
        <v>0</v>
      </c>
      <c r="J44" s="45">
        <v>0</v>
      </c>
      <c r="K44" s="45">
        <v>0</v>
      </c>
      <c r="L44" s="45">
        <v>0</v>
      </c>
      <c r="M44" s="45">
        <v>0</v>
      </c>
      <c r="N44" s="45">
        <f t="shared" si="7"/>
        <v>1281018</v>
      </c>
      <c r="O44" s="46">
        <f t="shared" si="8"/>
        <v>1.070287043442516</v>
      </c>
      <c r="P44" s="9"/>
    </row>
    <row r="45" spans="1:16">
      <c r="A45" s="11"/>
      <c r="B45" s="24">
        <v>335.12</v>
      </c>
      <c r="C45" s="19" t="s">
        <v>48</v>
      </c>
      <c r="D45" s="45">
        <v>17065570</v>
      </c>
      <c r="E45" s="45">
        <v>6752474</v>
      </c>
      <c r="F45" s="45">
        <v>0</v>
      </c>
      <c r="G45" s="45">
        <v>0</v>
      </c>
      <c r="H45" s="45">
        <v>0</v>
      </c>
      <c r="I45" s="45">
        <v>0</v>
      </c>
      <c r="J45" s="45">
        <v>0</v>
      </c>
      <c r="K45" s="45">
        <v>0</v>
      </c>
      <c r="L45" s="45">
        <v>0</v>
      </c>
      <c r="M45" s="45">
        <v>0</v>
      </c>
      <c r="N45" s="45">
        <f t="shared" si="7"/>
        <v>23818044</v>
      </c>
      <c r="O45" s="46">
        <f t="shared" si="8"/>
        <v>19.899910768891427</v>
      </c>
      <c r="P45" s="9"/>
    </row>
    <row r="46" spans="1:16">
      <c r="A46" s="11"/>
      <c r="B46" s="24">
        <v>335.13</v>
      </c>
      <c r="C46" s="19" t="s">
        <v>49</v>
      </c>
      <c r="D46" s="45">
        <v>316261</v>
      </c>
      <c r="E46" s="45">
        <v>0</v>
      </c>
      <c r="F46" s="45">
        <v>0</v>
      </c>
      <c r="G46" s="45">
        <v>0</v>
      </c>
      <c r="H46" s="45">
        <v>0</v>
      </c>
      <c r="I46" s="45">
        <v>0</v>
      </c>
      <c r="J46" s="45">
        <v>0</v>
      </c>
      <c r="K46" s="45">
        <v>0</v>
      </c>
      <c r="L46" s="45">
        <v>0</v>
      </c>
      <c r="M46" s="45">
        <v>0</v>
      </c>
      <c r="N46" s="45">
        <f t="shared" si="7"/>
        <v>316261</v>
      </c>
      <c r="O46" s="46">
        <f t="shared" si="8"/>
        <v>0.26423520250782861</v>
      </c>
      <c r="P46" s="9"/>
    </row>
    <row r="47" spans="1:16">
      <c r="A47" s="11"/>
      <c r="B47" s="24">
        <v>335.14</v>
      </c>
      <c r="C47" s="19" t="s">
        <v>50</v>
      </c>
      <c r="D47" s="45">
        <v>440377</v>
      </c>
      <c r="E47" s="45">
        <v>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f t="shared" si="7"/>
        <v>440377</v>
      </c>
      <c r="O47" s="46">
        <f t="shared" si="8"/>
        <v>0.36793378182826852</v>
      </c>
      <c r="P47" s="9"/>
    </row>
    <row r="48" spans="1:16">
      <c r="A48" s="11"/>
      <c r="B48" s="24">
        <v>335.15</v>
      </c>
      <c r="C48" s="19" t="s">
        <v>51</v>
      </c>
      <c r="D48" s="45">
        <v>385849</v>
      </c>
      <c r="E48" s="45">
        <v>0</v>
      </c>
      <c r="F48" s="45">
        <v>0</v>
      </c>
      <c r="G48" s="45">
        <v>0</v>
      </c>
      <c r="H48" s="45">
        <v>0</v>
      </c>
      <c r="I48" s="45">
        <v>0</v>
      </c>
      <c r="J48" s="45">
        <v>0</v>
      </c>
      <c r="K48" s="45">
        <v>0</v>
      </c>
      <c r="L48" s="45">
        <v>0</v>
      </c>
      <c r="M48" s="45">
        <v>0</v>
      </c>
      <c r="N48" s="45">
        <f t="shared" si="7"/>
        <v>385849</v>
      </c>
      <c r="O48" s="46">
        <f t="shared" si="8"/>
        <v>0.32237578662068089</v>
      </c>
      <c r="P48" s="9"/>
    </row>
    <row r="49" spans="1:16">
      <c r="A49" s="11"/>
      <c r="B49" s="24">
        <v>335.16</v>
      </c>
      <c r="C49" s="19" t="s">
        <v>52</v>
      </c>
      <c r="D49" s="45">
        <v>446500</v>
      </c>
      <c r="E49" s="45">
        <v>0</v>
      </c>
      <c r="F49" s="45">
        <v>0</v>
      </c>
      <c r="G49" s="45">
        <v>0</v>
      </c>
      <c r="H49" s="45">
        <v>0</v>
      </c>
      <c r="I49" s="45">
        <v>0</v>
      </c>
      <c r="J49" s="45">
        <v>0</v>
      </c>
      <c r="K49" s="45">
        <v>0</v>
      </c>
      <c r="L49" s="45">
        <v>0</v>
      </c>
      <c r="M49" s="45">
        <v>0</v>
      </c>
      <c r="N49" s="45">
        <f t="shared" si="7"/>
        <v>446500</v>
      </c>
      <c r="O49" s="46">
        <f t="shared" si="8"/>
        <v>0.37304953162022975</v>
      </c>
      <c r="P49" s="9"/>
    </row>
    <row r="50" spans="1:16">
      <c r="A50" s="11"/>
      <c r="B50" s="24">
        <v>335.17</v>
      </c>
      <c r="C50" s="19" t="s">
        <v>53</v>
      </c>
      <c r="D50" s="45">
        <v>83448</v>
      </c>
      <c r="E50" s="45">
        <v>0</v>
      </c>
      <c r="F50" s="45">
        <v>0</v>
      </c>
      <c r="G50" s="45">
        <v>0</v>
      </c>
      <c r="H50" s="45">
        <v>0</v>
      </c>
      <c r="I50" s="45">
        <v>0</v>
      </c>
      <c r="J50" s="45">
        <v>0</v>
      </c>
      <c r="K50" s="45">
        <v>0</v>
      </c>
      <c r="L50" s="45">
        <v>0</v>
      </c>
      <c r="M50" s="45">
        <v>0</v>
      </c>
      <c r="N50" s="45">
        <f t="shared" si="7"/>
        <v>83448</v>
      </c>
      <c r="O50" s="46">
        <f t="shared" si="8"/>
        <v>6.9720576292597827E-2</v>
      </c>
      <c r="P50" s="9"/>
    </row>
    <row r="51" spans="1:16">
      <c r="A51" s="11"/>
      <c r="B51" s="24">
        <v>335.18</v>
      </c>
      <c r="C51" s="19" t="s">
        <v>54</v>
      </c>
      <c r="D51" s="45">
        <v>0</v>
      </c>
      <c r="E51" s="45">
        <v>75274531</v>
      </c>
      <c r="F51" s="45">
        <v>0</v>
      </c>
      <c r="G51" s="45">
        <v>0</v>
      </c>
      <c r="H51" s="45">
        <v>0</v>
      </c>
      <c r="I51" s="45">
        <v>0</v>
      </c>
      <c r="J51" s="45">
        <v>0</v>
      </c>
      <c r="K51" s="45">
        <v>0</v>
      </c>
      <c r="L51" s="45">
        <v>0</v>
      </c>
      <c r="M51" s="45">
        <v>0</v>
      </c>
      <c r="N51" s="45">
        <f t="shared" si="7"/>
        <v>75274531</v>
      </c>
      <c r="O51" s="46">
        <f t="shared" si="8"/>
        <v>62.891665246321303</v>
      </c>
      <c r="P51" s="9"/>
    </row>
    <row r="52" spans="1:16">
      <c r="A52" s="11"/>
      <c r="B52" s="24">
        <v>335.21</v>
      </c>
      <c r="C52" s="19" t="s">
        <v>55</v>
      </c>
      <c r="D52" s="45">
        <v>197418</v>
      </c>
      <c r="E52" s="45">
        <v>0</v>
      </c>
      <c r="F52" s="45">
        <v>0</v>
      </c>
      <c r="G52" s="45">
        <v>0</v>
      </c>
      <c r="H52" s="45">
        <v>0</v>
      </c>
      <c r="I52" s="45">
        <v>0</v>
      </c>
      <c r="J52" s="45">
        <v>0</v>
      </c>
      <c r="K52" s="45">
        <v>0</v>
      </c>
      <c r="L52" s="45">
        <v>0</v>
      </c>
      <c r="M52" s="45">
        <v>0</v>
      </c>
      <c r="N52" s="45">
        <f t="shared" si="7"/>
        <v>197418</v>
      </c>
      <c r="O52" s="46">
        <f t="shared" si="8"/>
        <v>0.16494220029877382</v>
      </c>
      <c r="P52" s="9"/>
    </row>
    <row r="53" spans="1:16">
      <c r="A53" s="11"/>
      <c r="B53" s="24">
        <v>335.22</v>
      </c>
      <c r="C53" s="19" t="s">
        <v>56</v>
      </c>
      <c r="D53" s="45">
        <v>0</v>
      </c>
      <c r="E53" s="45">
        <v>7332549</v>
      </c>
      <c r="F53" s="45">
        <v>0</v>
      </c>
      <c r="G53" s="45">
        <v>0</v>
      </c>
      <c r="H53" s="45">
        <v>0</v>
      </c>
      <c r="I53" s="45">
        <v>0</v>
      </c>
      <c r="J53" s="45">
        <v>0</v>
      </c>
      <c r="K53" s="45">
        <v>0</v>
      </c>
      <c r="L53" s="45">
        <v>0</v>
      </c>
      <c r="M53" s="45">
        <v>0</v>
      </c>
      <c r="N53" s="45">
        <f t="shared" ref="N53:N60" si="9">SUM(D53:M53)</f>
        <v>7332549</v>
      </c>
      <c r="O53" s="46">
        <f t="shared" si="8"/>
        <v>6.1263246809235925</v>
      </c>
      <c r="P53" s="9"/>
    </row>
    <row r="54" spans="1:16">
      <c r="A54" s="11"/>
      <c r="B54" s="24">
        <v>335.29</v>
      </c>
      <c r="C54" s="19" t="s">
        <v>57</v>
      </c>
      <c r="D54" s="45">
        <v>400</v>
      </c>
      <c r="E54" s="45">
        <v>98726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f t="shared" si="9"/>
        <v>99126</v>
      </c>
      <c r="O54" s="46">
        <f t="shared" si="8"/>
        <v>8.28195025115048E-2</v>
      </c>
      <c r="P54" s="9"/>
    </row>
    <row r="55" spans="1:16">
      <c r="A55" s="11"/>
      <c r="B55" s="24">
        <v>335.39</v>
      </c>
      <c r="C55" s="19" t="s">
        <v>58</v>
      </c>
      <c r="D55" s="45">
        <v>0</v>
      </c>
      <c r="E55" s="45">
        <v>1751105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f t="shared" si="9"/>
        <v>1751105</v>
      </c>
      <c r="O55" s="46">
        <f t="shared" si="8"/>
        <v>1.463043449200095</v>
      </c>
      <c r="P55" s="9"/>
    </row>
    <row r="56" spans="1:16">
      <c r="A56" s="11"/>
      <c r="B56" s="24">
        <v>335.49</v>
      </c>
      <c r="C56" s="19" t="s">
        <v>59</v>
      </c>
      <c r="D56" s="45">
        <v>0</v>
      </c>
      <c r="E56" s="45">
        <v>16174820</v>
      </c>
      <c r="F56" s="45">
        <v>0</v>
      </c>
      <c r="G56" s="45">
        <v>0</v>
      </c>
      <c r="H56" s="45">
        <v>0</v>
      </c>
      <c r="I56" s="45">
        <v>0</v>
      </c>
      <c r="J56" s="45">
        <v>0</v>
      </c>
      <c r="K56" s="45">
        <v>0</v>
      </c>
      <c r="L56" s="45">
        <v>0</v>
      </c>
      <c r="M56" s="45">
        <v>0</v>
      </c>
      <c r="N56" s="45">
        <f t="shared" si="9"/>
        <v>16174820</v>
      </c>
      <c r="O56" s="46">
        <f t="shared" si="8"/>
        <v>13.5140179732173</v>
      </c>
      <c r="P56" s="9"/>
    </row>
    <row r="57" spans="1:16">
      <c r="A57" s="11"/>
      <c r="B57" s="24">
        <v>335.5</v>
      </c>
      <c r="C57" s="19" t="s">
        <v>60</v>
      </c>
      <c r="D57" s="45">
        <v>0</v>
      </c>
      <c r="E57" s="45">
        <v>7609744</v>
      </c>
      <c r="F57" s="45">
        <v>0</v>
      </c>
      <c r="G57" s="45">
        <v>0</v>
      </c>
      <c r="H57" s="45">
        <v>0</v>
      </c>
      <c r="I57" s="45">
        <v>0</v>
      </c>
      <c r="J57" s="45">
        <v>0</v>
      </c>
      <c r="K57" s="45">
        <v>0</v>
      </c>
      <c r="L57" s="45">
        <v>0</v>
      </c>
      <c r="M57" s="45">
        <v>0</v>
      </c>
      <c r="N57" s="45">
        <f t="shared" si="9"/>
        <v>7609744</v>
      </c>
      <c r="O57" s="46">
        <f t="shared" si="8"/>
        <v>6.357920347032147</v>
      </c>
      <c r="P57" s="9"/>
    </row>
    <row r="58" spans="1:16">
      <c r="A58" s="11"/>
      <c r="B58" s="24">
        <v>335.69</v>
      </c>
      <c r="C58" s="19" t="s">
        <v>61</v>
      </c>
      <c r="D58" s="45">
        <v>44857</v>
      </c>
      <c r="E58" s="45">
        <v>0</v>
      </c>
      <c r="F58" s="45">
        <v>0</v>
      </c>
      <c r="G58" s="45">
        <v>0</v>
      </c>
      <c r="H58" s="45">
        <v>0</v>
      </c>
      <c r="I58" s="45">
        <v>0</v>
      </c>
      <c r="J58" s="45">
        <v>695000</v>
      </c>
      <c r="K58" s="45">
        <v>0</v>
      </c>
      <c r="L58" s="45">
        <v>0</v>
      </c>
      <c r="M58" s="45">
        <v>0</v>
      </c>
      <c r="N58" s="45">
        <f t="shared" si="9"/>
        <v>739857</v>
      </c>
      <c r="O58" s="46">
        <f t="shared" si="8"/>
        <v>0.6181485046269839</v>
      </c>
      <c r="P58" s="9"/>
    </row>
    <row r="59" spans="1:16">
      <c r="A59" s="11"/>
      <c r="B59" s="24">
        <v>335.7</v>
      </c>
      <c r="C59" s="19" t="s">
        <v>62</v>
      </c>
      <c r="D59" s="45">
        <v>0</v>
      </c>
      <c r="E59" s="45">
        <v>2302670</v>
      </c>
      <c r="F59" s="45">
        <v>0</v>
      </c>
      <c r="G59" s="45">
        <v>0</v>
      </c>
      <c r="H59" s="45">
        <v>0</v>
      </c>
      <c r="I59" s="45">
        <v>0</v>
      </c>
      <c r="J59" s="45">
        <v>0</v>
      </c>
      <c r="K59" s="45">
        <v>0</v>
      </c>
      <c r="L59" s="45">
        <v>0</v>
      </c>
      <c r="M59" s="45">
        <v>0</v>
      </c>
      <c r="N59" s="45">
        <f t="shared" si="9"/>
        <v>2302670</v>
      </c>
      <c r="O59" s="46">
        <f t="shared" si="8"/>
        <v>1.9238745016258776</v>
      </c>
      <c r="P59" s="9"/>
    </row>
    <row r="60" spans="1:16">
      <c r="A60" s="11"/>
      <c r="B60" s="24">
        <v>335.8</v>
      </c>
      <c r="C60" s="19" t="s">
        <v>63</v>
      </c>
      <c r="D60" s="45">
        <v>0</v>
      </c>
      <c r="E60" s="45">
        <v>7275689</v>
      </c>
      <c r="F60" s="45">
        <v>0</v>
      </c>
      <c r="G60" s="45">
        <v>0</v>
      </c>
      <c r="H60" s="45">
        <v>0</v>
      </c>
      <c r="I60" s="45">
        <v>0</v>
      </c>
      <c r="J60" s="45">
        <v>0</v>
      </c>
      <c r="K60" s="45">
        <v>0</v>
      </c>
      <c r="L60" s="45">
        <v>0</v>
      </c>
      <c r="M60" s="45">
        <v>0</v>
      </c>
      <c r="N60" s="45">
        <f t="shared" si="9"/>
        <v>7275689</v>
      </c>
      <c r="O60" s="46">
        <f t="shared" si="8"/>
        <v>6.0788183060794125</v>
      </c>
      <c r="P60" s="9"/>
    </row>
    <row r="61" spans="1:16">
      <c r="A61" s="11"/>
      <c r="B61" s="24">
        <v>337.1</v>
      </c>
      <c r="C61" s="19" t="s">
        <v>64</v>
      </c>
      <c r="D61" s="45">
        <v>0</v>
      </c>
      <c r="E61" s="45">
        <v>90640</v>
      </c>
      <c r="F61" s="45">
        <v>0</v>
      </c>
      <c r="G61" s="45">
        <v>0</v>
      </c>
      <c r="H61" s="45">
        <v>0</v>
      </c>
      <c r="I61" s="45">
        <v>0</v>
      </c>
      <c r="J61" s="45">
        <v>0</v>
      </c>
      <c r="K61" s="45">
        <v>0</v>
      </c>
      <c r="L61" s="45">
        <v>0</v>
      </c>
      <c r="M61" s="45">
        <v>0</v>
      </c>
      <c r="N61" s="45">
        <f t="shared" ref="N61:N69" si="10">SUM(D61:M61)</f>
        <v>90640</v>
      </c>
      <c r="O61" s="46">
        <f t="shared" si="8"/>
        <v>7.5729472667542264E-2</v>
      </c>
      <c r="P61" s="9"/>
    </row>
    <row r="62" spans="1:16">
      <c r="A62" s="11"/>
      <c r="B62" s="24">
        <v>337.2</v>
      </c>
      <c r="C62" s="19" t="s">
        <v>65</v>
      </c>
      <c r="D62" s="45">
        <v>0</v>
      </c>
      <c r="E62" s="45">
        <v>112397</v>
      </c>
      <c r="F62" s="45">
        <v>0</v>
      </c>
      <c r="G62" s="45">
        <v>0</v>
      </c>
      <c r="H62" s="45">
        <v>0</v>
      </c>
      <c r="I62" s="45">
        <v>0</v>
      </c>
      <c r="J62" s="45">
        <v>0</v>
      </c>
      <c r="K62" s="45">
        <v>0</v>
      </c>
      <c r="L62" s="45">
        <v>0</v>
      </c>
      <c r="M62" s="45">
        <v>0</v>
      </c>
      <c r="N62" s="45">
        <f t="shared" si="10"/>
        <v>112397</v>
      </c>
      <c r="O62" s="46">
        <f t="shared" si="8"/>
        <v>9.3907386798474712E-2</v>
      </c>
      <c r="P62" s="9"/>
    </row>
    <row r="63" spans="1:16">
      <c r="A63" s="11"/>
      <c r="B63" s="24">
        <v>337.3</v>
      </c>
      <c r="C63" s="19" t="s">
        <v>66</v>
      </c>
      <c r="D63" s="45">
        <v>0</v>
      </c>
      <c r="E63" s="45">
        <v>904285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0</v>
      </c>
      <c r="N63" s="45">
        <f t="shared" si="10"/>
        <v>904285</v>
      </c>
      <c r="O63" s="46">
        <f t="shared" si="8"/>
        <v>0.7555276499466953</v>
      </c>
      <c r="P63" s="9"/>
    </row>
    <row r="64" spans="1:16">
      <c r="A64" s="11"/>
      <c r="B64" s="24">
        <v>337.5</v>
      </c>
      <c r="C64" s="19" t="s">
        <v>67</v>
      </c>
      <c r="D64" s="45">
        <v>0</v>
      </c>
      <c r="E64" s="45">
        <v>98991</v>
      </c>
      <c r="F64" s="45">
        <v>0</v>
      </c>
      <c r="G64" s="45">
        <v>0</v>
      </c>
      <c r="H64" s="45">
        <v>0</v>
      </c>
      <c r="I64" s="45">
        <v>0</v>
      </c>
      <c r="J64" s="45">
        <v>0</v>
      </c>
      <c r="K64" s="45">
        <v>0</v>
      </c>
      <c r="L64" s="45">
        <v>0</v>
      </c>
      <c r="M64" s="45">
        <v>0</v>
      </c>
      <c r="N64" s="45">
        <f t="shared" si="10"/>
        <v>98991</v>
      </c>
      <c r="O64" s="46">
        <f t="shared" si="8"/>
        <v>8.2706710379883905E-2</v>
      </c>
      <c r="P64" s="9"/>
    </row>
    <row r="65" spans="1:16">
      <c r="A65" s="11"/>
      <c r="B65" s="24">
        <v>337.7</v>
      </c>
      <c r="C65" s="19" t="s">
        <v>68</v>
      </c>
      <c r="D65" s="45">
        <v>0</v>
      </c>
      <c r="E65" s="45">
        <v>-1699</v>
      </c>
      <c r="F65" s="45">
        <v>0</v>
      </c>
      <c r="G65" s="45">
        <v>0</v>
      </c>
      <c r="H65" s="45">
        <v>0</v>
      </c>
      <c r="I65" s="45">
        <v>0</v>
      </c>
      <c r="J65" s="45">
        <v>0</v>
      </c>
      <c r="K65" s="45">
        <v>0</v>
      </c>
      <c r="L65" s="45">
        <v>0</v>
      </c>
      <c r="M65" s="45">
        <v>0</v>
      </c>
      <c r="N65" s="45">
        <f t="shared" si="10"/>
        <v>-1699</v>
      </c>
      <c r="O65" s="46">
        <f t="shared" si="8"/>
        <v>-1.4195098638807846E-3</v>
      </c>
      <c r="P65" s="9"/>
    </row>
    <row r="66" spans="1:16">
      <c r="A66" s="11"/>
      <c r="B66" s="24">
        <v>337.9</v>
      </c>
      <c r="C66" s="19" t="s">
        <v>69</v>
      </c>
      <c r="D66" s="45">
        <v>21683</v>
      </c>
      <c r="E66" s="45">
        <v>95728</v>
      </c>
      <c r="F66" s="45">
        <v>0</v>
      </c>
      <c r="G66" s="45">
        <v>0</v>
      </c>
      <c r="H66" s="45">
        <v>0</v>
      </c>
      <c r="I66" s="45">
        <v>0</v>
      </c>
      <c r="J66" s="45">
        <v>0</v>
      </c>
      <c r="K66" s="45">
        <v>0</v>
      </c>
      <c r="L66" s="45">
        <v>0</v>
      </c>
      <c r="M66" s="45">
        <v>0</v>
      </c>
      <c r="N66" s="45">
        <f t="shared" si="10"/>
        <v>117411</v>
      </c>
      <c r="O66" s="46">
        <f t="shared" si="8"/>
        <v>9.8096570116602E-2</v>
      </c>
      <c r="P66" s="9"/>
    </row>
    <row r="67" spans="1:16">
      <c r="A67" s="11"/>
      <c r="B67" s="24">
        <v>339</v>
      </c>
      <c r="C67" s="19" t="s">
        <v>70</v>
      </c>
      <c r="D67" s="45">
        <v>-235</v>
      </c>
      <c r="E67" s="45">
        <v>0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>
        <v>0</v>
      </c>
      <c r="N67" s="45">
        <f t="shared" si="10"/>
        <v>-235</v>
      </c>
      <c r="O67" s="46">
        <f t="shared" si="8"/>
        <v>-1.9634185874748932E-4</v>
      </c>
      <c r="P67" s="9"/>
    </row>
    <row r="68" spans="1:16" ht="15.75">
      <c r="A68" s="28" t="s">
        <v>75</v>
      </c>
      <c r="B68" s="29"/>
      <c r="C68" s="30"/>
      <c r="D68" s="31">
        <f t="shared" ref="D68:M68" si="11">SUM(D69:D123)</f>
        <v>74718645</v>
      </c>
      <c r="E68" s="31">
        <f t="shared" si="11"/>
        <v>75026942</v>
      </c>
      <c r="F68" s="31">
        <f t="shared" si="11"/>
        <v>451168</v>
      </c>
      <c r="G68" s="31">
        <f t="shared" si="11"/>
        <v>100000</v>
      </c>
      <c r="H68" s="31">
        <f t="shared" si="11"/>
        <v>0</v>
      </c>
      <c r="I68" s="31">
        <f t="shared" si="11"/>
        <v>270532000</v>
      </c>
      <c r="J68" s="31">
        <f t="shared" si="11"/>
        <v>128535000</v>
      </c>
      <c r="K68" s="31">
        <f t="shared" si="11"/>
        <v>0</v>
      </c>
      <c r="L68" s="31">
        <f t="shared" si="11"/>
        <v>0</v>
      </c>
      <c r="M68" s="31">
        <f t="shared" si="11"/>
        <v>2317000</v>
      </c>
      <c r="N68" s="31">
        <f t="shared" si="10"/>
        <v>551680755</v>
      </c>
      <c r="O68" s="44">
        <f t="shared" si="8"/>
        <v>460.92776541241818</v>
      </c>
      <c r="P68" s="10"/>
    </row>
    <row r="69" spans="1:16">
      <c r="A69" s="11"/>
      <c r="B69" s="24">
        <v>341.1</v>
      </c>
      <c r="C69" s="19" t="s">
        <v>78</v>
      </c>
      <c r="D69" s="45">
        <v>0</v>
      </c>
      <c r="E69" s="45">
        <v>3910157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5">
        <v>0</v>
      </c>
      <c r="L69" s="45">
        <v>0</v>
      </c>
      <c r="M69" s="45">
        <v>0</v>
      </c>
      <c r="N69" s="45">
        <f t="shared" si="10"/>
        <v>3910157</v>
      </c>
      <c r="O69" s="46">
        <f t="shared" ref="O69:O100" si="12">(N69/O$153)</f>
        <v>3.2669255037213047</v>
      </c>
      <c r="P69" s="9"/>
    </row>
    <row r="70" spans="1:16">
      <c r="A70" s="11"/>
      <c r="B70" s="24">
        <v>341.15</v>
      </c>
      <c r="C70" s="19" t="s">
        <v>79</v>
      </c>
      <c r="D70" s="45">
        <v>0</v>
      </c>
      <c r="E70" s="45">
        <v>2695509</v>
      </c>
      <c r="F70" s="45">
        <v>0</v>
      </c>
      <c r="G70" s="45">
        <v>0</v>
      </c>
      <c r="H70" s="45">
        <v>0</v>
      </c>
      <c r="I70" s="45">
        <v>0</v>
      </c>
      <c r="J70" s="45">
        <v>0</v>
      </c>
      <c r="K70" s="45">
        <v>0</v>
      </c>
      <c r="L70" s="45">
        <v>0</v>
      </c>
      <c r="M70" s="45">
        <v>0</v>
      </c>
      <c r="N70" s="45">
        <f t="shared" ref="N70:N123" si="13">SUM(D70:M70)</f>
        <v>2695509</v>
      </c>
      <c r="O70" s="46">
        <f t="shared" si="12"/>
        <v>2.2520904141727072</v>
      </c>
      <c r="P70" s="9"/>
    </row>
    <row r="71" spans="1:16">
      <c r="A71" s="11"/>
      <c r="B71" s="24">
        <v>341.16</v>
      </c>
      <c r="C71" s="19" t="s">
        <v>80</v>
      </c>
      <c r="D71" s="45">
        <v>0</v>
      </c>
      <c r="E71" s="45">
        <v>473136</v>
      </c>
      <c r="F71" s="45">
        <v>0</v>
      </c>
      <c r="G71" s="45">
        <v>0</v>
      </c>
      <c r="H71" s="45">
        <v>0</v>
      </c>
      <c r="I71" s="45">
        <v>0</v>
      </c>
      <c r="J71" s="45">
        <v>0</v>
      </c>
      <c r="K71" s="45">
        <v>0</v>
      </c>
      <c r="L71" s="45">
        <v>0</v>
      </c>
      <c r="M71" s="45">
        <v>0</v>
      </c>
      <c r="N71" s="45">
        <f t="shared" si="13"/>
        <v>473136</v>
      </c>
      <c r="O71" s="46">
        <f t="shared" si="12"/>
        <v>0.39530383693766857</v>
      </c>
      <c r="P71" s="9"/>
    </row>
    <row r="72" spans="1:16">
      <c r="A72" s="11"/>
      <c r="B72" s="24">
        <v>341.2</v>
      </c>
      <c r="C72" s="19" t="s">
        <v>81</v>
      </c>
      <c r="D72" s="45">
        <v>0</v>
      </c>
      <c r="E72" s="45">
        <v>0</v>
      </c>
      <c r="F72" s="45">
        <v>0</v>
      </c>
      <c r="G72" s="45">
        <v>0</v>
      </c>
      <c r="H72" s="45">
        <v>0</v>
      </c>
      <c r="I72" s="45">
        <v>0</v>
      </c>
      <c r="J72" s="45">
        <v>128535000</v>
      </c>
      <c r="K72" s="45">
        <v>0</v>
      </c>
      <c r="L72" s="45">
        <v>0</v>
      </c>
      <c r="M72" s="45">
        <v>0</v>
      </c>
      <c r="N72" s="45">
        <f t="shared" si="13"/>
        <v>128535000</v>
      </c>
      <c r="O72" s="46">
        <f t="shared" si="12"/>
        <v>107.39064176216401</v>
      </c>
      <c r="P72" s="9"/>
    </row>
    <row r="73" spans="1:16">
      <c r="A73" s="11"/>
      <c r="B73" s="24">
        <v>341.3</v>
      </c>
      <c r="C73" s="19" t="s">
        <v>82</v>
      </c>
      <c r="D73" s="45">
        <v>87924</v>
      </c>
      <c r="E73" s="45">
        <v>684</v>
      </c>
      <c r="F73" s="45">
        <v>0</v>
      </c>
      <c r="G73" s="45">
        <v>0</v>
      </c>
      <c r="H73" s="45">
        <v>0</v>
      </c>
      <c r="I73" s="45">
        <v>0</v>
      </c>
      <c r="J73" s="45">
        <v>0</v>
      </c>
      <c r="K73" s="45">
        <v>0</v>
      </c>
      <c r="L73" s="45">
        <v>0</v>
      </c>
      <c r="M73" s="45">
        <v>0</v>
      </c>
      <c r="N73" s="45">
        <f t="shared" si="13"/>
        <v>88608</v>
      </c>
      <c r="O73" s="46">
        <f t="shared" si="12"/>
        <v>7.4031742212329929E-2</v>
      </c>
      <c r="P73" s="9"/>
    </row>
    <row r="74" spans="1:16">
      <c r="A74" s="11"/>
      <c r="B74" s="24">
        <v>341.52</v>
      </c>
      <c r="C74" s="19" t="s">
        <v>83</v>
      </c>
      <c r="D74" s="45">
        <v>2148249</v>
      </c>
      <c r="E74" s="45">
        <v>0</v>
      </c>
      <c r="F74" s="45">
        <v>0</v>
      </c>
      <c r="G74" s="45">
        <v>0</v>
      </c>
      <c r="H74" s="45">
        <v>0</v>
      </c>
      <c r="I74" s="45">
        <v>0</v>
      </c>
      <c r="J74" s="45">
        <v>0</v>
      </c>
      <c r="K74" s="45">
        <v>0</v>
      </c>
      <c r="L74" s="45">
        <v>0</v>
      </c>
      <c r="M74" s="45">
        <v>0</v>
      </c>
      <c r="N74" s="45">
        <f t="shared" si="13"/>
        <v>2148249</v>
      </c>
      <c r="O74" s="46">
        <f t="shared" si="12"/>
        <v>1.7948561774997243</v>
      </c>
      <c r="P74" s="9"/>
    </row>
    <row r="75" spans="1:16">
      <c r="A75" s="11"/>
      <c r="B75" s="24">
        <v>341.55</v>
      </c>
      <c r="C75" s="19" t="s">
        <v>84</v>
      </c>
      <c r="D75" s="45">
        <v>6915</v>
      </c>
      <c r="E75" s="45">
        <v>0</v>
      </c>
      <c r="F75" s="45">
        <v>0</v>
      </c>
      <c r="G75" s="45">
        <v>0</v>
      </c>
      <c r="H75" s="45">
        <v>0</v>
      </c>
      <c r="I75" s="45">
        <v>0</v>
      </c>
      <c r="J75" s="45">
        <v>0</v>
      </c>
      <c r="K75" s="45">
        <v>0</v>
      </c>
      <c r="L75" s="45">
        <v>0</v>
      </c>
      <c r="M75" s="45">
        <v>0</v>
      </c>
      <c r="N75" s="45">
        <f t="shared" si="13"/>
        <v>6915</v>
      </c>
      <c r="O75" s="46">
        <f t="shared" si="12"/>
        <v>5.7774636308037816E-3</v>
      </c>
      <c r="P75" s="9"/>
    </row>
    <row r="76" spans="1:16">
      <c r="A76" s="11"/>
      <c r="B76" s="24">
        <v>341.8</v>
      </c>
      <c r="C76" s="19" t="s">
        <v>85</v>
      </c>
      <c r="D76" s="45">
        <v>0</v>
      </c>
      <c r="E76" s="45">
        <v>31933340</v>
      </c>
      <c r="F76" s="45">
        <v>0</v>
      </c>
      <c r="G76" s="45">
        <v>0</v>
      </c>
      <c r="H76" s="45">
        <v>0</v>
      </c>
      <c r="I76" s="45">
        <v>0</v>
      </c>
      <c r="J76" s="45">
        <v>0</v>
      </c>
      <c r="K76" s="45">
        <v>0</v>
      </c>
      <c r="L76" s="45">
        <v>0</v>
      </c>
      <c r="M76" s="45">
        <v>0</v>
      </c>
      <c r="N76" s="45">
        <f t="shared" si="13"/>
        <v>31933340</v>
      </c>
      <c r="O76" s="46">
        <f t="shared" si="12"/>
        <v>26.680218432406601</v>
      </c>
      <c r="P76" s="9"/>
    </row>
    <row r="77" spans="1:16">
      <c r="A77" s="11"/>
      <c r="B77" s="24">
        <v>341.9</v>
      </c>
      <c r="C77" s="19" t="s">
        <v>86</v>
      </c>
      <c r="D77" s="45">
        <v>50321217</v>
      </c>
      <c r="E77" s="45">
        <v>3563768</v>
      </c>
      <c r="F77" s="45">
        <v>0</v>
      </c>
      <c r="G77" s="45">
        <v>0</v>
      </c>
      <c r="H77" s="45">
        <v>0</v>
      </c>
      <c r="I77" s="45">
        <v>0</v>
      </c>
      <c r="J77" s="45">
        <v>0</v>
      </c>
      <c r="K77" s="45">
        <v>0</v>
      </c>
      <c r="L77" s="45">
        <v>0</v>
      </c>
      <c r="M77" s="45">
        <v>1025843</v>
      </c>
      <c r="N77" s="45">
        <f t="shared" si="13"/>
        <v>54910828</v>
      </c>
      <c r="O77" s="46">
        <f t="shared" si="12"/>
        <v>45.877846956951842</v>
      </c>
      <c r="P77" s="9"/>
    </row>
    <row r="78" spans="1:16">
      <c r="A78" s="11"/>
      <c r="B78" s="24">
        <v>342.1</v>
      </c>
      <c r="C78" s="19" t="s">
        <v>87</v>
      </c>
      <c r="D78" s="45">
        <v>2514633</v>
      </c>
      <c r="E78" s="45">
        <v>0</v>
      </c>
      <c r="F78" s="45">
        <v>0</v>
      </c>
      <c r="G78" s="45">
        <v>0</v>
      </c>
      <c r="H78" s="45">
        <v>0</v>
      </c>
      <c r="I78" s="45">
        <v>0</v>
      </c>
      <c r="J78" s="45">
        <v>0</v>
      </c>
      <c r="K78" s="45">
        <v>0</v>
      </c>
      <c r="L78" s="45">
        <v>0</v>
      </c>
      <c r="M78" s="45">
        <v>0</v>
      </c>
      <c r="N78" s="45">
        <f t="shared" si="13"/>
        <v>2514633</v>
      </c>
      <c r="O78" s="46">
        <f t="shared" si="12"/>
        <v>2.1009690097352141</v>
      </c>
      <c r="P78" s="9"/>
    </row>
    <row r="79" spans="1:16">
      <c r="A79" s="11"/>
      <c r="B79" s="24">
        <v>342.2</v>
      </c>
      <c r="C79" s="19" t="s">
        <v>88</v>
      </c>
      <c r="D79" s="45">
        <v>1473923</v>
      </c>
      <c r="E79" s="45">
        <v>0</v>
      </c>
      <c r="F79" s="45">
        <v>0</v>
      </c>
      <c r="G79" s="45">
        <v>0</v>
      </c>
      <c r="H79" s="45">
        <v>0</v>
      </c>
      <c r="I79" s="45">
        <v>0</v>
      </c>
      <c r="J79" s="45">
        <v>0</v>
      </c>
      <c r="K79" s="45">
        <v>0</v>
      </c>
      <c r="L79" s="45">
        <v>0</v>
      </c>
      <c r="M79" s="45">
        <v>0</v>
      </c>
      <c r="N79" s="45">
        <f t="shared" si="13"/>
        <v>1473923</v>
      </c>
      <c r="O79" s="46">
        <f t="shared" si="12"/>
        <v>1.2314586445560669</v>
      </c>
      <c r="P79" s="9"/>
    </row>
    <row r="80" spans="1:16">
      <c r="A80" s="11"/>
      <c r="B80" s="24">
        <v>342.3</v>
      </c>
      <c r="C80" s="19" t="s">
        <v>89</v>
      </c>
      <c r="D80" s="45">
        <v>93812</v>
      </c>
      <c r="E80" s="45">
        <v>0</v>
      </c>
      <c r="F80" s="45">
        <v>0</v>
      </c>
      <c r="G80" s="45">
        <v>0</v>
      </c>
      <c r="H80" s="45">
        <v>0</v>
      </c>
      <c r="I80" s="45">
        <v>0</v>
      </c>
      <c r="J80" s="45">
        <v>0</v>
      </c>
      <c r="K80" s="45">
        <v>0</v>
      </c>
      <c r="L80" s="45">
        <v>0</v>
      </c>
      <c r="M80" s="45">
        <v>0</v>
      </c>
      <c r="N80" s="45">
        <f t="shared" si="13"/>
        <v>93812</v>
      </c>
      <c r="O80" s="46">
        <f t="shared" si="12"/>
        <v>7.8379670011997735E-2</v>
      </c>
      <c r="P80" s="9"/>
    </row>
    <row r="81" spans="1:16">
      <c r="A81" s="11"/>
      <c r="B81" s="24">
        <v>342.5</v>
      </c>
      <c r="C81" s="19" t="s">
        <v>90</v>
      </c>
      <c r="D81" s="45">
        <v>143163</v>
      </c>
      <c r="E81" s="45">
        <v>0</v>
      </c>
      <c r="F81" s="45">
        <v>0</v>
      </c>
      <c r="G81" s="45">
        <v>0</v>
      </c>
      <c r="H81" s="45">
        <v>0</v>
      </c>
      <c r="I81" s="45">
        <v>0</v>
      </c>
      <c r="J81" s="45">
        <v>0</v>
      </c>
      <c r="K81" s="45">
        <v>0</v>
      </c>
      <c r="L81" s="45">
        <v>0</v>
      </c>
      <c r="M81" s="45">
        <v>0</v>
      </c>
      <c r="N81" s="45">
        <f t="shared" si="13"/>
        <v>143163</v>
      </c>
      <c r="O81" s="46">
        <f t="shared" si="12"/>
        <v>0.11961229584624176</v>
      </c>
      <c r="P81" s="9"/>
    </row>
    <row r="82" spans="1:16">
      <c r="A82" s="11"/>
      <c r="B82" s="24">
        <v>342.6</v>
      </c>
      <c r="C82" s="19" t="s">
        <v>91</v>
      </c>
      <c r="D82" s="45">
        <v>8995484</v>
      </c>
      <c r="E82" s="45">
        <v>0</v>
      </c>
      <c r="F82" s="45">
        <v>0</v>
      </c>
      <c r="G82" s="45">
        <v>0</v>
      </c>
      <c r="H82" s="45">
        <v>0</v>
      </c>
      <c r="I82" s="45">
        <v>0</v>
      </c>
      <c r="J82" s="45">
        <v>0</v>
      </c>
      <c r="K82" s="45">
        <v>0</v>
      </c>
      <c r="L82" s="45">
        <v>0</v>
      </c>
      <c r="M82" s="45">
        <v>0</v>
      </c>
      <c r="N82" s="45">
        <f t="shared" si="13"/>
        <v>8995484</v>
      </c>
      <c r="O82" s="46">
        <f t="shared" si="12"/>
        <v>7.5157023357161714</v>
      </c>
      <c r="P82" s="9"/>
    </row>
    <row r="83" spans="1:16">
      <c r="A83" s="11"/>
      <c r="B83" s="24">
        <v>342.9</v>
      </c>
      <c r="C83" s="19" t="s">
        <v>92</v>
      </c>
      <c r="D83" s="45">
        <v>81762</v>
      </c>
      <c r="E83" s="45">
        <v>0</v>
      </c>
      <c r="F83" s="45">
        <v>0</v>
      </c>
      <c r="G83" s="45">
        <v>0</v>
      </c>
      <c r="H83" s="45">
        <v>0</v>
      </c>
      <c r="I83" s="45">
        <v>0</v>
      </c>
      <c r="J83" s="45">
        <v>0</v>
      </c>
      <c r="K83" s="45">
        <v>0</v>
      </c>
      <c r="L83" s="45">
        <v>0</v>
      </c>
      <c r="M83" s="45">
        <v>0</v>
      </c>
      <c r="N83" s="45">
        <f t="shared" si="13"/>
        <v>81762</v>
      </c>
      <c r="O83" s="46">
        <f t="shared" si="12"/>
        <v>6.8311927893243501E-2</v>
      </c>
      <c r="P83" s="9"/>
    </row>
    <row r="84" spans="1:16">
      <c r="A84" s="11"/>
      <c r="B84" s="24">
        <v>343.4</v>
      </c>
      <c r="C84" s="19" t="s">
        <v>93</v>
      </c>
      <c r="D84" s="45">
        <v>0</v>
      </c>
      <c r="E84" s="45">
        <v>0</v>
      </c>
      <c r="F84" s="45">
        <v>0</v>
      </c>
      <c r="G84" s="45">
        <v>0</v>
      </c>
      <c r="H84" s="45">
        <v>0</v>
      </c>
      <c r="I84" s="45">
        <v>94840000</v>
      </c>
      <c r="J84" s="45">
        <v>0</v>
      </c>
      <c r="K84" s="45">
        <v>0</v>
      </c>
      <c r="L84" s="45">
        <v>0</v>
      </c>
      <c r="M84" s="45">
        <v>0</v>
      </c>
      <c r="N84" s="45">
        <f t="shared" si="13"/>
        <v>94840000</v>
      </c>
      <c r="O84" s="46">
        <f t="shared" si="12"/>
        <v>79.238561206859103</v>
      </c>
      <c r="P84" s="9"/>
    </row>
    <row r="85" spans="1:16">
      <c r="A85" s="11"/>
      <c r="B85" s="24">
        <v>343.6</v>
      </c>
      <c r="C85" s="19" t="s">
        <v>94</v>
      </c>
      <c r="D85" s="45">
        <v>0</v>
      </c>
      <c r="E85" s="45">
        <v>0</v>
      </c>
      <c r="F85" s="45">
        <v>0</v>
      </c>
      <c r="G85" s="45">
        <v>0</v>
      </c>
      <c r="H85" s="45">
        <v>0</v>
      </c>
      <c r="I85" s="45">
        <v>175692000</v>
      </c>
      <c r="J85" s="45">
        <v>0</v>
      </c>
      <c r="K85" s="45">
        <v>0</v>
      </c>
      <c r="L85" s="45">
        <v>0</v>
      </c>
      <c r="M85" s="45">
        <v>0</v>
      </c>
      <c r="N85" s="45">
        <f t="shared" si="13"/>
        <v>175692000</v>
      </c>
      <c r="O85" s="46">
        <f t="shared" si="12"/>
        <v>146.79018658325063</v>
      </c>
      <c r="P85" s="9"/>
    </row>
    <row r="86" spans="1:16">
      <c r="A86" s="11"/>
      <c r="B86" s="24">
        <v>343.7</v>
      </c>
      <c r="C86" s="19" t="s">
        <v>95</v>
      </c>
      <c r="D86" s="45">
        <v>1349543</v>
      </c>
      <c r="E86" s="45">
        <v>278760</v>
      </c>
      <c r="F86" s="45">
        <v>0</v>
      </c>
      <c r="G86" s="45">
        <v>100000</v>
      </c>
      <c r="H86" s="45">
        <v>0</v>
      </c>
      <c r="I86" s="45">
        <v>0</v>
      </c>
      <c r="J86" s="45">
        <v>0</v>
      </c>
      <c r="K86" s="45">
        <v>0</v>
      </c>
      <c r="L86" s="45">
        <v>0</v>
      </c>
      <c r="M86" s="45">
        <v>0</v>
      </c>
      <c r="N86" s="45">
        <f t="shared" si="13"/>
        <v>1728303</v>
      </c>
      <c r="O86" s="46">
        <f t="shared" si="12"/>
        <v>1.4439924404206896</v>
      </c>
      <c r="P86" s="9"/>
    </row>
    <row r="87" spans="1:16">
      <c r="A87" s="11"/>
      <c r="B87" s="24">
        <v>343.9</v>
      </c>
      <c r="C87" s="19" t="s">
        <v>96</v>
      </c>
      <c r="D87" s="45">
        <v>1737144</v>
      </c>
      <c r="E87" s="45">
        <v>248949</v>
      </c>
      <c r="F87" s="45">
        <v>0</v>
      </c>
      <c r="G87" s="45">
        <v>0</v>
      </c>
      <c r="H87" s="45">
        <v>0</v>
      </c>
      <c r="I87" s="45">
        <v>0</v>
      </c>
      <c r="J87" s="45">
        <v>0</v>
      </c>
      <c r="K87" s="45">
        <v>0</v>
      </c>
      <c r="L87" s="45">
        <v>0</v>
      </c>
      <c r="M87" s="45">
        <v>0</v>
      </c>
      <c r="N87" s="45">
        <f t="shared" si="13"/>
        <v>1986093</v>
      </c>
      <c r="O87" s="46">
        <f t="shared" si="12"/>
        <v>1.6593752819803291</v>
      </c>
      <c r="P87" s="9"/>
    </row>
    <row r="88" spans="1:16">
      <c r="A88" s="11"/>
      <c r="B88" s="24">
        <v>344.5</v>
      </c>
      <c r="C88" s="19" t="s">
        <v>97</v>
      </c>
      <c r="D88" s="45">
        <v>826298</v>
      </c>
      <c r="E88" s="45">
        <v>0</v>
      </c>
      <c r="F88" s="45">
        <v>0</v>
      </c>
      <c r="G88" s="45">
        <v>0</v>
      </c>
      <c r="H88" s="45">
        <v>0</v>
      </c>
      <c r="I88" s="45">
        <v>0</v>
      </c>
      <c r="J88" s="45">
        <v>0</v>
      </c>
      <c r="K88" s="45">
        <v>0</v>
      </c>
      <c r="L88" s="45">
        <v>0</v>
      </c>
      <c r="M88" s="45">
        <v>0</v>
      </c>
      <c r="N88" s="45">
        <f t="shared" si="13"/>
        <v>826298</v>
      </c>
      <c r="O88" s="46">
        <f t="shared" si="12"/>
        <v>0.69036972425248055</v>
      </c>
      <c r="P88" s="9"/>
    </row>
    <row r="89" spans="1:16">
      <c r="A89" s="11"/>
      <c r="B89" s="24">
        <v>344.9</v>
      </c>
      <c r="C89" s="19" t="s">
        <v>98</v>
      </c>
      <c r="D89" s="45">
        <v>1224914</v>
      </c>
      <c r="E89" s="45">
        <v>2158397</v>
      </c>
      <c r="F89" s="45">
        <v>0</v>
      </c>
      <c r="G89" s="45">
        <v>0</v>
      </c>
      <c r="H89" s="45">
        <v>0</v>
      </c>
      <c r="I89" s="45">
        <v>0</v>
      </c>
      <c r="J89" s="45">
        <v>0</v>
      </c>
      <c r="K89" s="45">
        <v>0</v>
      </c>
      <c r="L89" s="45">
        <v>0</v>
      </c>
      <c r="M89" s="45">
        <v>0</v>
      </c>
      <c r="N89" s="45">
        <f t="shared" si="13"/>
        <v>3383311</v>
      </c>
      <c r="O89" s="46">
        <f t="shared" si="12"/>
        <v>2.8267471083439442</v>
      </c>
      <c r="P89" s="9"/>
    </row>
    <row r="90" spans="1:16">
      <c r="A90" s="11"/>
      <c r="B90" s="24">
        <v>345.1</v>
      </c>
      <c r="C90" s="19" t="s">
        <v>99</v>
      </c>
      <c r="D90" s="45">
        <v>0</v>
      </c>
      <c r="E90" s="45">
        <v>0</v>
      </c>
      <c r="F90" s="45">
        <v>0</v>
      </c>
      <c r="G90" s="45">
        <v>0</v>
      </c>
      <c r="H90" s="45">
        <v>0</v>
      </c>
      <c r="I90" s="45">
        <v>0</v>
      </c>
      <c r="J90" s="45">
        <v>0</v>
      </c>
      <c r="K90" s="45">
        <v>0</v>
      </c>
      <c r="L90" s="45">
        <v>0</v>
      </c>
      <c r="M90" s="45">
        <v>815000</v>
      </c>
      <c r="N90" s="45">
        <f t="shared" si="13"/>
        <v>815000</v>
      </c>
      <c r="O90" s="46">
        <f t="shared" si="12"/>
        <v>0.6809302760817183</v>
      </c>
      <c r="P90" s="9"/>
    </row>
    <row r="91" spans="1:16">
      <c r="A91" s="11"/>
      <c r="B91" s="24">
        <v>345.9</v>
      </c>
      <c r="C91" s="19" t="s">
        <v>100</v>
      </c>
      <c r="D91" s="45">
        <v>18698</v>
      </c>
      <c r="E91" s="45">
        <v>1652</v>
      </c>
      <c r="F91" s="45">
        <v>0</v>
      </c>
      <c r="G91" s="45">
        <v>0</v>
      </c>
      <c r="H91" s="45">
        <v>0</v>
      </c>
      <c r="I91" s="45">
        <v>0</v>
      </c>
      <c r="J91" s="45">
        <v>0</v>
      </c>
      <c r="K91" s="45">
        <v>0</v>
      </c>
      <c r="L91" s="45">
        <v>0</v>
      </c>
      <c r="M91" s="45">
        <v>0</v>
      </c>
      <c r="N91" s="45">
        <f t="shared" si="13"/>
        <v>20350</v>
      </c>
      <c r="O91" s="46">
        <f t="shared" si="12"/>
        <v>1.7002369470261309E-2</v>
      </c>
      <c r="P91" s="9"/>
    </row>
    <row r="92" spans="1:16">
      <c r="A92" s="11"/>
      <c r="B92" s="24">
        <v>346.4</v>
      </c>
      <c r="C92" s="19" t="s">
        <v>101</v>
      </c>
      <c r="D92" s="45">
        <v>280637</v>
      </c>
      <c r="E92" s="45">
        <v>0</v>
      </c>
      <c r="F92" s="45">
        <v>0</v>
      </c>
      <c r="G92" s="45">
        <v>0</v>
      </c>
      <c r="H92" s="45">
        <v>0</v>
      </c>
      <c r="I92" s="45">
        <v>0</v>
      </c>
      <c r="J92" s="45">
        <v>0</v>
      </c>
      <c r="K92" s="45">
        <v>0</v>
      </c>
      <c r="L92" s="45">
        <v>0</v>
      </c>
      <c r="M92" s="45">
        <v>0</v>
      </c>
      <c r="N92" s="45">
        <f t="shared" si="13"/>
        <v>280637</v>
      </c>
      <c r="O92" s="46">
        <f t="shared" si="12"/>
        <v>0.23447144771625175</v>
      </c>
      <c r="P92" s="9"/>
    </row>
    <row r="93" spans="1:16">
      <c r="A93" s="11"/>
      <c r="B93" s="24">
        <v>346.9</v>
      </c>
      <c r="C93" s="19" t="s">
        <v>102</v>
      </c>
      <c r="D93" s="45">
        <v>381421</v>
      </c>
      <c r="E93" s="45">
        <v>1184610</v>
      </c>
      <c r="F93" s="45">
        <v>0</v>
      </c>
      <c r="G93" s="45">
        <v>0</v>
      </c>
      <c r="H93" s="45">
        <v>0</v>
      </c>
      <c r="I93" s="45">
        <v>0</v>
      </c>
      <c r="J93" s="45">
        <v>0</v>
      </c>
      <c r="K93" s="45">
        <v>0</v>
      </c>
      <c r="L93" s="45">
        <v>0</v>
      </c>
      <c r="M93" s="45">
        <v>0</v>
      </c>
      <c r="N93" s="45">
        <f t="shared" si="13"/>
        <v>1566031</v>
      </c>
      <c r="O93" s="46">
        <f t="shared" si="12"/>
        <v>1.3084146272178274</v>
      </c>
      <c r="P93" s="9"/>
    </row>
    <row r="94" spans="1:16">
      <c r="A94" s="11"/>
      <c r="B94" s="24">
        <v>347.1</v>
      </c>
      <c r="C94" s="19" t="s">
        <v>103</v>
      </c>
      <c r="D94" s="45">
        <v>0</v>
      </c>
      <c r="E94" s="45">
        <v>65812</v>
      </c>
      <c r="F94" s="45">
        <v>0</v>
      </c>
      <c r="G94" s="45">
        <v>0</v>
      </c>
      <c r="H94" s="45">
        <v>0</v>
      </c>
      <c r="I94" s="45">
        <v>0</v>
      </c>
      <c r="J94" s="45">
        <v>0</v>
      </c>
      <c r="K94" s="45">
        <v>0</v>
      </c>
      <c r="L94" s="45">
        <v>0</v>
      </c>
      <c r="M94" s="45">
        <v>0</v>
      </c>
      <c r="N94" s="45">
        <f t="shared" si="13"/>
        <v>65812</v>
      </c>
      <c r="O94" s="46">
        <f t="shared" si="12"/>
        <v>5.4985746416552204E-2</v>
      </c>
      <c r="P94" s="9"/>
    </row>
    <row r="95" spans="1:16">
      <c r="A95" s="11"/>
      <c r="B95" s="24">
        <v>347.2</v>
      </c>
      <c r="C95" s="19" t="s">
        <v>104</v>
      </c>
      <c r="D95" s="45">
        <v>2542496</v>
      </c>
      <c r="E95" s="45">
        <v>0</v>
      </c>
      <c r="F95" s="45">
        <v>0</v>
      </c>
      <c r="G95" s="45">
        <v>0</v>
      </c>
      <c r="H95" s="45">
        <v>0</v>
      </c>
      <c r="I95" s="45">
        <v>0</v>
      </c>
      <c r="J95" s="45">
        <v>0</v>
      </c>
      <c r="K95" s="45">
        <v>0</v>
      </c>
      <c r="L95" s="45">
        <v>0</v>
      </c>
      <c r="M95" s="45">
        <v>0</v>
      </c>
      <c r="N95" s="45">
        <f t="shared" si="13"/>
        <v>2542496</v>
      </c>
      <c r="O95" s="46">
        <f t="shared" si="12"/>
        <v>2.1242484702044964</v>
      </c>
      <c r="P95" s="9"/>
    </row>
    <row r="96" spans="1:16">
      <c r="A96" s="11"/>
      <c r="B96" s="24">
        <v>347.4</v>
      </c>
      <c r="C96" s="19" t="s">
        <v>105</v>
      </c>
      <c r="D96" s="45">
        <v>0</v>
      </c>
      <c r="E96" s="45">
        <v>0</v>
      </c>
      <c r="F96" s="45">
        <v>451168</v>
      </c>
      <c r="G96" s="45">
        <v>0</v>
      </c>
      <c r="H96" s="45">
        <v>0</v>
      </c>
      <c r="I96" s="45">
        <v>0</v>
      </c>
      <c r="J96" s="45">
        <v>0</v>
      </c>
      <c r="K96" s="45">
        <v>0</v>
      </c>
      <c r="L96" s="45">
        <v>0</v>
      </c>
      <c r="M96" s="45">
        <v>0</v>
      </c>
      <c r="N96" s="45">
        <f t="shared" si="13"/>
        <v>451168</v>
      </c>
      <c r="O96" s="46">
        <f t="shared" si="12"/>
        <v>0.376949632882499</v>
      </c>
      <c r="P96" s="9"/>
    </row>
    <row r="97" spans="1:16">
      <c r="A97" s="11"/>
      <c r="B97" s="24">
        <v>347.5</v>
      </c>
      <c r="C97" s="19" t="s">
        <v>106</v>
      </c>
      <c r="D97" s="45">
        <v>6550</v>
      </c>
      <c r="E97" s="45">
        <v>0</v>
      </c>
      <c r="F97" s="45">
        <v>0</v>
      </c>
      <c r="G97" s="45">
        <v>0</v>
      </c>
      <c r="H97" s="45">
        <v>0</v>
      </c>
      <c r="I97" s="45">
        <v>0</v>
      </c>
      <c r="J97" s="45">
        <v>0</v>
      </c>
      <c r="K97" s="45">
        <v>0</v>
      </c>
      <c r="L97" s="45">
        <v>0</v>
      </c>
      <c r="M97" s="45">
        <v>0</v>
      </c>
      <c r="N97" s="45">
        <f t="shared" si="13"/>
        <v>6550</v>
      </c>
      <c r="O97" s="46">
        <f t="shared" si="12"/>
        <v>5.4725071267917235E-3</v>
      </c>
      <c r="P97" s="9"/>
    </row>
    <row r="98" spans="1:16">
      <c r="A98" s="11"/>
      <c r="B98" s="24">
        <v>347.9</v>
      </c>
      <c r="C98" s="19" t="s">
        <v>107</v>
      </c>
      <c r="D98" s="45">
        <v>159985</v>
      </c>
      <c r="E98" s="45">
        <v>24726</v>
      </c>
      <c r="F98" s="45">
        <v>0</v>
      </c>
      <c r="G98" s="45">
        <v>0</v>
      </c>
      <c r="H98" s="45">
        <v>0</v>
      </c>
      <c r="I98" s="45">
        <v>0</v>
      </c>
      <c r="J98" s="45">
        <v>0</v>
      </c>
      <c r="K98" s="45">
        <v>0</v>
      </c>
      <c r="L98" s="45">
        <v>0</v>
      </c>
      <c r="M98" s="45">
        <v>0</v>
      </c>
      <c r="N98" s="45">
        <f t="shared" si="13"/>
        <v>184711</v>
      </c>
      <c r="O98" s="46">
        <f t="shared" si="12"/>
        <v>0.15432553647279787</v>
      </c>
      <c r="P98" s="9"/>
    </row>
    <row r="99" spans="1:16">
      <c r="A99" s="11"/>
      <c r="B99" s="24">
        <v>348.11</v>
      </c>
      <c r="C99" s="19" t="s">
        <v>115</v>
      </c>
      <c r="D99" s="45">
        <v>0</v>
      </c>
      <c r="E99" s="45">
        <v>64040</v>
      </c>
      <c r="F99" s="45">
        <v>0</v>
      </c>
      <c r="G99" s="45">
        <v>0</v>
      </c>
      <c r="H99" s="45">
        <v>0</v>
      </c>
      <c r="I99" s="45">
        <v>0</v>
      </c>
      <c r="J99" s="45">
        <v>0</v>
      </c>
      <c r="K99" s="45">
        <v>0</v>
      </c>
      <c r="L99" s="45">
        <v>0</v>
      </c>
      <c r="M99" s="45">
        <v>0</v>
      </c>
      <c r="N99" s="45">
        <f t="shared" ref="N99:N114" si="14">SUM(D99:M99)</f>
        <v>64040</v>
      </c>
      <c r="O99" s="46">
        <f t="shared" si="12"/>
        <v>5.3505245251869005E-2</v>
      </c>
      <c r="P99" s="9"/>
    </row>
    <row r="100" spans="1:16">
      <c r="A100" s="11"/>
      <c r="B100" s="24">
        <v>348.12</v>
      </c>
      <c r="C100" s="19" t="s">
        <v>116</v>
      </c>
      <c r="D100" s="45">
        <v>0</v>
      </c>
      <c r="E100" s="45">
        <v>154687</v>
      </c>
      <c r="F100" s="45">
        <v>0</v>
      </c>
      <c r="G100" s="45">
        <v>0</v>
      </c>
      <c r="H100" s="45">
        <v>0</v>
      </c>
      <c r="I100" s="45">
        <v>0</v>
      </c>
      <c r="J100" s="45">
        <v>0</v>
      </c>
      <c r="K100" s="45">
        <v>0</v>
      </c>
      <c r="L100" s="45">
        <v>0</v>
      </c>
      <c r="M100" s="45">
        <v>0</v>
      </c>
      <c r="N100" s="45">
        <f t="shared" si="14"/>
        <v>154687</v>
      </c>
      <c r="O100" s="46">
        <f t="shared" si="12"/>
        <v>0.12924056640031015</v>
      </c>
      <c r="P100" s="9"/>
    </row>
    <row r="101" spans="1:16">
      <c r="A101" s="11"/>
      <c r="B101" s="24">
        <v>348.13</v>
      </c>
      <c r="C101" s="19" t="s">
        <v>117</v>
      </c>
      <c r="D101" s="45">
        <v>0</v>
      </c>
      <c r="E101" s="45">
        <v>269594</v>
      </c>
      <c r="F101" s="45">
        <v>0</v>
      </c>
      <c r="G101" s="45">
        <v>0</v>
      </c>
      <c r="H101" s="45">
        <v>0</v>
      </c>
      <c r="I101" s="45">
        <v>0</v>
      </c>
      <c r="J101" s="45">
        <v>0</v>
      </c>
      <c r="K101" s="45">
        <v>0</v>
      </c>
      <c r="L101" s="45">
        <v>0</v>
      </c>
      <c r="M101" s="45">
        <v>0</v>
      </c>
      <c r="N101" s="45">
        <f t="shared" si="14"/>
        <v>269594</v>
      </c>
      <c r="O101" s="46">
        <f t="shared" ref="O101:O132" si="15">(N101/O$153)</f>
        <v>0.2252450513496623</v>
      </c>
      <c r="P101" s="9"/>
    </row>
    <row r="102" spans="1:16">
      <c r="A102" s="11"/>
      <c r="B102" s="24">
        <v>348.21</v>
      </c>
      <c r="C102" s="19" t="s">
        <v>118</v>
      </c>
      <c r="D102" s="45">
        <v>0</v>
      </c>
      <c r="E102" s="45">
        <v>618</v>
      </c>
      <c r="F102" s="45">
        <v>0</v>
      </c>
      <c r="G102" s="45">
        <v>0</v>
      </c>
      <c r="H102" s="45">
        <v>0</v>
      </c>
      <c r="I102" s="45">
        <v>0</v>
      </c>
      <c r="J102" s="45">
        <v>0</v>
      </c>
      <c r="K102" s="45">
        <v>0</v>
      </c>
      <c r="L102" s="45">
        <v>0</v>
      </c>
      <c r="M102" s="45">
        <v>0</v>
      </c>
      <c r="N102" s="45">
        <f t="shared" si="14"/>
        <v>618</v>
      </c>
      <c r="O102" s="46">
        <f t="shared" si="15"/>
        <v>5.1633731364233364E-4</v>
      </c>
      <c r="P102" s="9"/>
    </row>
    <row r="103" spans="1:16">
      <c r="A103" s="11"/>
      <c r="B103" s="24">
        <v>348.22</v>
      </c>
      <c r="C103" s="19" t="s">
        <v>119</v>
      </c>
      <c r="D103" s="45">
        <v>0</v>
      </c>
      <c r="E103" s="45">
        <v>98201</v>
      </c>
      <c r="F103" s="45">
        <v>0</v>
      </c>
      <c r="G103" s="45">
        <v>0</v>
      </c>
      <c r="H103" s="45">
        <v>0</v>
      </c>
      <c r="I103" s="45">
        <v>0</v>
      </c>
      <c r="J103" s="45">
        <v>0</v>
      </c>
      <c r="K103" s="45">
        <v>0</v>
      </c>
      <c r="L103" s="45">
        <v>0</v>
      </c>
      <c r="M103" s="45">
        <v>0</v>
      </c>
      <c r="N103" s="45">
        <f t="shared" si="14"/>
        <v>98201</v>
      </c>
      <c r="O103" s="46">
        <f t="shared" si="15"/>
        <v>8.2046667535583831E-2</v>
      </c>
      <c r="P103" s="9"/>
    </row>
    <row r="104" spans="1:16">
      <c r="A104" s="11"/>
      <c r="B104" s="24">
        <v>348.23</v>
      </c>
      <c r="C104" s="19" t="s">
        <v>120</v>
      </c>
      <c r="D104" s="45">
        <v>0</v>
      </c>
      <c r="E104" s="45">
        <v>682832</v>
      </c>
      <c r="F104" s="45">
        <v>0</v>
      </c>
      <c r="G104" s="45">
        <v>0</v>
      </c>
      <c r="H104" s="45">
        <v>0</v>
      </c>
      <c r="I104" s="45">
        <v>0</v>
      </c>
      <c r="J104" s="45">
        <v>0</v>
      </c>
      <c r="K104" s="45">
        <v>0</v>
      </c>
      <c r="L104" s="45">
        <v>0</v>
      </c>
      <c r="M104" s="45">
        <v>0</v>
      </c>
      <c r="N104" s="45">
        <f t="shared" si="14"/>
        <v>682832</v>
      </c>
      <c r="O104" s="46">
        <f t="shared" si="15"/>
        <v>0.57050427273304527</v>
      </c>
      <c r="P104" s="9"/>
    </row>
    <row r="105" spans="1:16">
      <c r="A105" s="11"/>
      <c r="B105" s="24">
        <v>348.31</v>
      </c>
      <c r="C105" s="19" t="s">
        <v>121</v>
      </c>
      <c r="D105" s="45">
        <v>0</v>
      </c>
      <c r="E105" s="45">
        <v>4377162</v>
      </c>
      <c r="F105" s="45">
        <v>0</v>
      </c>
      <c r="G105" s="45">
        <v>0</v>
      </c>
      <c r="H105" s="45">
        <v>0</v>
      </c>
      <c r="I105" s="45">
        <v>0</v>
      </c>
      <c r="J105" s="45">
        <v>0</v>
      </c>
      <c r="K105" s="45">
        <v>0</v>
      </c>
      <c r="L105" s="45">
        <v>0</v>
      </c>
      <c r="M105" s="45">
        <v>0</v>
      </c>
      <c r="N105" s="45">
        <f t="shared" si="14"/>
        <v>4377162</v>
      </c>
      <c r="O105" s="46">
        <f t="shared" si="15"/>
        <v>3.657106906888842</v>
      </c>
      <c r="P105" s="9"/>
    </row>
    <row r="106" spans="1:16">
      <c r="A106" s="11"/>
      <c r="B106" s="24">
        <v>348.32</v>
      </c>
      <c r="C106" s="19" t="s">
        <v>122</v>
      </c>
      <c r="D106" s="45">
        <v>0</v>
      </c>
      <c r="E106" s="45">
        <v>78073</v>
      </c>
      <c r="F106" s="45">
        <v>0</v>
      </c>
      <c r="G106" s="45">
        <v>0</v>
      </c>
      <c r="H106" s="45">
        <v>0</v>
      </c>
      <c r="I106" s="45">
        <v>0</v>
      </c>
      <c r="J106" s="45">
        <v>0</v>
      </c>
      <c r="K106" s="45">
        <v>0</v>
      </c>
      <c r="L106" s="45">
        <v>0</v>
      </c>
      <c r="M106" s="45">
        <v>0</v>
      </c>
      <c r="N106" s="45">
        <f t="shared" si="14"/>
        <v>78073</v>
      </c>
      <c r="O106" s="46">
        <f t="shared" si="15"/>
        <v>6.5229778459543544E-2</v>
      </c>
      <c r="P106" s="9"/>
    </row>
    <row r="107" spans="1:16">
      <c r="A107" s="11"/>
      <c r="B107" s="24">
        <v>348.41</v>
      </c>
      <c r="C107" s="19" t="s">
        <v>123</v>
      </c>
      <c r="D107" s="45">
        <v>0</v>
      </c>
      <c r="E107" s="45">
        <v>5591942</v>
      </c>
      <c r="F107" s="45">
        <v>0</v>
      </c>
      <c r="G107" s="45">
        <v>0</v>
      </c>
      <c r="H107" s="45">
        <v>0</v>
      </c>
      <c r="I107" s="45">
        <v>0</v>
      </c>
      <c r="J107" s="45">
        <v>0</v>
      </c>
      <c r="K107" s="45">
        <v>0</v>
      </c>
      <c r="L107" s="45">
        <v>0</v>
      </c>
      <c r="M107" s="45">
        <v>0</v>
      </c>
      <c r="N107" s="45">
        <f t="shared" si="14"/>
        <v>5591942</v>
      </c>
      <c r="O107" s="46">
        <f t="shared" si="15"/>
        <v>4.6720522820772468</v>
      </c>
      <c r="P107" s="9"/>
    </row>
    <row r="108" spans="1:16">
      <c r="A108" s="11"/>
      <c r="B108" s="24">
        <v>348.42</v>
      </c>
      <c r="C108" s="19" t="s">
        <v>124</v>
      </c>
      <c r="D108" s="45">
        <v>17770</v>
      </c>
      <c r="E108" s="45">
        <v>1099579</v>
      </c>
      <c r="F108" s="45">
        <v>0</v>
      </c>
      <c r="G108" s="45">
        <v>0</v>
      </c>
      <c r="H108" s="45">
        <v>0</v>
      </c>
      <c r="I108" s="45">
        <v>0</v>
      </c>
      <c r="J108" s="45">
        <v>0</v>
      </c>
      <c r="K108" s="45">
        <v>0</v>
      </c>
      <c r="L108" s="45">
        <v>0</v>
      </c>
      <c r="M108" s="45">
        <v>0</v>
      </c>
      <c r="N108" s="45">
        <f t="shared" si="14"/>
        <v>1117349</v>
      </c>
      <c r="O108" s="46">
        <f t="shared" si="15"/>
        <v>0.93354204055169554</v>
      </c>
      <c r="P108" s="9"/>
    </row>
    <row r="109" spans="1:16">
      <c r="A109" s="11"/>
      <c r="B109" s="24">
        <v>348.48</v>
      </c>
      <c r="C109" s="19" t="s">
        <v>125</v>
      </c>
      <c r="D109" s="45">
        <v>0</v>
      </c>
      <c r="E109" s="45">
        <v>265298</v>
      </c>
      <c r="F109" s="45">
        <v>0</v>
      </c>
      <c r="G109" s="45">
        <v>0</v>
      </c>
      <c r="H109" s="45">
        <v>0</v>
      </c>
      <c r="I109" s="45">
        <v>0</v>
      </c>
      <c r="J109" s="45">
        <v>0</v>
      </c>
      <c r="K109" s="45">
        <v>0</v>
      </c>
      <c r="L109" s="45">
        <v>0</v>
      </c>
      <c r="M109" s="45">
        <v>0</v>
      </c>
      <c r="N109" s="45">
        <f t="shared" si="14"/>
        <v>265298</v>
      </c>
      <c r="O109" s="46">
        <f t="shared" si="15"/>
        <v>0.22165575507230392</v>
      </c>
      <c r="P109" s="9"/>
    </row>
    <row r="110" spans="1:16">
      <c r="A110" s="11"/>
      <c r="B110" s="24">
        <v>348.51</v>
      </c>
      <c r="C110" s="19" t="s">
        <v>126</v>
      </c>
      <c r="D110" s="45">
        <v>0</v>
      </c>
      <c r="E110" s="45">
        <v>-201</v>
      </c>
      <c r="F110" s="45">
        <v>0</v>
      </c>
      <c r="G110" s="45">
        <v>0</v>
      </c>
      <c r="H110" s="45">
        <v>0</v>
      </c>
      <c r="I110" s="45">
        <v>0</v>
      </c>
      <c r="J110" s="45">
        <v>0</v>
      </c>
      <c r="K110" s="45">
        <v>0</v>
      </c>
      <c r="L110" s="45">
        <v>0</v>
      </c>
      <c r="M110" s="45">
        <v>0</v>
      </c>
      <c r="N110" s="45">
        <f t="shared" si="14"/>
        <v>-201</v>
      </c>
      <c r="O110" s="46">
        <f t="shared" si="15"/>
        <v>-1.6793495152444833E-4</v>
      </c>
      <c r="P110" s="9"/>
    </row>
    <row r="111" spans="1:16">
      <c r="A111" s="11"/>
      <c r="B111" s="24">
        <v>348.52</v>
      </c>
      <c r="C111" s="19" t="s">
        <v>127</v>
      </c>
      <c r="D111" s="45">
        <v>0</v>
      </c>
      <c r="E111" s="45">
        <v>1360440</v>
      </c>
      <c r="F111" s="45">
        <v>0</v>
      </c>
      <c r="G111" s="45">
        <v>0</v>
      </c>
      <c r="H111" s="45">
        <v>0</v>
      </c>
      <c r="I111" s="45">
        <v>0</v>
      </c>
      <c r="J111" s="45">
        <v>0</v>
      </c>
      <c r="K111" s="45">
        <v>0</v>
      </c>
      <c r="L111" s="45">
        <v>0</v>
      </c>
      <c r="M111" s="45">
        <v>0</v>
      </c>
      <c r="N111" s="45">
        <f t="shared" si="14"/>
        <v>1360440</v>
      </c>
      <c r="O111" s="46">
        <f t="shared" si="15"/>
        <v>1.1366439077209973</v>
      </c>
      <c r="P111" s="9"/>
    </row>
    <row r="112" spans="1:16">
      <c r="A112" s="11"/>
      <c r="B112" s="24">
        <v>348.53</v>
      </c>
      <c r="C112" s="19" t="s">
        <v>128</v>
      </c>
      <c r="D112" s="45">
        <v>0</v>
      </c>
      <c r="E112" s="45">
        <v>6326403</v>
      </c>
      <c r="F112" s="45">
        <v>0</v>
      </c>
      <c r="G112" s="45">
        <v>0</v>
      </c>
      <c r="H112" s="45">
        <v>0</v>
      </c>
      <c r="I112" s="45">
        <v>0</v>
      </c>
      <c r="J112" s="45">
        <v>0</v>
      </c>
      <c r="K112" s="45">
        <v>0</v>
      </c>
      <c r="L112" s="45">
        <v>0</v>
      </c>
      <c r="M112" s="45">
        <v>0</v>
      </c>
      <c r="N112" s="45">
        <f t="shared" si="14"/>
        <v>6326403</v>
      </c>
      <c r="O112" s="46">
        <f t="shared" si="15"/>
        <v>5.2856924434284798</v>
      </c>
      <c r="P112" s="9"/>
    </row>
    <row r="113" spans="1:16">
      <c r="A113" s="11"/>
      <c r="B113" s="24">
        <v>348.61</v>
      </c>
      <c r="C113" s="19" t="s">
        <v>129</v>
      </c>
      <c r="D113" s="45">
        <v>0</v>
      </c>
      <c r="E113" s="45">
        <v>41827</v>
      </c>
      <c r="F113" s="45">
        <v>0</v>
      </c>
      <c r="G113" s="45">
        <v>0</v>
      </c>
      <c r="H113" s="45">
        <v>0</v>
      </c>
      <c r="I113" s="45">
        <v>0</v>
      </c>
      <c r="J113" s="45">
        <v>0</v>
      </c>
      <c r="K113" s="45">
        <v>0</v>
      </c>
      <c r="L113" s="45">
        <v>0</v>
      </c>
      <c r="M113" s="45">
        <v>0</v>
      </c>
      <c r="N113" s="45">
        <f t="shared" si="14"/>
        <v>41827</v>
      </c>
      <c r="O113" s="46">
        <f t="shared" si="15"/>
        <v>3.4946344365239301E-2</v>
      </c>
      <c r="P113" s="9"/>
    </row>
    <row r="114" spans="1:16">
      <c r="A114" s="11"/>
      <c r="B114" s="24">
        <v>348.62</v>
      </c>
      <c r="C114" s="19" t="s">
        <v>130</v>
      </c>
      <c r="D114" s="45">
        <v>0</v>
      </c>
      <c r="E114" s="45">
        <v>17872</v>
      </c>
      <c r="F114" s="45">
        <v>0</v>
      </c>
      <c r="G114" s="45">
        <v>0</v>
      </c>
      <c r="H114" s="45">
        <v>0</v>
      </c>
      <c r="I114" s="45">
        <v>0</v>
      </c>
      <c r="J114" s="45">
        <v>0</v>
      </c>
      <c r="K114" s="45">
        <v>0</v>
      </c>
      <c r="L114" s="45">
        <v>0</v>
      </c>
      <c r="M114" s="45">
        <v>0</v>
      </c>
      <c r="N114" s="45">
        <f t="shared" si="14"/>
        <v>17872</v>
      </c>
      <c r="O114" s="46">
        <f t="shared" si="15"/>
        <v>1.493200723206438E-2</v>
      </c>
      <c r="P114" s="9"/>
    </row>
    <row r="115" spans="1:16">
      <c r="A115" s="11"/>
      <c r="B115" s="24">
        <v>348.71</v>
      </c>
      <c r="C115" s="19" t="s">
        <v>131</v>
      </c>
      <c r="D115" s="45">
        <v>0</v>
      </c>
      <c r="E115" s="45">
        <v>398596</v>
      </c>
      <c r="F115" s="45">
        <v>0</v>
      </c>
      <c r="G115" s="45">
        <v>0</v>
      </c>
      <c r="H115" s="45">
        <v>0</v>
      </c>
      <c r="I115" s="45">
        <v>0</v>
      </c>
      <c r="J115" s="45">
        <v>0</v>
      </c>
      <c r="K115" s="45">
        <v>0</v>
      </c>
      <c r="L115" s="45">
        <v>0</v>
      </c>
      <c r="M115" s="45">
        <v>0</v>
      </c>
      <c r="N115" s="45">
        <f>SUM(D115:M115)</f>
        <v>398596</v>
      </c>
      <c r="O115" s="46">
        <f t="shared" si="15"/>
        <v>0.33302587033750747</v>
      </c>
      <c r="P115" s="9"/>
    </row>
    <row r="116" spans="1:16">
      <c r="A116" s="11"/>
      <c r="B116" s="24">
        <v>348.72</v>
      </c>
      <c r="C116" s="19" t="s">
        <v>132</v>
      </c>
      <c r="D116" s="45">
        <v>870</v>
      </c>
      <c r="E116" s="45">
        <v>89442</v>
      </c>
      <c r="F116" s="45">
        <v>0</v>
      </c>
      <c r="G116" s="45">
        <v>0</v>
      </c>
      <c r="H116" s="45">
        <v>0</v>
      </c>
      <c r="I116" s="45">
        <v>0</v>
      </c>
      <c r="J116" s="45">
        <v>0</v>
      </c>
      <c r="K116" s="45">
        <v>0</v>
      </c>
      <c r="L116" s="45">
        <v>0</v>
      </c>
      <c r="M116" s="45">
        <v>0</v>
      </c>
      <c r="N116" s="45">
        <f>SUM(D116:M116)</f>
        <v>90312</v>
      </c>
      <c r="O116" s="46">
        <f t="shared" si="15"/>
        <v>7.5455429562567053E-2</v>
      </c>
      <c r="P116" s="9"/>
    </row>
    <row r="117" spans="1:16">
      <c r="A117" s="11"/>
      <c r="B117" s="24">
        <v>348.88</v>
      </c>
      <c r="C117" s="19" t="s">
        <v>108</v>
      </c>
      <c r="D117" s="45">
        <v>145372</v>
      </c>
      <c r="E117" s="45">
        <v>0</v>
      </c>
      <c r="F117" s="45">
        <v>0</v>
      </c>
      <c r="G117" s="45">
        <v>0</v>
      </c>
      <c r="H117" s="45">
        <v>0</v>
      </c>
      <c r="I117" s="45">
        <v>0</v>
      </c>
      <c r="J117" s="45">
        <v>0</v>
      </c>
      <c r="K117" s="45">
        <v>0</v>
      </c>
      <c r="L117" s="45">
        <v>0</v>
      </c>
      <c r="M117" s="45">
        <v>0</v>
      </c>
      <c r="N117" s="45">
        <f t="shared" si="13"/>
        <v>145372</v>
      </c>
      <c r="O117" s="46">
        <f t="shared" si="15"/>
        <v>0.12145790931846817</v>
      </c>
      <c r="P117" s="9"/>
    </row>
    <row r="118" spans="1:16">
      <c r="A118" s="11"/>
      <c r="B118" s="24">
        <v>348.92099999999999</v>
      </c>
      <c r="C118" s="19" t="s">
        <v>109</v>
      </c>
      <c r="D118" s="45">
        <v>0</v>
      </c>
      <c r="E118" s="45">
        <v>476158</v>
      </c>
      <c r="F118" s="45">
        <v>0</v>
      </c>
      <c r="G118" s="45">
        <v>0</v>
      </c>
      <c r="H118" s="45">
        <v>0</v>
      </c>
      <c r="I118" s="45">
        <v>0</v>
      </c>
      <c r="J118" s="45">
        <v>0</v>
      </c>
      <c r="K118" s="45">
        <v>0</v>
      </c>
      <c r="L118" s="45">
        <v>0</v>
      </c>
      <c r="M118" s="45">
        <v>0</v>
      </c>
      <c r="N118" s="45">
        <f>SUM(D118:M118)</f>
        <v>476158</v>
      </c>
      <c r="O118" s="46">
        <f t="shared" si="15"/>
        <v>0.39782870969143413</v>
      </c>
      <c r="P118" s="9"/>
    </row>
    <row r="119" spans="1:16">
      <c r="A119" s="11"/>
      <c r="B119" s="24">
        <v>348.92200000000003</v>
      </c>
      <c r="C119" s="19" t="s">
        <v>110</v>
      </c>
      <c r="D119" s="45">
        <v>0</v>
      </c>
      <c r="E119" s="45">
        <v>476158</v>
      </c>
      <c r="F119" s="45">
        <v>0</v>
      </c>
      <c r="G119" s="45">
        <v>0</v>
      </c>
      <c r="H119" s="45">
        <v>0</v>
      </c>
      <c r="I119" s="45">
        <v>0</v>
      </c>
      <c r="J119" s="45">
        <v>0</v>
      </c>
      <c r="K119" s="45">
        <v>0</v>
      </c>
      <c r="L119" s="45">
        <v>0</v>
      </c>
      <c r="M119" s="45">
        <v>0</v>
      </c>
      <c r="N119" s="45">
        <f>SUM(D119:M119)</f>
        <v>476158</v>
      </c>
      <c r="O119" s="46">
        <f t="shared" si="15"/>
        <v>0.39782870969143413</v>
      </c>
      <c r="P119" s="9"/>
    </row>
    <row r="120" spans="1:16">
      <c r="A120" s="11"/>
      <c r="B120" s="24">
        <v>348.923</v>
      </c>
      <c r="C120" s="19" t="s">
        <v>111</v>
      </c>
      <c r="D120" s="45">
        <v>0</v>
      </c>
      <c r="E120" s="45">
        <v>0</v>
      </c>
      <c r="F120" s="45">
        <v>0</v>
      </c>
      <c r="G120" s="45">
        <v>0</v>
      </c>
      <c r="H120" s="45">
        <v>0</v>
      </c>
      <c r="I120" s="45">
        <v>0</v>
      </c>
      <c r="J120" s="45">
        <v>0</v>
      </c>
      <c r="K120" s="45">
        <v>0</v>
      </c>
      <c r="L120" s="45">
        <v>0</v>
      </c>
      <c r="M120" s="45">
        <v>476157</v>
      </c>
      <c r="N120" s="45">
        <f>SUM(D120:M120)</f>
        <v>476157</v>
      </c>
      <c r="O120" s="46">
        <f t="shared" si="15"/>
        <v>0.39782787419416288</v>
      </c>
      <c r="P120" s="9"/>
    </row>
    <row r="121" spans="1:16">
      <c r="A121" s="11"/>
      <c r="B121" s="24">
        <v>348.92399999999998</v>
      </c>
      <c r="C121" s="19" t="s">
        <v>112</v>
      </c>
      <c r="D121" s="45">
        <v>0</v>
      </c>
      <c r="E121" s="45">
        <v>476157</v>
      </c>
      <c r="F121" s="45">
        <v>0</v>
      </c>
      <c r="G121" s="45">
        <v>0</v>
      </c>
      <c r="H121" s="45">
        <v>0</v>
      </c>
      <c r="I121" s="45">
        <v>0</v>
      </c>
      <c r="J121" s="45">
        <v>0</v>
      </c>
      <c r="K121" s="45">
        <v>0</v>
      </c>
      <c r="L121" s="45">
        <v>0</v>
      </c>
      <c r="M121" s="45">
        <v>0</v>
      </c>
      <c r="N121" s="45">
        <f>SUM(D121:M121)</f>
        <v>476157</v>
      </c>
      <c r="O121" s="46">
        <f t="shared" si="15"/>
        <v>0.39782787419416288</v>
      </c>
      <c r="P121" s="9"/>
    </row>
    <row r="122" spans="1:16">
      <c r="A122" s="11"/>
      <c r="B122" s="24">
        <v>348.93</v>
      </c>
      <c r="C122" s="19" t="s">
        <v>113</v>
      </c>
      <c r="D122" s="45">
        <v>62482</v>
      </c>
      <c r="E122" s="45">
        <v>3285761</v>
      </c>
      <c r="F122" s="45">
        <v>0</v>
      </c>
      <c r="G122" s="45">
        <v>0</v>
      </c>
      <c r="H122" s="45">
        <v>0</v>
      </c>
      <c r="I122" s="45">
        <v>0</v>
      </c>
      <c r="J122" s="45">
        <v>0</v>
      </c>
      <c r="K122" s="45">
        <v>0</v>
      </c>
      <c r="L122" s="45">
        <v>0</v>
      </c>
      <c r="M122" s="45">
        <v>0</v>
      </c>
      <c r="N122" s="45">
        <f>SUM(D122:M122)</f>
        <v>3348243</v>
      </c>
      <c r="O122" s="46">
        <f t="shared" si="15"/>
        <v>2.7974478900351913</v>
      </c>
      <c r="P122" s="9"/>
    </row>
    <row r="123" spans="1:16">
      <c r="A123" s="11"/>
      <c r="B123" s="24">
        <v>349</v>
      </c>
      <c r="C123" s="19" t="s">
        <v>1</v>
      </c>
      <c r="D123" s="45">
        <v>97383</v>
      </c>
      <c r="E123" s="45">
        <v>2856803</v>
      </c>
      <c r="F123" s="45">
        <v>0</v>
      </c>
      <c r="G123" s="45">
        <v>0</v>
      </c>
      <c r="H123" s="45">
        <v>0</v>
      </c>
      <c r="I123" s="45">
        <v>0</v>
      </c>
      <c r="J123" s="45">
        <v>0</v>
      </c>
      <c r="K123" s="45">
        <v>0</v>
      </c>
      <c r="L123" s="45">
        <v>0</v>
      </c>
      <c r="M123" s="45">
        <v>0</v>
      </c>
      <c r="N123" s="45">
        <f t="shared" si="13"/>
        <v>2954186</v>
      </c>
      <c r="O123" s="46">
        <f t="shared" si="15"/>
        <v>2.4682143418119598</v>
      </c>
      <c r="P123" s="9"/>
    </row>
    <row r="124" spans="1:16" ht="15.75">
      <c r="A124" s="28" t="s">
        <v>76</v>
      </c>
      <c r="B124" s="29"/>
      <c r="C124" s="30"/>
      <c r="D124" s="31">
        <f t="shared" ref="D124:M124" si="16">SUM(D125:D132)</f>
        <v>1681776</v>
      </c>
      <c r="E124" s="31">
        <f t="shared" si="16"/>
        <v>14192103</v>
      </c>
      <c r="F124" s="31">
        <f t="shared" si="16"/>
        <v>0</v>
      </c>
      <c r="G124" s="31">
        <f t="shared" si="16"/>
        <v>0</v>
      </c>
      <c r="H124" s="31">
        <f t="shared" si="16"/>
        <v>0</v>
      </c>
      <c r="I124" s="31">
        <f t="shared" si="16"/>
        <v>0</v>
      </c>
      <c r="J124" s="31">
        <f t="shared" si="16"/>
        <v>0</v>
      </c>
      <c r="K124" s="31">
        <f t="shared" si="16"/>
        <v>0</v>
      </c>
      <c r="L124" s="31">
        <f t="shared" si="16"/>
        <v>0</v>
      </c>
      <c r="M124" s="31">
        <f t="shared" si="16"/>
        <v>0</v>
      </c>
      <c r="N124" s="31">
        <f>SUM(D124:M124)</f>
        <v>15873879</v>
      </c>
      <c r="O124" s="44">
        <f t="shared" si="15"/>
        <v>13.262582588905264</v>
      </c>
      <c r="P124" s="10"/>
    </row>
    <row r="125" spans="1:16">
      <c r="A125" s="12"/>
      <c r="B125" s="38">
        <v>351.1</v>
      </c>
      <c r="C125" s="20" t="s">
        <v>134</v>
      </c>
      <c r="D125" s="45">
        <v>0</v>
      </c>
      <c r="E125" s="45">
        <v>358778</v>
      </c>
      <c r="F125" s="45">
        <v>0</v>
      </c>
      <c r="G125" s="45">
        <v>0</v>
      </c>
      <c r="H125" s="45">
        <v>0</v>
      </c>
      <c r="I125" s="45">
        <v>0</v>
      </c>
      <c r="J125" s="45">
        <v>0</v>
      </c>
      <c r="K125" s="45">
        <v>0</v>
      </c>
      <c r="L125" s="45">
        <v>0</v>
      </c>
      <c r="M125" s="45">
        <v>0</v>
      </c>
      <c r="N125" s="45">
        <f>SUM(D125:M125)</f>
        <v>358778</v>
      </c>
      <c r="O125" s="46">
        <f t="shared" si="15"/>
        <v>0.29975803999024137</v>
      </c>
      <c r="P125" s="9"/>
    </row>
    <row r="126" spans="1:16">
      <c r="A126" s="12"/>
      <c r="B126" s="38">
        <v>351.2</v>
      </c>
      <c r="C126" s="20" t="s">
        <v>136</v>
      </c>
      <c r="D126" s="45">
        <v>0</v>
      </c>
      <c r="E126" s="45">
        <v>75381</v>
      </c>
      <c r="F126" s="45">
        <v>0</v>
      </c>
      <c r="G126" s="45">
        <v>0</v>
      </c>
      <c r="H126" s="45">
        <v>0</v>
      </c>
      <c r="I126" s="45">
        <v>0</v>
      </c>
      <c r="J126" s="45">
        <v>0</v>
      </c>
      <c r="K126" s="45">
        <v>0</v>
      </c>
      <c r="L126" s="45">
        <v>0</v>
      </c>
      <c r="M126" s="45">
        <v>0</v>
      </c>
      <c r="N126" s="45">
        <f t="shared" ref="N126:N132" si="17">SUM(D126:M126)</f>
        <v>75381</v>
      </c>
      <c r="O126" s="46">
        <f t="shared" si="15"/>
        <v>6.2980619805295721E-2</v>
      </c>
      <c r="P126" s="9"/>
    </row>
    <row r="127" spans="1:16">
      <c r="A127" s="12"/>
      <c r="B127" s="38">
        <v>351.5</v>
      </c>
      <c r="C127" s="20" t="s">
        <v>137</v>
      </c>
      <c r="D127" s="45">
        <v>0</v>
      </c>
      <c r="E127" s="45">
        <v>4765996</v>
      </c>
      <c r="F127" s="45">
        <v>0</v>
      </c>
      <c r="G127" s="45">
        <v>0</v>
      </c>
      <c r="H127" s="45">
        <v>0</v>
      </c>
      <c r="I127" s="45">
        <v>0</v>
      </c>
      <c r="J127" s="45">
        <v>0</v>
      </c>
      <c r="K127" s="45">
        <v>0</v>
      </c>
      <c r="L127" s="45">
        <v>0</v>
      </c>
      <c r="M127" s="45">
        <v>0</v>
      </c>
      <c r="N127" s="45">
        <f t="shared" si="17"/>
        <v>4765996</v>
      </c>
      <c r="O127" s="46">
        <f t="shared" si="15"/>
        <v>3.981976652864252</v>
      </c>
      <c r="P127" s="9"/>
    </row>
    <row r="128" spans="1:16">
      <c r="A128" s="12"/>
      <c r="B128" s="38">
        <v>351.7</v>
      </c>
      <c r="C128" s="20" t="s">
        <v>135</v>
      </c>
      <c r="D128" s="45">
        <v>0</v>
      </c>
      <c r="E128" s="45">
        <v>1164888</v>
      </c>
      <c r="F128" s="45">
        <v>0</v>
      </c>
      <c r="G128" s="45">
        <v>0</v>
      </c>
      <c r="H128" s="45">
        <v>0</v>
      </c>
      <c r="I128" s="45">
        <v>0</v>
      </c>
      <c r="J128" s="45">
        <v>0</v>
      </c>
      <c r="K128" s="45">
        <v>0</v>
      </c>
      <c r="L128" s="45">
        <v>0</v>
      </c>
      <c r="M128" s="45">
        <v>0</v>
      </c>
      <c r="N128" s="45">
        <f t="shared" si="17"/>
        <v>1164888</v>
      </c>
      <c r="O128" s="46">
        <f t="shared" si="15"/>
        <v>0.97326074533040574</v>
      </c>
      <c r="P128" s="9"/>
    </row>
    <row r="129" spans="1:16">
      <c r="A129" s="12"/>
      <c r="B129" s="38">
        <v>352</v>
      </c>
      <c r="C129" s="20" t="s">
        <v>138</v>
      </c>
      <c r="D129" s="45">
        <v>0</v>
      </c>
      <c r="E129" s="45">
        <v>715205</v>
      </c>
      <c r="F129" s="45">
        <v>0</v>
      </c>
      <c r="G129" s="45">
        <v>0</v>
      </c>
      <c r="H129" s="45">
        <v>0</v>
      </c>
      <c r="I129" s="45">
        <v>0</v>
      </c>
      <c r="J129" s="45">
        <v>0</v>
      </c>
      <c r="K129" s="45">
        <v>0</v>
      </c>
      <c r="L129" s="45">
        <v>0</v>
      </c>
      <c r="M129" s="45">
        <v>0</v>
      </c>
      <c r="N129" s="45">
        <f t="shared" si="17"/>
        <v>715205</v>
      </c>
      <c r="O129" s="46">
        <f t="shared" si="15"/>
        <v>0.59755182589573663</v>
      </c>
      <c r="P129" s="9"/>
    </row>
    <row r="130" spans="1:16">
      <c r="A130" s="12"/>
      <c r="B130" s="38">
        <v>353</v>
      </c>
      <c r="C130" s="20" t="s">
        <v>139</v>
      </c>
      <c r="D130" s="45">
        <v>0</v>
      </c>
      <c r="E130" s="45">
        <v>257765</v>
      </c>
      <c r="F130" s="45">
        <v>0</v>
      </c>
      <c r="G130" s="45">
        <v>0</v>
      </c>
      <c r="H130" s="45">
        <v>0</v>
      </c>
      <c r="I130" s="45">
        <v>0</v>
      </c>
      <c r="J130" s="45">
        <v>0</v>
      </c>
      <c r="K130" s="45">
        <v>0</v>
      </c>
      <c r="L130" s="45">
        <v>0</v>
      </c>
      <c r="M130" s="45">
        <v>0</v>
      </c>
      <c r="N130" s="45">
        <f t="shared" si="17"/>
        <v>257765</v>
      </c>
      <c r="O130" s="46">
        <f t="shared" si="15"/>
        <v>0.21536195412785783</v>
      </c>
      <c r="P130" s="9"/>
    </row>
    <row r="131" spans="1:16">
      <c r="A131" s="12"/>
      <c r="B131" s="38">
        <v>354</v>
      </c>
      <c r="C131" s="20" t="s">
        <v>140</v>
      </c>
      <c r="D131" s="45">
        <v>1628098</v>
      </c>
      <c r="E131" s="45">
        <v>580845</v>
      </c>
      <c r="F131" s="45">
        <v>0</v>
      </c>
      <c r="G131" s="45">
        <v>0</v>
      </c>
      <c r="H131" s="45">
        <v>0</v>
      </c>
      <c r="I131" s="45">
        <v>0</v>
      </c>
      <c r="J131" s="45">
        <v>0</v>
      </c>
      <c r="K131" s="45">
        <v>0</v>
      </c>
      <c r="L131" s="45">
        <v>0</v>
      </c>
      <c r="M131" s="45">
        <v>0</v>
      </c>
      <c r="N131" s="45">
        <f t="shared" si="17"/>
        <v>2208943</v>
      </c>
      <c r="O131" s="46">
        <f t="shared" si="15"/>
        <v>1.8455658488819375</v>
      </c>
      <c r="P131" s="9"/>
    </row>
    <row r="132" spans="1:16">
      <c r="A132" s="12"/>
      <c r="B132" s="38">
        <v>359</v>
      </c>
      <c r="C132" s="20" t="s">
        <v>141</v>
      </c>
      <c r="D132" s="45">
        <v>53678</v>
      </c>
      <c r="E132" s="45">
        <v>6273245</v>
      </c>
      <c r="F132" s="45">
        <v>0</v>
      </c>
      <c r="G132" s="45">
        <v>0</v>
      </c>
      <c r="H132" s="45">
        <v>0</v>
      </c>
      <c r="I132" s="45">
        <v>0</v>
      </c>
      <c r="J132" s="45">
        <v>0</v>
      </c>
      <c r="K132" s="45">
        <v>0</v>
      </c>
      <c r="L132" s="45">
        <v>0</v>
      </c>
      <c r="M132" s="45">
        <v>0</v>
      </c>
      <c r="N132" s="45">
        <f t="shared" si="17"/>
        <v>6326923</v>
      </c>
      <c r="O132" s="46">
        <f t="shared" si="15"/>
        <v>5.2861269020095376</v>
      </c>
      <c r="P132" s="9"/>
    </row>
    <row r="133" spans="1:16" ht="15.75">
      <c r="A133" s="28" t="s">
        <v>5</v>
      </c>
      <c r="B133" s="29"/>
      <c r="C133" s="30"/>
      <c r="D133" s="31">
        <f t="shared" ref="D133:M133" si="18">SUM(D134:D143)</f>
        <v>14803900</v>
      </c>
      <c r="E133" s="31">
        <f t="shared" si="18"/>
        <v>34257990</v>
      </c>
      <c r="F133" s="31">
        <f t="shared" si="18"/>
        <v>1830984</v>
      </c>
      <c r="G133" s="31">
        <f t="shared" si="18"/>
        <v>7027007</v>
      </c>
      <c r="H133" s="31">
        <f t="shared" si="18"/>
        <v>0</v>
      </c>
      <c r="I133" s="31">
        <f t="shared" si="18"/>
        <v>-85000</v>
      </c>
      <c r="J133" s="31">
        <f t="shared" si="18"/>
        <v>1222000</v>
      </c>
      <c r="K133" s="31">
        <f t="shared" si="18"/>
        <v>0</v>
      </c>
      <c r="L133" s="31">
        <f t="shared" si="18"/>
        <v>0</v>
      </c>
      <c r="M133" s="31">
        <f t="shared" si="18"/>
        <v>34000</v>
      </c>
      <c r="N133" s="31">
        <f>SUM(D133:M133)</f>
        <v>59090881</v>
      </c>
      <c r="O133" s="44">
        <f t="shared" ref="O133:O151" si="19">(N133/O$153)</f>
        <v>49.37026983219873</v>
      </c>
      <c r="P133" s="10"/>
    </row>
    <row r="134" spans="1:16">
      <c r="A134" s="11"/>
      <c r="B134" s="24">
        <v>361.1</v>
      </c>
      <c r="C134" s="19" t="s">
        <v>142</v>
      </c>
      <c r="D134" s="45">
        <v>10115993</v>
      </c>
      <c r="E134" s="45">
        <v>14803249</v>
      </c>
      <c r="F134" s="45">
        <v>1707802</v>
      </c>
      <c r="G134" s="45">
        <v>766107</v>
      </c>
      <c r="H134" s="45">
        <v>0</v>
      </c>
      <c r="I134" s="45">
        <v>0</v>
      </c>
      <c r="J134" s="45">
        <v>0</v>
      </c>
      <c r="K134" s="45">
        <v>0</v>
      </c>
      <c r="L134" s="45">
        <v>0</v>
      </c>
      <c r="M134" s="45">
        <v>28000</v>
      </c>
      <c r="N134" s="45">
        <f>SUM(D134:M134)</f>
        <v>27421151</v>
      </c>
      <c r="O134" s="46">
        <f t="shared" si="19"/>
        <v>22.910296835470536</v>
      </c>
      <c r="P134" s="9"/>
    </row>
    <row r="135" spans="1:16">
      <c r="A135" s="11"/>
      <c r="B135" s="24">
        <v>361.3</v>
      </c>
      <c r="C135" s="19" t="s">
        <v>143</v>
      </c>
      <c r="D135" s="45">
        <v>-786761</v>
      </c>
      <c r="E135" s="45">
        <v>-575492</v>
      </c>
      <c r="F135" s="45">
        <v>-113636</v>
      </c>
      <c r="G135" s="45">
        <v>-27134</v>
      </c>
      <c r="H135" s="45">
        <v>0</v>
      </c>
      <c r="I135" s="45">
        <v>0</v>
      </c>
      <c r="J135" s="45">
        <v>0</v>
      </c>
      <c r="K135" s="45">
        <v>0</v>
      </c>
      <c r="L135" s="45">
        <v>0</v>
      </c>
      <c r="M135" s="45">
        <v>0</v>
      </c>
      <c r="N135" s="45">
        <f t="shared" ref="N135:N143" si="20">SUM(D135:M135)</f>
        <v>-1503023</v>
      </c>
      <c r="O135" s="46">
        <f t="shared" si="19"/>
        <v>-1.255771615149905</v>
      </c>
      <c r="P135" s="9"/>
    </row>
    <row r="136" spans="1:16">
      <c r="A136" s="11"/>
      <c r="B136" s="24">
        <v>361.4</v>
      </c>
      <c r="C136" s="19" t="s">
        <v>144</v>
      </c>
      <c r="D136" s="45">
        <v>0</v>
      </c>
      <c r="E136" s="45">
        <v>100</v>
      </c>
      <c r="F136" s="45">
        <v>0</v>
      </c>
      <c r="G136" s="45">
        <v>0</v>
      </c>
      <c r="H136" s="45">
        <v>0</v>
      </c>
      <c r="I136" s="45">
        <v>0</v>
      </c>
      <c r="J136" s="45">
        <v>0</v>
      </c>
      <c r="K136" s="45">
        <v>0</v>
      </c>
      <c r="L136" s="45">
        <v>0</v>
      </c>
      <c r="M136" s="45">
        <v>0</v>
      </c>
      <c r="N136" s="45">
        <f t="shared" si="20"/>
        <v>100</v>
      </c>
      <c r="O136" s="46">
        <f t="shared" si="19"/>
        <v>8.3549727126591206E-5</v>
      </c>
      <c r="P136" s="9"/>
    </row>
    <row r="137" spans="1:16">
      <c r="A137" s="11"/>
      <c r="B137" s="24">
        <v>362</v>
      </c>
      <c r="C137" s="19" t="s">
        <v>145</v>
      </c>
      <c r="D137" s="45">
        <v>828245</v>
      </c>
      <c r="E137" s="45">
        <v>99355</v>
      </c>
      <c r="F137" s="45">
        <v>235655</v>
      </c>
      <c r="G137" s="45">
        <v>0</v>
      </c>
      <c r="H137" s="45">
        <v>0</v>
      </c>
      <c r="I137" s="45">
        <v>0</v>
      </c>
      <c r="J137" s="45">
        <v>0</v>
      </c>
      <c r="K137" s="45">
        <v>0</v>
      </c>
      <c r="L137" s="45">
        <v>0</v>
      </c>
      <c r="M137" s="45">
        <v>0</v>
      </c>
      <c r="N137" s="45">
        <f t="shared" si="20"/>
        <v>1163255</v>
      </c>
      <c r="O137" s="46">
        <f t="shared" si="19"/>
        <v>0.9718963782864285</v>
      </c>
      <c r="P137" s="9"/>
    </row>
    <row r="138" spans="1:16">
      <c r="A138" s="11"/>
      <c r="B138" s="24">
        <v>364</v>
      </c>
      <c r="C138" s="19" t="s">
        <v>146</v>
      </c>
      <c r="D138" s="45">
        <v>71275</v>
      </c>
      <c r="E138" s="45">
        <v>293105</v>
      </c>
      <c r="F138" s="45">
        <v>0</v>
      </c>
      <c r="G138" s="45">
        <v>1259028</v>
      </c>
      <c r="H138" s="45">
        <v>0</v>
      </c>
      <c r="I138" s="45">
        <v>-85000</v>
      </c>
      <c r="J138" s="45">
        <v>1222000</v>
      </c>
      <c r="K138" s="45">
        <v>0</v>
      </c>
      <c r="L138" s="45">
        <v>0</v>
      </c>
      <c r="M138" s="45">
        <v>0</v>
      </c>
      <c r="N138" s="45">
        <f t="shared" si="20"/>
        <v>2760408</v>
      </c>
      <c r="O138" s="46">
        <f t="shared" si="19"/>
        <v>2.3063133515805938</v>
      </c>
      <c r="P138" s="9"/>
    </row>
    <row r="139" spans="1:16">
      <c r="A139" s="11"/>
      <c r="B139" s="24">
        <v>365</v>
      </c>
      <c r="C139" s="19" t="s">
        <v>147</v>
      </c>
      <c r="D139" s="45">
        <v>34913</v>
      </c>
      <c r="E139" s="45">
        <v>7481</v>
      </c>
      <c r="F139" s="45">
        <v>0</v>
      </c>
      <c r="G139" s="45">
        <v>0</v>
      </c>
      <c r="H139" s="45">
        <v>0</v>
      </c>
      <c r="I139" s="45">
        <v>0</v>
      </c>
      <c r="J139" s="45">
        <v>0</v>
      </c>
      <c r="K139" s="45">
        <v>0</v>
      </c>
      <c r="L139" s="45">
        <v>0</v>
      </c>
      <c r="M139" s="45">
        <v>0</v>
      </c>
      <c r="N139" s="45">
        <f t="shared" si="20"/>
        <v>42394</v>
      </c>
      <c r="O139" s="46">
        <f t="shared" si="19"/>
        <v>3.5420071318047072E-2</v>
      </c>
      <c r="P139" s="9"/>
    </row>
    <row r="140" spans="1:16">
      <c r="A140" s="11"/>
      <c r="B140" s="24">
        <v>366</v>
      </c>
      <c r="C140" s="19" t="s">
        <v>148</v>
      </c>
      <c r="D140" s="45">
        <v>273767</v>
      </c>
      <c r="E140" s="45">
        <v>4718264</v>
      </c>
      <c r="F140" s="45">
        <v>0</v>
      </c>
      <c r="G140" s="45">
        <v>0</v>
      </c>
      <c r="H140" s="45">
        <v>0</v>
      </c>
      <c r="I140" s="45">
        <v>0</v>
      </c>
      <c r="J140" s="45">
        <v>0</v>
      </c>
      <c r="K140" s="45">
        <v>0</v>
      </c>
      <c r="L140" s="45">
        <v>0</v>
      </c>
      <c r="M140" s="45">
        <v>0</v>
      </c>
      <c r="N140" s="45">
        <f t="shared" si="20"/>
        <v>4992031</v>
      </c>
      <c r="O140" s="46">
        <f t="shared" si="19"/>
        <v>4.1708282785748425</v>
      </c>
      <c r="P140" s="9"/>
    </row>
    <row r="141" spans="1:16">
      <c r="A141" s="11"/>
      <c r="B141" s="24">
        <v>367</v>
      </c>
      <c r="C141" s="19" t="s">
        <v>149</v>
      </c>
      <c r="D141" s="45">
        <v>1597235</v>
      </c>
      <c r="E141" s="45">
        <v>221326</v>
      </c>
      <c r="F141" s="45">
        <v>0</v>
      </c>
      <c r="G141" s="45">
        <v>0</v>
      </c>
      <c r="H141" s="45">
        <v>0</v>
      </c>
      <c r="I141" s="45">
        <v>0</v>
      </c>
      <c r="J141" s="45">
        <v>0</v>
      </c>
      <c r="K141" s="45">
        <v>0</v>
      </c>
      <c r="L141" s="45">
        <v>0</v>
      </c>
      <c r="M141" s="45">
        <v>0</v>
      </c>
      <c r="N141" s="45">
        <f t="shared" si="20"/>
        <v>1818561</v>
      </c>
      <c r="O141" s="46">
        <f t="shared" si="19"/>
        <v>1.5194027531306082</v>
      </c>
      <c r="P141" s="9"/>
    </row>
    <row r="142" spans="1:16">
      <c r="A142" s="11"/>
      <c r="B142" s="24">
        <v>369.3</v>
      </c>
      <c r="C142" s="19" t="s">
        <v>150</v>
      </c>
      <c r="D142" s="45">
        <v>177167</v>
      </c>
      <c r="E142" s="45">
        <v>810229</v>
      </c>
      <c r="F142" s="45">
        <v>0</v>
      </c>
      <c r="G142" s="45">
        <v>0</v>
      </c>
      <c r="H142" s="45">
        <v>0</v>
      </c>
      <c r="I142" s="45">
        <v>0</v>
      </c>
      <c r="J142" s="45">
        <v>0</v>
      </c>
      <c r="K142" s="45">
        <v>0</v>
      </c>
      <c r="L142" s="45">
        <v>0</v>
      </c>
      <c r="M142" s="45">
        <v>0</v>
      </c>
      <c r="N142" s="45">
        <f t="shared" si="20"/>
        <v>987396</v>
      </c>
      <c r="O142" s="46">
        <f t="shared" si="19"/>
        <v>0.8249666636588765</v>
      </c>
      <c r="P142" s="9"/>
    </row>
    <row r="143" spans="1:16">
      <c r="A143" s="11"/>
      <c r="B143" s="24">
        <v>369.9</v>
      </c>
      <c r="C143" s="19" t="s">
        <v>151</v>
      </c>
      <c r="D143" s="45">
        <v>2492066</v>
      </c>
      <c r="E143" s="45">
        <v>13880373</v>
      </c>
      <c r="F143" s="45">
        <v>1163</v>
      </c>
      <c r="G143" s="45">
        <v>5029006</v>
      </c>
      <c r="H143" s="45">
        <v>0</v>
      </c>
      <c r="I143" s="45">
        <v>0</v>
      </c>
      <c r="J143" s="45">
        <v>0</v>
      </c>
      <c r="K143" s="45">
        <v>0</v>
      </c>
      <c r="L143" s="45">
        <v>0</v>
      </c>
      <c r="M143" s="45">
        <v>6000</v>
      </c>
      <c r="N143" s="45">
        <f t="shared" si="20"/>
        <v>21408608</v>
      </c>
      <c r="O143" s="46">
        <f t="shared" si="19"/>
        <v>17.886833565601574</v>
      </c>
      <c r="P143" s="9"/>
    </row>
    <row r="144" spans="1:16" ht="15.75">
      <c r="A144" s="28" t="s">
        <v>77</v>
      </c>
      <c r="B144" s="29"/>
      <c r="C144" s="30"/>
      <c r="D144" s="31">
        <f t="shared" ref="D144:M144" si="21">SUM(D145:D150)</f>
        <v>155544513</v>
      </c>
      <c r="E144" s="31">
        <f t="shared" si="21"/>
        <v>869559325</v>
      </c>
      <c r="F144" s="31">
        <f t="shared" si="21"/>
        <v>79320502</v>
      </c>
      <c r="G144" s="31">
        <f t="shared" si="21"/>
        <v>62822951</v>
      </c>
      <c r="H144" s="31">
        <f t="shared" si="21"/>
        <v>0</v>
      </c>
      <c r="I144" s="31">
        <f t="shared" si="21"/>
        <v>77197000</v>
      </c>
      <c r="J144" s="31">
        <f t="shared" si="21"/>
        <v>6265000</v>
      </c>
      <c r="K144" s="31">
        <f t="shared" si="21"/>
        <v>0</v>
      </c>
      <c r="L144" s="31">
        <f t="shared" si="21"/>
        <v>0</v>
      </c>
      <c r="M144" s="31">
        <f t="shared" si="21"/>
        <v>4631000</v>
      </c>
      <c r="N144" s="31">
        <f t="shared" ref="N144:N151" si="22">SUM(D144:M144)</f>
        <v>1255340291</v>
      </c>
      <c r="O144" s="44">
        <f t="shared" si="19"/>
        <v>1048.8333876406559</v>
      </c>
      <c r="P144" s="9"/>
    </row>
    <row r="145" spans="1:119">
      <c r="A145" s="11"/>
      <c r="B145" s="24">
        <v>381</v>
      </c>
      <c r="C145" s="19" t="s">
        <v>152</v>
      </c>
      <c r="D145" s="45">
        <v>155544513</v>
      </c>
      <c r="E145" s="45">
        <v>711304325</v>
      </c>
      <c r="F145" s="45">
        <v>79320502</v>
      </c>
      <c r="G145" s="45">
        <v>58398951</v>
      </c>
      <c r="H145" s="45">
        <v>0</v>
      </c>
      <c r="I145" s="45">
        <v>0</v>
      </c>
      <c r="J145" s="45">
        <v>0</v>
      </c>
      <c r="K145" s="45">
        <v>0</v>
      </c>
      <c r="L145" s="45">
        <v>0</v>
      </c>
      <c r="M145" s="45">
        <v>0</v>
      </c>
      <c r="N145" s="45">
        <f t="shared" si="22"/>
        <v>1004568291</v>
      </c>
      <c r="O145" s="46">
        <f t="shared" si="19"/>
        <v>839.31406593076065</v>
      </c>
      <c r="P145" s="9"/>
    </row>
    <row r="146" spans="1:119">
      <c r="A146" s="11"/>
      <c r="B146" s="24">
        <v>384</v>
      </c>
      <c r="C146" s="19" t="s">
        <v>153</v>
      </c>
      <c r="D146" s="45">
        <v>0</v>
      </c>
      <c r="E146" s="45">
        <v>158255000</v>
      </c>
      <c r="F146" s="45">
        <v>0</v>
      </c>
      <c r="G146" s="45">
        <v>4424000</v>
      </c>
      <c r="H146" s="45">
        <v>0</v>
      </c>
      <c r="I146" s="45">
        <v>0</v>
      </c>
      <c r="J146" s="45">
        <v>0</v>
      </c>
      <c r="K146" s="45">
        <v>0</v>
      </c>
      <c r="L146" s="45">
        <v>0</v>
      </c>
      <c r="M146" s="45">
        <v>0</v>
      </c>
      <c r="N146" s="45">
        <f t="shared" si="22"/>
        <v>162679000</v>
      </c>
      <c r="O146" s="46">
        <f t="shared" si="19"/>
        <v>135.91786059226732</v>
      </c>
      <c r="P146" s="9"/>
    </row>
    <row r="147" spans="1:119">
      <c r="A147" s="11"/>
      <c r="B147" s="24">
        <v>389.1</v>
      </c>
      <c r="C147" s="19" t="s">
        <v>154</v>
      </c>
      <c r="D147" s="45">
        <v>0</v>
      </c>
      <c r="E147" s="45">
        <v>0</v>
      </c>
      <c r="F147" s="45">
        <v>0</v>
      </c>
      <c r="G147" s="45">
        <v>0</v>
      </c>
      <c r="H147" s="45">
        <v>0</v>
      </c>
      <c r="I147" s="45">
        <v>17724000</v>
      </c>
      <c r="J147" s="45">
        <v>6152000</v>
      </c>
      <c r="K147" s="45">
        <v>0</v>
      </c>
      <c r="L147" s="45">
        <v>0</v>
      </c>
      <c r="M147" s="45">
        <v>0</v>
      </c>
      <c r="N147" s="45">
        <f t="shared" si="22"/>
        <v>23876000</v>
      </c>
      <c r="O147" s="46">
        <f t="shared" si="19"/>
        <v>19.948332848744915</v>
      </c>
      <c r="P147" s="9"/>
    </row>
    <row r="148" spans="1:119">
      <c r="A148" s="11"/>
      <c r="B148" s="24">
        <v>389.2</v>
      </c>
      <c r="C148" s="19" t="s">
        <v>155</v>
      </c>
      <c r="D148" s="45">
        <v>0</v>
      </c>
      <c r="E148" s="45">
        <v>0</v>
      </c>
      <c r="F148" s="45">
        <v>0</v>
      </c>
      <c r="G148" s="45">
        <v>0</v>
      </c>
      <c r="H148" s="45">
        <v>0</v>
      </c>
      <c r="I148" s="45">
        <v>56007000</v>
      </c>
      <c r="J148" s="45">
        <v>0</v>
      </c>
      <c r="K148" s="45">
        <v>0</v>
      </c>
      <c r="L148" s="45">
        <v>0</v>
      </c>
      <c r="M148" s="45">
        <v>0</v>
      </c>
      <c r="N148" s="45">
        <f t="shared" si="22"/>
        <v>56007000</v>
      </c>
      <c r="O148" s="46">
        <f t="shared" si="19"/>
        <v>46.793695671789933</v>
      </c>
      <c r="P148" s="9"/>
    </row>
    <row r="149" spans="1:119">
      <c r="A149" s="11"/>
      <c r="B149" s="24">
        <v>389.4</v>
      </c>
      <c r="C149" s="19" t="s">
        <v>156</v>
      </c>
      <c r="D149" s="45">
        <v>0</v>
      </c>
      <c r="E149" s="45">
        <v>0</v>
      </c>
      <c r="F149" s="45">
        <v>0</v>
      </c>
      <c r="G149" s="45">
        <v>0</v>
      </c>
      <c r="H149" s="45">
        <v>0</v>
      </c>
      <c r="I149" s="45">
        <v>0</v>
      </c>
      <c r="J149" s="45">
        <v>0</v>
      </c>
      <c r="K149" s="45">
        <v>0</v>
      </c>
      <c r="L149" s="45">
        <v>0</v>
      </c>
      <c r="M149" s="45">
        <v>4631000</v>
      </c>
      <c r="N149" s="45">
        <f t="shared" si="22"/>
        <v>4631000</v>
      </c>
      <c r="O149" s="46">
        <f t="shared" si="19"/>
        <v>3.8691878632324386</v>
      </c>
      <c r="P149" s="9"/>
    </row>
    <row r="150" spans="1:119" ht="15.75" thickBot="1">
      <c r="A150" s="11"/>
      <c r="B150" s="24">
        <v>389.9</v>
      </c>
      <c r="C150" s="19" t="s">
        <v>157</v>
      </c>
      <c r="D150" s="45">
        <v>0</v>
      </c>
      <c r="E150" s="45">
        <v>0</v>
      </c>
      <c r="F150" s="45">
        <v>0</v>
      </c>
      <c r="G150" s="45">
        <v>0</v>
      </c>
      <c r="H150" s="45">
        <v>0</v>
      </c>
      <c r="I150" s="45">
        <v>3466000</v>
      </c>
      <c r="J150" s="45">
        <v>113000</v>
      </c>
      <c r="K150" s="45">
        <v>0</v>
      </c>
      <c r="L150" s="45">
        <v>0</v>
      </c>
      <c r="M150" s="45">
        <v>0</v>
      </c>
      <c r="N150" s="45">
        <f t="shared" si="22"/>
        <v>3579000</v>
      </c>
      <c r="O150" s="46">
        <f t="shared" si="19"/>
        <v>2.990244733860699</v>
      </c>
      <c r="P150" s="9"/>
    </row>
    <row r="151" spans="1:119" ht="16.5" thickBot="1">
      <c r="A151" s="13" t="s">
        <v>114</v>
      </c>
      <c r="B151" s="22"/>
      <c r="C151" s="21"/>
      <c r="D151" s="14">
        <f t="shared" ref="D151:M151" si="23">SUM(D5,D13,D24,D68,D124,D133,D144)</f>
        <v>969825151</v>
      </c>
      <c r="E151" s="14">
        <f t="shared" si="23"/>
        <v>1531029170</v>
      </c>
      <c r="F151" s="14">
        <f t="shared" si="23"/>
        <v>87734983</v>
      </c>
      <c r="G151" s="14">
        <f t="shared" si="23"/>
        <v>70049430</v>
      </c>
      <c r="H151" s="14">
        <f t="shared" si="23"/>
        <v>0</v>
      </c>
      <c r="I151" s="14">
        <f t="shared" si="23"/>
        <v>347644000</v>
      </c>
      <c r="J151" s="14">
        <f t="shared" si="23"/>
        <v>136717000</v>
      </c>
      <c r="K151" s="14">
        <f t="shared" si="23"/>
        <v>0</v>
      </c>
      <c r="L151" s="14">
        <f t="shared" si="23"/>
        <v>0</v>
      </c>
      <c r="M151" s="14">
        <f t="shared" si="23"/>
        <v>9064000</v>
      </c>
      <c r="N151" s="14">
        <f t="shared" si="22"/>
        <v>3152063734</v>
      </c>
      <c r="O151" s="37">
        <f t="shared" si="19"/>
        <v>2633.5406486132415</v>
      </c>
      <c r="P151" s="6"/>
      <c r="Q151" s="2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</row>
    <row r="152" spans="1:119">
      <c r="A152" s="15"/>
      <c r="B152" s="17"/>
      <c r="C152" s="17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8"/>
    </row>
    <row r="153" spans="1:119">
      <c r="A153" s="39"/>
      <c r="B153" s="40"/>
      <c r="C153" s="40"/>
      <c r="D153" s="41"/>
      <c r="E153" s="41"/>
      <c r="F153" s="41"/>
      <c r="G153" s="41"/>
      <c r="H153" s="41"/>
      <c r="I153" s="41"/>
      <c r="J153" s="41"/>
      <c r="K153" s="41"/>
      <c r="L153" s="48" t="s">
        <v>164</v>
      </c>
      <c r="M153" s="48"/>
      <c r="N153" s="48"/>
      <c r="O153" s="42">
        <v>1196892</v>
      </c>
    </row>
    <row r="154" spans="1:119">
      <c r="A154" s="49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1"/>
    </row>
    <row r="155" spans="1:119" ht="15.75" thickBot="1">
      <c r="A155" s="52" t="s">
        <v>178</v>
      </c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4"/>
    </row>
  </sheetData>
  <mergeCells count="10">
    <mergeCell ref="A155:O155"/>
    <mergeCell ref="A154:O154"/>
    <mergeCell ref="L153:N153"/>
    <mergeCell ref="A1:O1"/>
    <mergeCell ref="D3:H3"/>
    <mergeCell ref="I3:J3"/>
    <mergeCell ref="K3:L3"/>
    <mergeCell ref="O3:O4"/>
    <mergeCell ref="A2:O2"/>
    <mergeCell ref="A3:C4"/>
  </mergeCells>
  <printOptions horizontalCentered="1"/>
  <pageMargins left="0.5" right="0.5" top="0.5" bottom="0.5" header="0.3" footer="0.3"/>
  <pageSetup paperSize="5" scale="55" fitToHeight="0" orientation="landscape" r:id="rId1"/>
  <headerFooter>
    <oddFooter>&amp;L&amp;14Office of Economic and Demographic Research&amp;R&amp;14Page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EC151"/>
  <sheetViews>
    <sheetView workbookViewId="0">
      <selection sqref="A1:O1"/>
    </sheetView>
  </sheetViews>
  <sheetFormatPr defaultColWidth="9.77734375" defaultRowHeight="15"/>
  <cols>
    <col min="1" max="1" width="1.77734375" style="3" customWidth="1"/>
    <col min="2" max="2" width="6.77734375" style="3" customWidth="1"/>
    <col min="3" max="3" width="60.77734375" style="3" customWidth="1"/>
    <col min="4" max="5" width="16.77734375" style="4" customWidth="1"/>
    <col min="6" max="7" width="15.77734375" style="4" customWidth="1"/>
    <col min="8" max="8" width="13.77734375" style="4" customWidth="1"/>
    <col min="9" max="10" width="15.77734375" style="4" customWidth="1"/>
    <col min="11" max="13" width="13.77734375" style="4" customWidth="1"/>
    <col min="14" max="14" width="16.77734375" style="4" customWidth="1"/>
    <col min="15" max="15" width="13.77734375" style="3" customWidth="1"/>
    <col min="16" max="16" width="9.77734375" style="3" customWidth="1"/>
    <col min="17" max="17" width="9.77734375" style="3"/>
  </cols>
  <sheetData>
    <row r="1" spans="1:133" ht="27.75">
      <c r="A1" s="55" t="s">
        <v>165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7"/>
      <c r="P1" s="7"/>
      <c r="Q1"/>
    </row>
    <row r="2" spans="1:133" ht="24" thickBot="1">
      <c r="A2" s="58" t="s">
        <v>186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60"/>
      <c r="P2" s="7"/>
      <c r="Q2"/>
    </row>
    <row r="3" spans="1:133" ht="18" customHeight="1">
      <c r="A3" s="61" t="s">
        <v>158</v>
      </c>
      <c r="B3" s="62"/>
      <c r="C3" s="63"/>
      <c r="D3" s="67" t="s">
        <v>71</v>
      </c>
      <c r="E3" s="68"/>
      <c r="F3" s="68"/>
      <c r="G3" s="68"/>
      <c r="H3" s="69"/>
      <c r="I3" s="67" t="s">
        <v>72</v>
      </c>
      <c r="J3" s="69"/>
      <c r="K3" s="67" t="s">
        <v>74</v>
      </c>
      <c r="L3" s="69"/>
      <c r="M3" s="35"/>
      <c r="N3" s="36"/>
      <c r="O3" s="70" t="s">
        <v>163</v>
      </c>
      <c r="P3" s="5"/>
      <c r="Q3"/>
    </row>
    <row r="4" spans="1:133" ht="32.25" customHeight="1" thickBot="1">
      <c r="A4" s="64"/>
      <c r="B4" s="65"/>
      <c r="C4" s="66"/>
      <c r="D4" s="33" t="s">
        <v>6</v>
      </c>
      <c r="E4" s="33" t="s">
        <v>159</v>
      </c>
      <c r="F4" s="33" t="s">
        <v>160</v>
      </c>
      <c r="G4" s="33" t="s">
        <v>161</v>
      </c>
      <c r="H4" s="33" t="s">
        <v>7</v>
      </c>
      <c r="I4" s="33" t="s">
        <v>8</v>
      </c>
      <c r="J4" s="34" t="s">
        <v>162</v>
      </c>
      <c r="K4" s="34" t="s">
        <v>9</v>
      </c>
      <c r="L4" s="34" t="s">
        <v>10</v>
      </c>
      <c r="M4" s="34" t="s">
        <v>11</v>
      </c>
      <c r="N4" s="34" t="s">
        <v>73</v>
      </c>
      <c r="O4" s="71"/>
      <c r="P4" s="8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</row>
    <row r="5" spans="1:133" ht="15.75">
      <c r="A5" s="23" t="s">
        <v>2</v>
      </c>
      <c r="B5" s="25"/>
      <c r="C5" s="25"/>
      <c r="D5" s="26">
        <f t="shared" ref="D5:M5" si="0">SUM(D6:D12)</f>
        <v>745278221</v>
      </c>
      <c r="E5" s="26">
        <f t="shared" si="0"/>
        <v>299385251</v>
      </c>
      <c r="F5" s="26">
        <f t="shared" si="0"/>
        <v>6484756</v>
      </c>
      <c r="G5" s="26">
        <f t="shared" si="0"/>
        <v>0</v>
      </c>
      <c r="H5" s="26">
        <f t="shared" si="0"/>
        <v>0</v>
      </c>
      <c r="I5" s="26">
        <f t="shared" si="0"/>
        <v>0</v>
      </c>
      <c r="J5" s="26">
        <f t="shared" si="0"/>
        <v>0</v>
      </c>
      <c r="K5" s="26">
        <f t="shared" si="0"/>
        <v>0</v>
      </c>
      <c r="L5" s="26">
        <f t="shared" si="0"/>
        <v>0</v>
      </c>
      <c r="M5" s="26">
        <f t="shared" si="0"/>
        <v>0</v>
      </c>
      <c r="N5" s="27">
        <f>SUM(D5:M5)</f>
        <v>1051148228</v>
      </c>
      <c r="O5" s="32">
        <f t="shared" ref="O5:O36" si="1">(N5/O$149)</f>
        <v>875.56212407572923</v>
      </c>
      <c r="P5" s="6"/>
    </row>
    <row r="6" spans="1:133">
      <c r="A6" s="11"/>
      <c r="B6" s="24">
        <v>311</v>
      </c>
      <c r="C6" s="19" t="s">
        <v>3</v>
      </c>
      <c r="D6" s="45">
        <v>715835102</v>
      </c>
      <c r="E6" s="45">
        <v>49369403</v>
      </c>
      <c r="F6" s="45">
        <v>6484756</v>
      </c>
      <c r="G6" s="45">
        <v>0</v>
      </c>
      <c r="H6" s="45">
        <v>0</v>
      </c>
      <c r="I6" s="45">
        <v>0</v>
      </c>
      <c r="J6" s="45">
        <v>0</v>
      </c>
      <c r="K6" s="45">
        <v>0</v>
      </c>
      <c r="L6" s="45">
        <v>0</v>
      </c>
      <c r="M6" s="45">
        <v>0</v>
      </c>
      <c r="N6" s="45">
        <f>SUM(D6:M6)</f>
        <v>771689261</v>
      </c>
      <c r="O6" s="46">
        <f t="shared" si="1"/>
        <v>642.78459544488692</v>
      </c>
      <c r="P6" s="9"/>
    </row>
    <row r="7" spans="1:133">
      <c r="A7" s="11"/>
      <c r="B7" s="24">
        <v>312.10000000000002</v>
      </c>
      <c r="C7" s="19" t="s">
        <v>12</v>
      </c>
      <c r="D7" s="45">
        <v>0</v>
      </c>
      <c r="E7" s="45">
        <v>21294992</v>
      </c>
      <c r="F7" s="45">
        <v>0</v>
      </c>
      <c r="G7" s="45">
        <v>0</v>
      </c>
      <c r="H7" s="45">
        <v>0</v>
      </c>
      <c r="I7" s="45">
        <v>0</v>
      </c>
      <c r="J7" s="45">
        <v>0</v>
      </c>
      <c r="K7" s="45">
        <v>0</v>
      </c>
      <c r="L7" s="45">
        <v>0</v>
      </c>
      <c r="M7" s="45">
        <v>0</v>
      </c>
      <c r="N7" s="45">
        <f t="shared" ref="N7:N12" si="2">SUM(D7:M7)</f>
        <v>21294992</v>
      </c>
      <c r="O7" s="46">
        <f t="shared" si="1"/>
        <v>17.737829861704014</v>
      </c>
      <c r="P7" s="9"/>
    </row>
    <row r="8" spans="1:133">
      <c r="A8" s="11"/>
      <c r="B8" s="24">
        <v>312.3</v>
      </c>
      <c r="C8" s="19" t="s">
        <v>13</v>
      </c>
      <c r="D8" s="45">
        <v>0</v>
      </c>
      <c r="E8" s="45">
        <v>6714712</v>
      </c>
      <c r="F8" s="45">
        <v>0</v>
      </c>
      <c r="G8" s="45">
        <v>0</v>
      </c>
      <c r="H8" s="45">
        <v>0</v>
      </c>
      <c r="I8" s="45">
        <v>0</v>
      </c>
      <c r="J8" s="45">
        <v>0</v>
      </c>
      <c r="K8" s="45">
        <v>0</v>
      </c>
      <c r="L8" s="45">
        <v>0</v>
      </c>
      <c r="M8" s="45">
        <v>0</v>
      </c>
      <c r="N8" s="45">
        <f t="shared" si="2"/>
        <v>6714712</v>
      </c>
      <c r="O8" s="46">
        <f t="shared" si="1"/>
        <v>5.5930717901346148</v>
      </c>
      <c r="P8" s="9"/>
    </row>
    <row r="9" spans="1:133">
      <c r="A9" s="11"/>
      <c r="B9" s="24">
        <v>312.41000000000003</v>
      </c>
      <c r="C9" s="19" t="s">
        <v>14</v>
      </c>
      <c r="D9" s="45">
        <v>0</v>
      </c>
      <c r="E9" s="45">
        <v>24819941</v>
      </c>
      <c r="F9" s="45">
        <v>0</v>
      </c>
      <c r="G9" s="45">
        <v>0</v>
      </c>
      <c r="H9" s="45">
        <v>0</v>
      </c>
      <c r="I9" s="45">
        <v>0</v>
      </c>
      <c r="J9" s="45">
        <v>0</v>
      </c>
      <c r="K9" s="45">
        <v>0</v>
      </c>
      <c r="L9" s="45">
        <v>0</v>
      </c>
      <c r="M9" s="45">
        <v>0</v>
      </c>
      <c r="N9" s="45">
        <f t="shared" si="2"/>
        <v>24819941</v>
      </c>
      <c r="O9" s="46">
        <f t="shared" si="1"/>
        <v>20.673963654718996</v>
      </c>
      <c r="P9" s="9"/>
    </row>
    <row r="10" spans="1:133">
      <c r="A10" s="11"/>
      <c r="B10" s="24">
        <v>312.60000000000002</v>
      </c>
      <c r="C10" s="19" t="s">
        <v>15</v>
      </c>
      <c r="D10" s="45">
        <v>0</v>
      </c>
      <c r="E10" s="45">
        <v>196732488</v>
      </c>
      <c r="F10" s="45">
        <v>0</v>
      </c>
      <c r="G10" s="45">
        <v>0</v>
      </c>
      <c r="H10" s="45">
        <v>0</v>
      </c>
      <c r="I10" s="45">
        <v>0</v>
      </c>
      <c r="J10" s="45">
        <v>0</v>
      </c>
      <c r="K10" s="45">
        <v>0</v>
      </c>
      <c r="L10" s="45">
        <v>0</v>
      </c>
      <c r="M10" s="45">
        <v>0</v>
      </c>
      <c r="N10" s="45">
        <f t="shared" si="2"/>
        <v>196732488</v>
      </c>
      <c r="O10" s="46">
        <f t="shared" si="1"/>
        <v>163.86986200387992</v>
      </c>
      <c r="P10" s="9"/>
    </row>
    <row r="11" spans="1:133">
      <c r="A11" s="11"/>
      <c r="B11" s="24">
        <v>315</v>
      </c>
      <c r="C11" s="19" t="s">
        <v>16</v>
      </c>
      <c r="D11" s="45">
        <v>27706846</v>
      </c>
      <c r="E11" s="45">
        <v>0</v>
      </c>
      <c r="F11" s="45">
        <v>0</v>
      </c>
      <c r="G11" s="45">
        <v>0</v>
      </c>
      <c r="H11" s="45">
        <v>0</v>
      </c>
      <c r="I11" s="45">
        <v>0</v>
      </c>
      <c r="J11" s="45">
        <v>0</v>
      </c>
      <c r="K11" s="45">
        <v>0</v>
      </c>
      <c r="L11" s="45">
        <v>0</v>
      </c>
      <c r="M11" s="45">
        <v>0</v>
      </c>
      <c r="N11" s="45">
        <f t="shared" si="2"/>
        <v>27706846</v>
      </c>
      <c r="O11" s="46">
        <f t="shared" si="1"/>
        <v>23.078633715966387</v>
      </c>
      <c r="P11" s="9"/>
    </row>
    <row r="12" spans="1:133">
      <c r="A12" s="11"/>
      <c r="B12" s="24">
        <v>316</v>
      </c>
      <c r="C12" s="19" t="s">
        <v>17</v>
      </c>
      <c r="D12" s="45">
        <v>1736273</v>
      </c>
      <c r="E12" s="45">
        <v>453715</v>
      </c>
      <c r="F12" s="45">
        <v>0</v>
      </c>
      <c r="G12" s="45">
        <v>0</v>
      </c>
      <c r="H12" s="45">
        <v>0</v>
      </c>
      <c r="I12" s="45">
        <v>0</v>
      </c>
      <c r="J12" s="45">
        <v>0</v>
      </c>
      <c r="K12" s="45">
        <v>0</v>
      </c>
      <c r="L12" s="45">
        <v>0</v>
      </c>
      <c r="M12" s="45">
        <v>0</v>
      </c>
      <c r="N12" s="45">
        <f t="shared" si="2"/>
        <v>2189988</v>
      </c>
      <c r="O12" s="46">
        <f t="shared" si="1"/>
        <v>1.8241676044383324</v>
      </c>
      <c r="P12" s="9"/>
    </row>
    <row r="13" spans="1:133" ht="15.75">
      <c r="A13" s="28" t="s">
        <v>187</v>
      </c>
      <c r="B13" s="29"/>
      <c r="C13" s="30"/>
      <c r="D13" s="31">
        <f t="shared" ref="D13:M13" si="3">SUM(D14:D17)</f>
        <v>2398262</v>
      </c>
      <c r="E13" s="31">
        <f t="shared" si="3"/>
        <v>11377781</v>
      </c>
      <c r="F13" s="31">
        <f t="shared" si="3"/>
        <v>0</v>
      </c>
      <c r="G13" s="31">
        <f t="shared" si="3"/>
        <v>0</v>
      </c>
      <c r="H13" s="31">
        <f t="shared" si="3"/>
        <v>0</v>
      </c>
      <c r="I13" s="31">
        <f t="shared" si="3"/>
        <v>0</v>
      </c>
      <c r="J13" s="31">
        <f t="shared" si="3"/>
        <v>0</v>
      </c>
      <c r="K13" s="31">
        <f t="shared" si="3"/>
        <v>0</v>
      </c>
      <c r="L13" s="31">
        <f t="shared" si="3"/>
        <v>0</v>
      </c>
      <c r="M13" s="31">
        <f t="shared" si="3"/>
        <v>0</v>
      </c>
      <c r="N13" s="43">
        <f t="shared" ref="N13:N20" si="4">SUM(D13:M13)</f>
        <v>13776043</v>
      </c>
      <c r="O13" s="44">
        <f t="shared" si="1"/>
        <v>11.474862582785594</v>
      </c>
      <c r="P13" s="10"/>
    </row>
    <row r="14" spans="1:133">
      <c r="A14" s="11"/>
      <c r="B14" s="24">
        <v>322</v>
      </c>
      <c r="C14" s="19" t="s">
        <v>0</v>
      </c>
      <c r="D14" s="45">
        <v>2560</v>
      </c>
      <c r="E14" s="45">
        <v>10753271</v>
      </c>
      <c r="F14" s="45">
        <v>0</v>
      </c>
      <c r="G14" s="45">
        <v>0</v>
      </c>
      <c r="H14" s="45">
        <v>0</v>
      </c>
      <c r="I14" s="45">
        <v>0</v>
      </c>
      <c r="J14" s="45">
        <v>0</v>
      </c>
      <c r="K14" s="45">
        <v>0</v>
      </c>
      <c r="L14" s="45">
        <v>0</v>
      </c>
      <c r="M14" s="45">
        <v>0</v>
      </c>
      <c r="N14" s="45">
        <f t="shared" si="4"/>
        <v>10755831</v>
      </c>
      <c r="O14" s="46">
        <f t="shared" si="1"/>
        <v>8.9591534150020706</v>
      </c>
      <c r="P14" s="9"/>
    </row>
    <row r="15" spans="1:133">
      <c r="A15" s="11"/>
      <c r="B15" s="24">
        <v>323.3</v>
      </c>
      <c r="C15" s="19" t="s">
        <v>19</v>
      </c>
      <c r="D15" s="45">
        <v>17577</v>
      </c>
      <c r="E15" s="45">
        <v>0</v>
      </c>
      <c r="F15" s="45">
        <v>0</v>
      </c>
      <c r="G15" s="45">
        <v>0</v>
      </c>
      <c r="H15" s="45">
        <v>0</v>
      </c>
      <c r="I15" s="45">
        <v>0</v>
      </c>
      <c r="J15" s="45">
        <v>0</v>
      </c>
      <c r="K15" s="45">
        <v>0</v>
      </c>
      <c r="L15" s="45">
        <v>0</v>
      </c>
      <c r="M15" s="45">
        <v>0</v>
      </c>
      <c r="N15" s="45">
        <f t="shared" si="4"/>
        <v>17577</v>
      </c>
      <c r="O15" s="46">
        <f t="shared" si="1"/>
        <v>1.4640899394522969E-2</v>
      </c>
      <c r="P15" s="9"/>
    </row>
    <row r="16" spans="1:133">
      <c r="A16" s="11"/>
      <c r="B16" s="24">
        <v>323.60000000000002</v>
      </c>
      <c r="C16" s="19" t="s">
        <v>20</v>
      </c>
      <c r="D16" s="45">
        <v>23372</v>
      </c>
      <c r="E16" s="45">
        <v>0</v>
      </c>
      <c r="F16" s="45">
        <v>0</v>
      </c>
      <c r="G16" s="45">
        <v>0</v>
      </c>
      <c r="H16" s="45">
        <v>0</v>
      </c>
      <c r="I16" s="45">
        <v>0</v>
      </c>
      <c r="J16" s="45">
        <v>0</v>
      </c>
      <c r="K16" s="45">
        <v>0</v>
      </c>
      <c r="L16" s="45">
        <v>0</v>
      </c>
      <c r="M16" s="45">
        <v>0</v>
      </c>
      <c r="N16" s="45">
        <f t="shared" si="4"/>
        <v>23372</v>
      </c>
      <c r="O16" s="46">
        <f t="shared" si="1"/>
        <v>1.946788989297325E-2</v>
      </c>
      <c r="P16" s="9"/>
    </row>
    <row r="17" spans="1:16">
      <c r="A17" s="11"/>
      <c r="B17" s="24">
        <v>329</v>
      </c>
      <c r="C17" s="19" t="s">
        <v>188</v>
      </c>
      <c r="D17" s="45">
        <v>2354753</v>
      </c>
      <c r="E17" s="45">
        <v>624510</v>
      </c>
      <c r="F17" s="45">
        <v>0</v>
      </c>
      <c r="G17" s="45">
        <v>0</v>
      </c>
      <c r="H17" s="45">
        <v>0</v>
      </c>
      <c r="I17" s="45">
        <v>0</v>
      </c>
      <c r="J17" s="45">
        <v>0</v>
      </c>
      <c r="K17" s="45">
        <v>0</v>
      </c>
      <c r="L17" s="45">
        <v>0</v>
      </c>
      <c r="M17" s="45">
        <v>0</v>
      </c>
      <c r="N17" s="45">
        <f t="shared" si="4"/>
        <v>2979263</v>
      </c>
      <c r="O17" s="46">
        <f t="shared" si="1"/>
        <v>2.4816003784960281</v>
      </c>
      <c r="P17" s="9"/>
    </row>
    <row r="18" spans="1:16" ht="15.75">
      <c r="A18" s="28" t="s">
        <v>30</v>
      </c>
      <c r="B18" s="29"/>
      <c r="C18" s="30"/>
      <c r="D18" s="31">
        <f t="shared" ref="D18:M18" si="5">SUM(D19:D60)</f>
        <v>21633523</v>
      </c>
      <c r="E18" s="31">
        <f t="shared" si="5"/>
        <v>230297830</v>
      </c>
      <c r="F18" s="31">
        <f t="shared" si="5"/>
        <v>0</v>
      </c>
      <c r="G18" s="31">
        <f t="shared" si="5"/>
        <v>0</v>
      </c>
      <c r="H18" s="31">
        <f t="shared" si="5"/>
        <v>0</v>
      </c>
      <c r="I18" s="31">
        <f t="shared" si="5"/>
        <v>0</v>
      </c>
      <c r="J18" s="31">
        <f t="shared" si="5"/>
        <v>-34000</v>
      </c>
      <c r="K18" s="31">
        <f t="shared" si="5"/>
        <v>0</v>
      </c>
      <c r="L18" s="31">
        <f t="shared" si="5"/>
        <v>0</v>
      </c>
      <c r="M18" s="31">
        <f t="shared" si="5"/>
        <v>0</v>
      </c>
      <c r="N18" s="43">
        <f t="shared" si="4"/>
        <v>251897353</v>
      </c>
      <c r="O18" s="44">
        <f t="shared" si="1"/>
        <v>209.81986704327466</v>
      </c>
      <c r="P18" s="10"/>
    </row>
    <row r="19" spans="1:16">
      <c r="A19" s="11"/>
      <c r="B19" s="24">
        <v>331.1</v>
      </c>
      <c r="C19" s="19" t="s">
        <v>28</v>
      </c>
      <c r="D19" s="45">
        <v>0</v>
      </c>
      <c r="E19" s="45">
        <v>32668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5">
        <v>0</v>
      </c>
      <c r="L19" s="45">
        <v>0</v>
      </c>
      <c r="M19" s="45">
        <v>0</v>
      </c>
      <c r="N19" s="45">
        <f t="shared" si="4"/>
        <v>32668</v>
      </c>
      <c r="O19" s="46">
        <f t="shared" si="1"/>
        <v>2.7211065677890219E-2</v>
      </c>
      <c r="P19" s="9"/>
    </row>
    <row r="20" spans="1:16">
      <c r="A20" s="11"/>
      <c r="B20" s="24">
        <v>331.2</v>
      </c>
      <c r="C20" s="19" t="s">
        <v>29</v>
      </c>
      <c r="D20" s="45">
        <v>0</v>
      </c>
      <c r="E20" s="45">
        <v>9757573</v>
      </c>
      <c r="F20" s="45">
        <v>0</v>
      </c>
      <c r="G20" s="45">
        <v>0</v>
      </c>
      <c r="H20" s="45">
        <v>0</v>
      </c>
      <c r="I20" s="45">
        <v>0</v>
      </c>
      <c r="J20" s="45">
        <v>0</v>
      </c>
      <c r="K20" s="45">
        <v>0</v>
      </c>
      <c r="L20" s="45">
        <v>0</v>
      </c>
      <c r="M20" s="45">
        <v>0</v>
      </c>
      <c r="N20" s="45">
        <f t="shared" si="4"/>
        <v>9757573</v>
      </c>
      <c r="O20" s="46">
        <f t="shared" si="1"/>
        <v>8.1276466193157919</v>
      </c>
      <c r="P20" s="9"/>
    </row>
    <row r="21" spans="1:16">
      <c r="A21" s="11"/>
      <c r="B21" s="24">
        <v>331.31</v>
      </c>
      <c r="C21" s="19" t="s">
        <v>34</v>
      </c>
      <c r="D21" s="45">
        <v>0</v>
      </c>
      <c r="E21" s="45">
        <v>-223071</v>
      </c>
      <c r="F21" s="45">
        <v>0</v>
      </c>
      <c r="G21" s="45">
        <v>0</v>
      </c>
      <c r="H21" s="45">
        <v>0</v>
      </c>
      <c r="I21" s="45">
        <v>0</v>
      </c>
      <c r="J21" s="45">
        <v>0</v>
      </c>
      <c r="K21" s="45">
        <v>0</v>
      </c>
      <c r="L21" s="45">
        <v>0</v>
      </c>
      <c r="M21" s="45">
        <v>0</v>
      </c>
      <c r="N21" s="45">
        <f t="shared" ref="N21:N31" si="6">SUM(D21:M21)</f>
        <v>-223071</v>
      </c>
      <c r="O21" s="46">
        <f t="shared" si="1"/>
        <v>-0.18580873123033698</v>
      </c>
      <c r="P21" s="9"/>
    </row>
    <row r="22" spans="1:16">
      <c r="A22" s="11"/>
      <c r="B22" s="24">
        <v>331.39</v>
      </c>
      <c r="C22" s="19" t="s">
        <v>35</v>
      </c>
      <c r="D22" s="45">
        <v>0</v>
      </c>
      <c r="E22" s="45">
        <v>497090</v>
      </c>
      <c r="F22" s="45">
        <v>0</v>
      </c>
      <c r="G22" s="45">
        <v>0</v>
      </c>
      <c r="H22" s="45">
        <v>0</v>
      </c>
      <c r="I22" s="45">
        <v>0</v>
      </c>
      <c r="J22" s="45">
        <v>0</v>
      </c>
      <c r="K22" s="45">
        <v>0</v>
      </c>
      <c r="L22" s="45">
        <v>0</v>
      </c>
      <c r="M22" s="45">
        <v>0</v>
      </c>
      <c r="N22" s="45">
        <f t="shared" si="6"/>
        <v>497090</v>
      </c>
      <c r="O22" s="46">
        <f t="shared" si="1"/>
        <v>0.41405499687224345</v>
      </c>
      <c r="P22" s="9"/>
    </row>
    <row r="23" spans="1:16">
      <c r="A23" s="11"/>
      <c r="B23" s="24">
        <v>331.49</v>
      </c>
      <c r="C23" s="19" t="s">
        <v>36</v>
      </c>
      <c r="D23" s="45">
        <v>0</v>
      </c>
      <c r="E23" s="45">
        <v>2905479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45">
        <v>0</v>
      </c>
      <c r="L23" s="45">
        <v>0</v>
      </c>
      <c r="M23" s="45">
        <v>0</v>
      </c>
      <c r="N23" s="45">
        <f t="shared" si="6"/>
        <v>2905479</v>
      </c>
      <c r="O23" s="46">
        <f t="shared" si="1"/>
        <v>2.4201414195766744</v>
      </c>
      <c r="P23" s="9"/>
    </row>
    <row r="24" spans="1:16">
      <c r="A24" s="11"/>
      <c r="B24" s="24">
        <v>331.5</v>
      </c>
      <c r="C24" s="19" t="s">
        <v>31</v>
      </c>
      <c r="D24" s="45">
        <v>0</v>
      </c>
      <c r="E24" s="45">
        <v>25604813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5">
        <v>0</v>
      </c>
      <c r="L24" s="45">
        <v>0</v>
      </c>
      <c r="M24" s="45">
        <v>0</v>
      </c>
      <c r="N24" s="45">
        <f t="shared" si="6"/>
        <v>25604813</v>
      </c>
      <c r="O24" s="46">
        <f t="shared" si="1"/>
        <v>21.32772891554724</v>
      </c>
      <c r="P24" s="9"/>
    </row>
    <row r="25" spans="1:16">
      <c r="A25" s="11"/>
      <c r="B25" s="24">
        <v>331.61</v>
      </c>
      <c r="C25" s="19" t="s">
        <v>37</v>
      </c>
      <c r="D25" s="45">
        <v>0</v>
      </c>
      <c r="E25" s="45">
        <v>4038761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f t="shared" si="6"/>
        <v>4038761</v>
      </c>
      <c r="O25" s="46">
        <f t="shared" si="1"/>
        <v>3.3641175103557481</v>
      </c>
      <c r="P25" s="9"/>
    </row>
    <row r="26" spans="1:16">
      <c r="A26" s="11"/>
      <c r="B26" s="24">
        <v>331.65</v>
      </c>
      <c r="C26" s="19" t="s">
        <v>38</v>
      </c>
      <c r="D26" s="45">
        <v>0</v>
      </c>
      <c r="E26" s="45">
        <v>1612361</v>
      </c>
      <c r="F26" s="45">
        <v>0</v>
      </c>
      <c r="G26" s="45">
        <v>0</v>
      </c>
      <c r="H26" s="45">
        <v>0</v>
      </c>
      <c r="I26" s="45">
        <v>0</v>
      </c>
      <c r="J26" s="45">
        <v>0</v>
      </c>
      <c r="K26" s="45">
        <v>0</v>
      </c>
      <c r="L26" s="45">
        <v>0</v>
      </c>
      <c r="M26" s="45">
        <v>0</v>
      </c>
      <c r="N26" s="45">
        <f t="shared" si="6"/>
        <v>1612361</v>
      </c>
      <c r="O26" s="46">
        <f t="shared" si="1"/>
        <v>1.3430286845680406</v>
      </c>
      <c r="P26" s="9"/>
    </row>
    <row r="27" spans="1:16">
      <c r="A27" s="11"/>
      <c r="B27" s="24">
        <v>331.69</v>
      </c>
      <c r="C27" s="19" t="s">
        <v>39</v>
      </c>
      <c r="D27" s="45">
        <v>10197</v>
      </c>
      <c r="E27" s="45">
        <v>42506769</v>
      </c>
      <c r="F27" s="45">
        <v>0</v>
      </c>
      <c r="G27" s="45">
        <v>0</v>
      </c>
      <c r="H27" s="45">
        <v>0</v>
      </c>
      <c r="I27" s="45">
        <v>0</v>
      </c>
      <c r="J27" s="45">
        <v>0</v>
      </c>
      <c r="K27" s="45">
        <v>0</v>
      </c>
      <c r="L27" s="45">
        <v>0</v>
      </c>
      <c r="M27" s="45">
        <v>0</v>
      </c>
      <c r="N27" s="45">
        <f t="shared" si="6"/>
        <v>42516966</v>
      </c>
      <c r="O27" s="46">
        <f t="shared" si="1"/>
        <v>35.414838810169748</v>
      </c>
      <c r="P27" s="9"/>
    </row>
    <row r="28" spans="1:16">
      <c r="A28" s="11"/>
      <c r="B28" s="24">
        <v>331.7</v>
      </c>
      <c r="C28" s="19" t="s">
        <v>169</v>
      </c>
      <c r="D28" s="45">
        <v>0</v>
      </c>
      <c r="E28" s="45">
        <v>15000</v>
      </c>
      <c r="F28" s="45">
        <v>0</v>
      </c>
      <c r="G28" s="45">
        <v>0</v>
      </c>
      <c r="H28" s="45">
        <v>0</v>
      </c>
      <c r="I28" s="45">
        <v>0</v>
      </c>
      <c r="J28" s="45">
        <v>0</v>
      </c>
      <c r="K28" s="45">
        <v>0</v>
      </c>
      <c r="L28" s="45">
        <v>0</v>
      </c>
      <c r="M28" s="45">
        <v>0</v>
      </c>
      <c r="N28" s="45">
        <f t="shared" si="6"/>
        <v>15000</v>
      </c>
      <c r="O28" s="46">
        <f t="shared" si="1"/>
        <v>1.2494367122822128E-2</v>
      </c>
      <c r="P28" s="9"/>
    </row>
    <row r="29" spans="1:16">
      <c r="A29" s="11"/>
      <c r="B29" s="24">
        <v>333</v>
      </c>
      <c r="C29" s="19" t="s">
        <v>4</v>
      </c>
      <c r="D29" s="45">
        <v>467</v>
      </c>
      <c r="E29" s="45">
        <v>0</v>
      </c>
      <c r="F29" s="45">
        <v>0</v>
      </c>
      <c r="G29" s="45">
        <v>0</v>
      </c>
      <c r="H29" s="45">
        <v>0</v>
      </c>
      <c r="I29" s="45">
        <v>0</v>
      </c>
      <c r="J29" s="45">
        <v>0</v>
      </c>
      <c r="K29" s="45">
        <v>0</v>
      </c>
      <c r="L29" s="45">
        <v>0</v>
      </c>
      <c r="M29" s="45">
        <v>0</v>
      </c>
      <c r="N29" s="45">
        <f t="shared" si="6"/>
        <v>467</v>
      </c>
      <c r="O29" s="46">
        <f t="shared" si="1"/>
        <v>3.8899129642386223E-4</v>
      </c>
      <c r="P29" s="9"/>
    </row>
    <row r="30" spans="1:16">
      <c r="A30" s="11"/>
      <c r="B30" s="24">
        <v>334.1</v>
      </c>
      <c r="C30" s="19" t="s">
        <v>189</v>
      </c>
      <c r="D30" s="45">
        <v>0</v>
      </c>
      <c r="E30" s="45">
        <v>39050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f t="shared" si="6"/>
        <v>39050</v>
      </c>
      <c r="O30" s="46">
        <f t="shared" si="1"/>
        <v>3.2527002409746937E-2</v>
      </c>
      <c r="P30" s="9"/>
    </row>
    <row r="31" spans="1:16">
      <c r="A31" s="11"/>
      <c r="B31" s="24">
        <v>334.2</v>
      </c>
      <c r="C31" s="19" t="s">
        <v>33</v>
      </c>
      <c r="D31" s="45">
        <v>0</v>
      </c>
      <c r="E31" s="45">
        <v>1696181</v>
      </c>
      <c r="F31" s="45">
        <v>0</v>
      </c>
      <c r="G31" s="45">
        <v>0</v>
      </c>
      <c r="H31" s="45">
        <v>0</v>
      </c>
      <c r="I31" s="45">
        <v>0</v>
      </c>
      <c r="J31" s="45">
        <v>0</v>
      </c>
      <c r="K31" s="45">
        <v>0</v>
      </c>
      <c r="L31" s="45">
        <v>0</v>
      </c>
      <c r="M31" s="45">
        <v>0</v>
      </c>
      <c r="N31" s="45">
        <f t="shared" si="6"/>
        <v>1696181</v>
      </c>
      <c r="O31" s="46">
        <f t="shared" si="1"/>
        <v>1.4128472080503707</v>
      </c>
      <c r="P31" s="9"/>
    </row>
    <row r="32" spans="1:16">
      <c r="A32" s="11"/>
      <c r="B32" s="24">
        <v>334.39</v>
      </c>
      <c r="C32" s="19" t="s">
        <v>40</v>
      </c>
      <c r="D32" s="45">
        <v>0</v>
      </c>
      <c r="E32" s="45">
        <v>3154200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45">
        <f t="shared" ref="N32:N54" si="7">SUM(D32:M32)</f>
        <v>3154200</v>
      </c>
      <c r="O32" s="46">
        <f t="shared" si="1"/>
        <v>2.6273155185870372</v>
      </c>
      <c r="P32" s="9"/>
    </row>
    <row r="33" spans="1:16">
      <c r="A33" s="11"/>
      <c r="B33" s="24">
        <v>334.49</v>
      </c>
      <c r="C33" s="19" t="s">
        <v>41</v>
      </c>
      <c r="D33" s="45">
        <v>0</v>
      </c>
      <c r="E33" s="45">
        <v>-84927</v>
      </c>
      <c r="F33" s="45">
        <v>0</v>
      </c>
      <c r="G33" s="45">
        <v>0</v>
      </c>
      <c r="H33" s="45">
        <v>0</v>
      </c>
      <c r="I33" s="45">
        <v>0</v>
      </c>
      <c r="J33" s="45">
        <v>0</v>
      </c>
      <c r="K33" s="45">
        <v>0</v>
      </c>
      <c r="L33" s="45">
        <v>0</v>
      </c>
      <c r="M33" s="45">
        <v>0</v>
      </c>
      <c r="N33" s="45">
        <f t="shared" si="7"/>
        <v>-84927</v>
      </c>
      <c r="O33" s="46">
        <f t="shared" si="1"/>
        <v>-7.0740607775994321E-2</v>
      </c>
      <c r="P33" s="9"/>
    </row>
    <row r="34" spans="1:16">
      <c r="A34" s="11"/>
      <c r="B34" s="24">
        <v>334.5</v>
      </c>
      <c r="C34" s="19" t="s">
        <v>42</v>
      </c>
      <c r="D34" s="45">
        <v>0</v>
      </c>
      <c r="E34" s="45">
        <v>255125</v>
      </c>
      <c r="F34" s="45">
        <v>0</v>
      </c>
      <c r="G34" s="45">
        <v>0</v>
      </c>
      <c r="H34" s="45">
        <v>0</v>
      </c>
      <c r="I34" s="45">
        <v>0</v>
      </c>
      <c r="J34" s="45">
        <v>0</v>
      </c>
      <c r="K34" s="45">
        <v>0</v>
      </c>
      <c r="L34" s="45">
        <v>0</v>
      </c>
      <c r="M34" s="45">
        <v>0</v>
      </c>
      <c r="N34" s="45">
        <f t="shared" si="7"/>
        <v>255125</v>
      </c>
      <c r="O34" s="46">
        <f t="shared" si="1"/>
        <v>0.21250836081399968</v>
      </c>
      <c r="P34" s="9"/>
    </row>
    <row r="35" spans="1:16">
      <c r="A35" s="11"/>
      <c r="B35" s="24">
        <v>334.61</v>
      </c>
      <c r="C35" s="19" t="s">
        <v>43</v>
      </c>
      <c r="D35" s="45">
        <v>0</v>
      </c>
      <c r="E35" s="45">
        <v>870255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f t="shared" si="7"/>
        <v>870255</v>
      </c>
      <c r="O35" s="46">
        <f t="shared" si="1"/>
        <v>0.72488569736477138</v>
      </c>
      <c r="P35" s="9"/>
    </row>
    <row r="36" spans="1:16">
      <c r="A36" s="11"/>
      <c r="B36" s="24">
        <v>334.69</v>
      </c>
      <c r="C36" s="19" t="s">
        <v>44</v>
      </c>
      <c r="D36" s="45">
        <v>0</v>
      </c>
      <c r="E36" s="45">
        <v>4612265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f t="shared" si="7"/>
        <v>4612265</v>
      </c>
      <c r="O36" s="46">
        <f t="shared" si="1"/>
        <v>3.84182214518288</v>
      </c>
      <c r="P36" s="9"/>
    </row>
    <row r="37" spans="1:16">
      <c r="A37" s="11"/>
      <c r="B37" s="24">
        <v>334.7</v>
      </c>
      <c r="C37" s="19" t="s">
        <v>45</v>
      </c>
      <c r="D37" s="45">
        <v>0</v>
      </c>
      <c r="E37" s="45">
        <v>1842968</v>
      </c>
      <c r="F37" s="45">
        <v>0</v>
      </c>
      <c r="G37" s="45">
        <v>0</v>
      </c>
      <c r="H37" s="45">
        <v>0</v>
      </c>
      <c r="I37" s="45">
        <v>0</v>
      </c>
      <c r="J37" s="45">
        <v>0</v>
      </c>
      <c r="K37" s="45">
        <v>0</v>
      </c>
      <c r="L37" s="45">
        <v>0</v>
      </c>
      <c r="M37" s="45">
        <v>0</v>
      </c>
      <c r="N37" s="45">
        <f t="shared" si="7"/>
        <v>1842968</v>
      </c>
      <c r="O37" s="46">
        <f t="shared" ref="O37:O68" si="8">(N37/O$149)</f>
        <v>1.5351145858408834</v>
      </c>
      <c r="P37" s="9"/>
    </row>
    <row r="38" spans="1:16">
      <c r="A38" s="11"/>
      <c r="B38" s="24">
        <v>334.89</v>
      </c>
      <c r="C38" s="19" t="s">
        <v>46</v>
      </c>
      <c r="D38" s="45">
        <v>0</v>
      </c>
      <c r="E38" s="45">
        <v>458559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5">
        <v>0</v>
      </c>
      <c r="L38" s="45">
        <v>0</v>
      </c>
      <c r="M38" s="45">
        <v>0</v>
      </c>
      <c r="N38" s="45">
        <f t="shared" si="7"/>
        <v>458559</v>
      </c>
      <c r="O38" s="46">
        <f t="shared" si="8"/>
        <v>0.38196029956494615</v>
      </c>
      <c r="P38" s="9"/>
    </row>
    <row r="39" spans="1:16">
      <c r="A39" s="11"/>
      <c r="B39" s="24">
        <v>334.9</v>
      </c>
      <c r="C39" s="19" t="s">
        <v>47</v>
      </c>
      <c r="D39" s="45">
        <v>0</v>
      </c>
      <c r="E39" s="45">
        <v>3384555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f t="shared" si="7"/>
        <v>3384555</v>
      </c>
      <c r="O39" s="46">
        <f t="shared" si="8"/>
        <v>2.8191915144922164</v>
      </c>
      <c r="P39" s="9"/>
    </row>
    <row r="40" spans="1:16">
      <c r="A40" s="11"/>
      <c r="B40" s="24">
        <v>335.12</v>
      </c>
      <c r="C40" s="19" t="s">
        <v>48</v>
      </c>
      <c r="D40" s="45">
        <v>19829409</v>
      </c>
      <c r="E40" s="45">
        <v>6752474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5">
        <v>0</v>
      </c>
      <c r="L40" s="45">
        <v>0</v>
      </c>
      <c r="M40" s="45">
        <v>0</v>
      </c>
      <c r="N40" s="45">
        <f t="shared" si="7"/>
        <v>26581883</v>
      </c>
      <c r="O40" s="46">
        <f t="shared" si="8"/>
        <v>22.141587001193628</v>
      </c>
      <c r="P40" s="9"/>
    </row>
    <row r="41" spans="1:16">
      <c r="A41" s="11"/>
      <c r="B41" s="24">
        <v>335.13</v>
      </c>
      <c r="C41" s="19" t="s">
        <v>49</v>
      </c>
      <c r="D41" s="45">
        <v>285075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f t="shared" si="7"/>
        <v>285075</v>
      </c>
      <c r="O41" s="46">
        <f t="shared" si="8"/>
        <v>0.23745544716923453</v>
      </c>
      <c r="P41" s="9"/>
    </row>
    <row r="42" spans="1:16">
      <c r="A42" s="11"/>
      <c r="B42" s="24">
        <v>335.14</v>
      </c>
      <c r="C42" s="19" t="s">
        <v>50</v>
      </c>
      <c r="D42" s="45">
        <v>408538</v>
      </c>
      <c r="E42" s="45">
        <v>0</v>
      </c>
      <c r="F42" s="45">
        <v>0</v>
      </c>
      <c r="G42" s="45">
        <v>0</v>
      </c>
      <c r="H42" s="45">
        <v>0</v>
      </c>
      <c r="I42" s="45">
        <v>0</v>
      </c>
      <c r="J42" s="45">
        <v>0</v>
      </c>
      <c r="K42" s="45">
        <v>0</v>
      </c>
      <c r="L42" s="45">
        <v>0</v>
      </c>
      <c r="M42" s="45">
        <v>0</v>
      </c>
      <c r="N42" s="45">
        <f t="shared" si="7"/>
        <v>408538</v>
      </c>
      <c r="O42" s="46">
        <f t="shared" si="8"/>
        <v>0.34029491704156711</v>
      </c>
      <c r="P42" s="9"/>
    </row>
    <row r="43" spans="1:16">
      <c r="A43" s="11"/>
      <c r="B43" s="24">
        <v>335.15</v>
      </c>
      <c r="C43" s="19" t="s">
        <v>51</v>
      </c>
      <c r="D43" s="45">
        <v>398635</v>
      </c>
      <c r="E43" s="45">
        <v>0</v>
      </c>
      <c r="F43" s="45">
        <v>0</v>
      </c>
      <c r="G43" s="45">
        <v>0</v>
      </c>
      <c r="H43" s="45">
        <v>0</v>
      </c>
      <c r="I43" s="45">
        <v>0</v>
      </c>
      <c r="J43" s="45">
        <v>0</v>
      </c>
      <c r="K43" s="45">
        <v>0</v>
      </c>
      <c r="L43" s="45">
        <v>0</v>
      </c>
      <c r="M43" s="45">
        <v>0</v>
      </c>
      <c r="N43" s="45">
        <f t="shared" si="7"/>
        <v>398635</v>
      </c>
      <c r="O43" s="46">
        <f t="shared" si="8"/>
        <v>0.33204613586707993</v>
      </c>
      <c r="P43" s="9"/>
    </row>
    <row r="44" spans="1:16">
      <c r="A44" s="11"/>
      <c r="B44" s="24">
        <v>335.16</v>
      </c>
      <c r="C44" s="19" t="s">
        <v>52</v>
      </c>
      <c r="D44" s="45">
        <v>446500</v>
      </c>
      <c r="E44" s="45">
        <v>0</v>
      </c>
      <c r="F44" s="45">
        <v>0</v>
      </c>
      <c r="G44" s="45">
        <v>0</v>
      </c>
      <c r="H44" s="45">
        <v>0</v>
      </c>
      <c r="I44" s="45">
        <v>0</v>
      </c>
      <c r="J44" s="45">
        <v>0</v>
      </c>
      <c r="K44" s="45">
        <v>0</v>
      </c>
      <c r="L44" s="45">
        <v>0</v>
      </c>
      <c r="M44" s="45">
        <v>0</v>
      </c>
      <c r="N44" s="45">
        <f t="shared" si="7"/>
        <v>446500</v>
      </c>
      <c r="O44" s="46">
        <f t="shared" si="8"/>
        <v>0.37191566135600534</v>
      </c>
      <c r="P44" s="9"/>
    </row>
    <row r="45" spans="1:16">
      <c r="A45" s="11"/>
      <c r="B45" s="24">
        <v>335.17</v>
      </c>
      <c r="C45" s="19" t="s">
        <v>53</v>
      </c>
      <c r="D45" s="45">
        <v>16726</v>
      </c>
      <c r="E45" s="45">
        <v>0</v>
      </c>
      <c r="F45" s="45">
        <v>0</v>
      </c>
      <c r="G45" s="45">
        <v>0</v>
      </c>
      <c r="H45" s="45">
        <v>0</v>
      </c>
      <c r="I45" s="45">
        <v>0</v>
      </c>
      <c r="J45" s="45">
        <v>0</v>
      </c>
      <c r="K45" s="45">
        <v>0</v>
      </c>
      <c r="L45" s="45">
        <v>0</v>
      </c>
      <c r="M45" s="45">
        <v>0</v>
      </c>
      <c r="N45" s="45">
        <f t="shared" si="7"/>
        <v>16726</v>
      </c>
      <c r="O45" s="46">
        <f t="shared" si="8"/>
        <v>1.393205229975486E-2</v>
      </c>
      <c r="P45" s="9"/>
    </row>
    <row r="46" spans="1:16">
      <c r="A46" s="11"/>
      <c r="B46" s="24">
        <v>335.18</v>
      </c>
      <c r="C46" s="19" t="s">
        <v>54</v>
      </c>
      <c r="D46" s="45">
        <v>0</v>
      </c>
      <c r="E46" s="45">
        <v>83996790</v>
      </c>
      <c r="F46" s="45">
        <v>0</v>
      </c>
      <c r="G46" s="45">
        <v>0</v>
      </c>
      <c r="H46" s="45">
        <v>0</v>
      </c>
      <c r="I46" s="45">
        <v>0</v>
      </c>
      <c r="J46" s="45">
        <v>0</v>
      </c>
      <c r="K46" s="45">
        <v>0</v>
      </c>
      <c r="L46" s="45">
        <v>0</v>
      </c>
      <c r="M46" s="45">
        <v>0</v>
      </c>
      <c r="N46" s="45">
        <f t="shared" si="7"/>
        <v>83996790</v>
      </c>
      <c r="O46" s="46">
        <f t="shared" si="8"/>
        <v>69.965782093239625</v>
      </c>
      <c r="P46" s="9"/>
    </row>
    <row r="47" spans="1:16">
      <c r="A47" s="11"/>
      <c r="B47" s="24">
        <v>335.21</v>
      </c>
      <c r="C47" s="19" t="s">
        <v>55</v>
      </c>
      <c r="D47" s="45">
        <v>191332</v>
      </c>
      <c r="E47" s="45">
        <v>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f t="shared" si="7"/>
        <v>191332</v>
      </c>
      <c r="O47" s="46">
        <f t="shared" si="8"/>
        <v>0.15937148335625356</v>
      </c>
      <c r="P47" s="9"/>
    </row>
    <row r="48" spans="1:16">
      <c r="A48" s="11"/>
      <c r="B48" s="24">
        <v>335.22</v>
      </c>
      <c r="C48" s="19" t="s">
        <v>56</v>
      </c>
      <c r="D48" s="45">
        <v>0</v>
      </c>
      <c r="E48" s="45">
        <v>6998132</v>
      </c>
      <c r="F48" s="45">
        <v>0</v>
      </c>
      <c r="G48" s="45">
        <v>0</v>
      </c>
      <c r="H48" s="45">
        <v>0</v>
      </c>
      <c r="I48" s="45">
        <v>0</v>
      </c>
      <c r="J48" s="45">
        <v>0</v>
      </c>
      <c r="K48" s="45">
        <v>0</v>
      </c>
      <c r="L48" s="45">
        <v>0</v>
      </c>
      <c r="M48" s="45">
        <v>0</v>
      </c>
      <c r="N48" s="45">
        <f t="shared" si="7"/>
        <v>6998132</v>
      </c>
      <c r="O48" s="46">
        <f t="shared" si="8"/>
        <v>5.8291486921312972</v>
      </c>
      <c r="P48" s="9"/>
    </row>
    <row r="49" spans="1:16">
      <c r="A49" s="11"/>
      <c r="B49" s="24">
        <v>335.29</v>
      </c>
      <c r="C49" s="19" t="s">
        <v>57</v>
      </c>
      <c r="D49" s="45">
        <v>650</v>
      </c>
      <c r="E49" s="45">
        <v>102959</v>
      </c>
      <c r="F49" s="45">
        <v>0</v>
      </c>
      <c r="G49" s="45">
        <v>0</v>
      </c>
      <c r="H49" s="45">
        <v>0</v>
      </c>
      <c r="I49" s="45">
        <v>0</v>
      </c>
      <c r="J49" s="45">
        <v>0</v>
      </c>
      <c r="K49" s="45">
        <v>0</v>
      </c>
      <c r="L49" s="45">
        <v>0</v>
      </c>
      <c r="M49" s="45">
        <v>0</v>
      </c>
      <c r="N49" s="45">
        <f t="shared" si="7"/>
        <v>103609</v>
      </c>
      <c r="O49" s="46">
        <f t="shared" si="8"/>
        <v>8.6301925548565195E-2</v>
      </c>
      <c r="P49" s="9"/>
    </row>
    <row r="50" spans="1:16">
      <c r="A50" s="11"/>
      <c r="B50" s="24">
        <v>335.39</v>
      </c>
      <c r="C50" s="19" t="s">
        <v>58</v>
      </c>
      <c r="D50" s="45">
        <v>0</v>
      </c>
      <c r="E50" s="45">
        <v>1797229</v>
      </c>
      <c r="F50" s="45">
        <v>0</v>
      </c>
      <c r="G50" s="45">
        <v>0</v>
      </c>
      <c r="H50" s="45">
        <v>0</v>
      </c>
      <c r="I50" s="45">
        <v>0</v>
      </c>
      <c r="J50" s="45">
        <v>0</v>
      </c>
      <c r="K50" s="45">
        <v>0</v>
      </c>
      <c r="L50" s="45">
        <v>0</v>
      </c>
      <c r="M50" s="45">
        <v>0</v>
      </c>
      <c r="N50" s="45">
        <f t="shared" si="7"/>
        <v>1797229</v>
      </c>
      <c r="O50" s="46">
        <f t="shared" si="8"/>
        <v>1.497015928652166</v>
      </c>
      <c r="P50" s="9"/>
    </row>
    <row r="51" spans="1:16">
      <c r="A51" s="11"/>
      <c r="B51" s="24">
        <v>335.49</v>
      </c>
      <c r="C51" s="19" t="s">
        <v>59</v>
      </c>
      <c r="D51" s="45">
        <v>0</v>
      </c>
      <c r="E51" s="45">
        <v>16406465</v>
      </c>
      <c r="F51" s="45">
        <v>0</v>
      </c>
      <c r="G51" s="45">
        <v>0</v>
      </c>
      <c r="H51" s="45">
        <v>0</v>
      </c>
      <c r="I51" s="45">
        <v>0</v>
      </c>
      <c r="J51" s="45">
        <v>0</v>
      </c>
      <c r="K51" s="45">
        <v>0</v>
      </c>
      <c r="L51" s="45">
        <v>0</v>
      </c>
      <c r="M51" s="45">
        <v>0</v>
      </c>
      <c r="N51" s="45">
        <f t="shared" si="7"/>
        <v>16406465</v>
      </c>
      <c r="O51" s="46">
        <f t="shared" si="8"/>
        <v>13.665893126515462</v>
      </c>
      <c r="P51" s="9"/>
    </row>
    <row r="52" spans="1:16">
      <c r="A52" s="11"/>
      <c r="B52" s="24">
        <v>335.5</v>
      </c>
      <c r="C52" s="19" t="s">
        <v>60</v>
      </c>
      <c r="D52" s="45">
        <v>0</v>
      </c>
      <c r="E52" s="45">
        <v>7605645</v>
      </c>
      <c r="F52" s="45">
        <v>0</v>
      </c>
      <c r="G52" s="45">
        <v>0</v>
      </c>
      <c r="H52" s="45">
        <v>0</v>
      </c>
      <c r="I52" s="45">
        <v>0</v>
      </c>
      <c r="J52" s="45">
        <v>0</v>
      </c>
      <c r="K52" s="45">
        <v>0</v>
      </c>
      <c r="L52" s="45">
        <v>0</v>
      </c>
      <c r="M52" s="45">
        <v>0</v>
      </c>
      <c r="N52" s="45">
        <f t="shared" si="7"/>
        <v>7605645</v>
      </c>
      <c r="O52" s="46">
        <f t="shared" si="8"/>
        <v>6.3351813890570998</v>
      </c>
      <c r="P52" s="9"/>
    </row>
    <row r="53" spans="1:16">
      <c r="A53" s="11"/>
      <c r="B53" s="24">
        <v>335.69</v>
      </c>
      <c r="C53" s="19" t="s">
        <v>61</v>
      </c>
      <c r="D53" s="45">
        <v>45994</v>
      </c>
      <c r="E53" s="45">
        <v>0</v>
      </c>
      <c r="F53" s="45">
        <v>0</v>
      </c>
      <c r="G53" s="45">
        <v>0</v>
      </c>
      <c r="H53" s="45">
        <v>0</v>
      </c>
      <c r="I53" s="45">
        <v>0</v>
      </c>
      <c r="J53" s="45">
        <v>-34000</v>
      </c>
      <c r="K53" s="45">
        <v>0</v>
      </c>
      <c r="L53" s="45">
        <v>0</v>
      </c>
      <c r="M53" s="45">
        <v>0</v>
      </c>
      <c r="N53" s="45">
        <f t="shared" si="7"/>
        <v>11994</v>
      </c>
      <c r="O53" s="46">
        <f t="shared" si="8"/>
        <v>9.9904959514085737E-3</v>
      </c>
      <c r="P53" s="9"/>
    </row>
    <row r="54" spans="1:16">
      <c r="A54" s="11"/>
      <c r="B54" s="24">
        <v>335.7</v>
      </c>
      <c r="C54" s="19" t="s">
        <v>62</v>
      </c>
      <c r="D54" s="45">
        <v>0</v>
      </c>
      <c r="E54" s="45">
        <v>2282910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f t="shared" si="7"/>
        <v>2282910</v>
      </c>
      <c r="O54" s="46">
        <f t="shared" si="8"/>
        <v>1.9015677098907908</v>
      </c>
      <c r="P54" s="9"/>
    </row>
    <row r="55" spans="1:16">
      <c r="A55" s="11"/>
      <c r="B55" s="24">
        <v>337.1</v>
      </c>
      <c r="C55" s="19" t="s">
        <v>64</v>
      </c>
      <c r="D55" s="45">
        <v>0</v>
      </c>
      <c r="E55" s="45">
        <v>91387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f t="shared" ref="N55:N62" si="9">SUM(D55:M55)</f>
        <v>91387</v>
      </c>
      <c r="O55" s="46">
        <f t="shared" si="8"/>
        <v>7.6121515216889715E-2</v>
      </c>
      <c r="P55" s="9"/>
    </row>
    <row r="56" spans="1:16">
      <c r="A56" s="11"/>
      <c r="B56" s="24">
        <v>337.2</v>
      </c>
      <c r="C56" s="19" t="s">
        <v>65</v>
      </c>
      <c r="D56" s="45">
        <v>0</v>
      </c>
      <c r="E56" s="45">
        <v>90699</v>
      </c>
      <c r="F56" s="45">
        <v>0</v>
      </c>
      <c r="G56" s="45">
        <v>0</v>
      </c>
      <c r="H56" s="45">
        <v>0</v>
      </c>
      <c r="I56" s="45">
        <v>0</v>
      </c>
      <c r="J56" s="45">
        <v>0</v>
      </c>
      <c r="K56" s="45">
        <v>0</v>
      </c>
      <c r="L56" s="45">
        <v>0</v>
      </c>
      <c r="M56" s="45">
        <v>0</v>
      </c>
      <c r="N56" s="45">
        <f t="shared" si="9"/>
        <v>90699</v>
      </c>
      <c r="O56" s="46">
        <f t="shared" si="8"/>
        <v>7.5548440244856283E-2</v>
      </c>
      <c r="P56" s="9"/>
    </row>
    <row r="57" spans="1:16">
      <c r="A57" s="11"/>
      <c r="B57" s="24">
        <v>337.3</v>
      </c>
      <c r="C57" s="19" t="s">
        <v>66</v>
      </c>
      <c r="D57" s="45">
        <v>0</v>
      </c>
      <c r="E57" s="45">
        <v>549664</v>
      </c>
      <c r="F57" s="45">
        <v>0</v>
      </c>
      <c r="G57" s="45">
        <v>0</v>
      </c>
      <c r="H57" s="45">
        <v>0</v>
      </c>
      <c r="I57" s="45">
        <v>0</v>
      </c>
      <c r="J57" s="45">
        <v>0</v>
      </c>
      <c r="K57" s="45">
        <v>0</v>
      </c>
      <c r="L57" s="45">
        <v>0</v>
      </c>
      <c r="M57" s="45">
        <v>0</v>
      </c>
      <c r="N57" s="45">
        <f t="shared" si="9"/>
        <v>549664</v>
      </c>
      <c r="O57" s="46">
        <f t="shared" si="8"/>
        <v>0.45784692067992677</v>
      </c>
      <c r="P57" s="9"/>
    </row>
    <row r="58" spans="1:16">
      <c r="A58" s="11"/>
      <c r="B58" s="24">
        <v>337.5</v>
      </c>
      <c r="C58" s="19" t="s">
        <v>67</v>
      </c>
      <c r="D58" s="45">
        <v>0</v>
      </c>
      <c r="E58" s="45">
        <v>434026</v>
      </c>
      <c r="F58" s="45">
        <v>0</v>
      </c>
      <c r="G58" s="45">
        <v>0</v>
      </c>
      <c r="H58" s="45">
        <v>0</v>
      </c>
      <c r="I58" s="45">
        <v>0</v>
      </c>
      <c r="J58" s="45">
        <v>0</v>
      </c>
      <c r="K58" s="45">
        <v>0</v>
      </c>
      <c r="L58" s="45">
        <v>0</v>
      </c>
      <c r="M58" s="45">
        <v>0</v>
      </c>
      <c r="N58" s="45">
        <f t="shared" si="9"/>
        <v>434026</v>
      </c>
      <c r="O58" s="46">
        <f t="shared" si="8"/>
        <v>0.36152534565666644</v>
      </c>
      <c r="P58" s="9"/>
    </row>
    <row r="59" spans="1:16">
      <c r="A59" s="11"/>
      <c r="B59" s="24">
        <v>337.7</v>
      </c>
      <c r="C59" s="19" t="s">
        <v>68</v>
      </c>
      <c r="D59" s="45">
        <v>0</v>
      </c>
      <c r="E59" s="45">
        <v>152932</v>
      </c>
      <c r="F59" s="45">
        <v>0</v>
      </c>
      <c r="G59" s="45">
        <v>0</v>
      </c>
      <c r="H59" s="45">
        <v>0</v>
      </c>
      <c r="I59" s="45">
        <v>0</v>
      </c>
      <c r="J59" s="45">
        <v>0</v>
      </c>
      <c r="K59" s="45">
        <v>0</v>
      </c>
      <c r="L59" s="45">
        <v>0</v>
      </c>
      <c r="M59" s="45">
        <v>0</v>
      </c>
      <c r="N59" s="45">
        <f t="shared" si="9"/>
        <v>152932</v>
      </c>
      <c r="O59" s="46">
        <f t="shared" si="8"/>
        <v>0.12738590352182891</v>
      </c>
      <c r="P59" s="9"/>
    </row>
    <row r="60" spans="1:16">
      <c r="A60" s="11"/>
      <c r="B60" s="24">
        <v>337.9</v>
      </c>
      <c r="C60" s="19" t="s">
        <v>69</v>
      </c>
      <c r="D60" s="45">
        <v>0</v>
      </c>
      <c r="E60" s="45">
        <v>60844</v>
      </c>
      <c r="F60" s="45">
        <v>0</v>
      </c>
      <c r="G60" s="45">
        <v>0</v>
      </c>
      <c r="H60" s="45">
        <v>0</v>
      </c>
      <c r="I60" s="45">
        <v>0</v>
      </c>
      <c r="J60" s="45">
        <v>0</v>
      </c>
      <c r="K60" s="45">
        <v>0</v>
      </c>
      <c r="L60" s="45">
        <v>0</v>
      </c>
      <c r="M60" s="45">
        <v>0</v>
      </c>
      <c r="N60" s="45">
        <f t="shared" si="9"/>
        <v>60844</v>
      </c>
      <c r="O60" s="46">
        <f t="shared" si="8"/>
        <v>5.0680484881399306E-2</v>
      </c>
      <c r="P60" s="9"/>
    </row>
    <row r="61" spans="1:16" ht="15.75">
      <c r="A61" s="28" t="s">
        <v>75</v>
      </c>
      <c r="B61" s="29"/>
      <c r="C61" s="30"/>
      <c r="D61" s="31">
        <f t="shared" ref="D61:M61" si="10">SUM(D62:D115)</f>
        <v>66305291</v>
      </c>
      <c r="E61" s="31">
        <f t="shared" si="10"/>
        <v>92996331</v>
      </c>
      <c r="F61" s="31">
        <f t="shared" si="10"/>
        <v>400684</v>
      </c>
      <c r="G61" s="31">
        <f t="shared" si="10"/>
        <v>0</v>
      </c>
      <c r="H61" s="31">
        <f t="shared" si="10"/>
        <v>0</v>
      </c>
      <c r="I61" s="31">
        <f t="shared" si="10"/>
        <v>272681000</v>
      </c>
      <c r="J61" s="31">
        <f t="shared" si="10"/>
        <v>145720000</v>
      </c>
      <c r="K61" s="31">
        <f t="shared" si="10"/>
        <v>0</v>
      </c>
      <c r="L61" s="31">
        <f t="shared" si="10"/>
        <v>0</v>
      </c>
      <c r="M61" s="31">
        <f t="shared" si="10"/>
        <v>2224000</v>
      </c>
      <c r="N61" s="31">
        <f t="shared" si="9"/>
        <v>580327306</v>
      </c>
      <c r="O61" s="44">
        <f t="shared" si="8"/>
        <v>483.38816083748912</v>
      </c>
      <c r="P61" s="10"/>
    </row>
    <row r="62" spans="1:16">
      <c r="A62" s="11"/>
      <c r="B62" s="24">
        <v>341.1</v>
      </c>
      <c r="C62" s="19" t="s">
        <v>78</v>
      </c>
      <c r="D62" s="45">
        <v>0</v>
      </c>
      <c r="E62" s="45">
        <v>5175454</v>
      </c>
      <c r="F62" s="45">
        <v>0</v>
      </c>
      <c r="G62" s="45">
        <v>0</v>
      </c>
      <c r="H62" s="45">
        <v>0</v>
      </c>
      <c r="I62" s="45">
        <v>0</v>
      </c>
      <c r="J62" s="45">
        <v>0</v>
      </c>
      <c r="K62" s="45">
        <v>0</v>
      </c>
      <c r="L62" s="45">
        <v>0</v>
      </c>
      <c r="M62" s="45">
        <v>0</v>
      </c>
      <c r="N62" s="45">
        <f t="shared" si="9"/>
        <v>5175454</v>
      </c>
      <c r="O62" s="46">
        <f t="shared" si="8"/>
        <v>4.3109348202185513</v>
      </c>
      <c r="P62" s="9"/>
    </row>
    <row r="63" spans="1:16">
      <c r="A63" s="11"/>
      <c r="B63" s="24">
        <v>341.15</v>
      </c>
      <c r="C63" s="19" t="s">
        <v>79</v>
      </c>
      <c r="D63" s="45">
        <v>0</v>
      </c>
      <c r="E63" s="45">
        <v>3779902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0</v>
      </c>
      <c r="N63" s="45">
        <f t="shared" ref="N63:N115" si="11">SUM(D63:M63)</f>
        <v>3779902</v>
      </c>
      <c r="O63" s="46">
        <f t="shared" si="8"/>
        <v>3.1484988850859739</v>
      </c>
      <c r="P63" s="9"/>
    </row>
    <row r="64" spans="1:16">
      <c r="A64" s="11"/>
      <c r="B64" s="24">
        <v>341.2</v>
      </c>
      <c r="C64" s="19" t="s">
        <v>81</v>
      </c>
      <c r="D64" s="45">
        <v>0</v>
      </c>
      <c r="E64" s="45">
        <v>0</v>
      </c>
      <c r="F64" s="45">
        <v>0</v>
      </c>
      <c r="G64" s="45">
        <v>0</v>
      </c>
      <c r="H64" s="45">
        <v>0</v>
      </c>
      <c r="I64" s="45">
        <v>0</v>
      </c>
      <c r="J64" s="45">
        <v>145720000</v>
      </c>
      <c r="K64" s="45">
        <v>0</v>
      </c>
      <c r="L64" s="45">
        <v>0</v>
      </c>
      <c r="M64" s="45">
        <v>0</v>
      </c>
      <c r="N64" s="45">
        <f t="shared" si="11"/>
        <v>145720000</v>
      </c>
      <c r="O64" s="46">
        <f t="shared" si="8"/>
        <v>121.37861180917604</v>
      </c>
      <c r="P64" s="9"/>
    </row>
    <row r="65" spans="1:16">
      <c r="A65" s="11"/>
      <c r="B65" s="24">
        <v>341.3</v>
      </c>
      <c r="C65" s="19" t="s">
        <v>82</v>
      </c>
      <c r="D65" s="45">
        <v>7960</v>
      </c>
      <c r="E65" s="45">
        <v>20397</v>
      </c>
      <c r="F65" s="45">
        <v>0</v>
      </c>
      <c r="G65" s="45">
        <v>0</v>
      </c>
      <c r="H65" s="45">
        <v>0</v>
      </c>
      <c r="I65" s="45">
        <v>0</v>
      </c>
      <c r="J65" s="45">
        <v>0</v>
      </c>
      <c r="K65" s="45">
        <v>0</v>
      </c>
      <c r="L65" s="45">
        <v>0</v>
      </c>
      <c r="M65" s="45">
        <v>0</v>
      </c>
      <c r="N65" s="45">
        <f t="shared" si="11"/>
        <v>28357</v>
      </c>
      <c r="O65" s="46">
        <f t="shared" si="8"/>
        <v>2.3620184566791137E-2</v>
      </c>
      <c r="P65" s="9"/>
    </row>
    <row r="66" spans="1:16">
      <c r="A66" s="11"/>
      <c r="B66" s="24">
        <v>341.52</v>
      </c>
      <c r="C66" s="19" t="s">
        <v>83</v>
      </c>
      <c r="D66" s="45">
        <v>2065252</v>
      </c>
      <c r="E66" s="45">
        <v>0</v>
      </c>
      <c r="F66" s="45">
        <v>0</v>
      </c>
      <c r="G66" s="45">
        <v>0</v>
      </c>
      <c r="H66" s="45">
        <v>0</v>
      </c>
      <c r="I66" s="45">
        <v>0</v>
      </c>
      <c r="J66" s="45">
        <v>0</v>
      </c>
      <c r="K66" s="45">
        <v>0</v>
      </c>
      <c r="L66" s="45">
        <v>0</v>
      </c>
      <c r="M66" s="45">
        <v>0</v>
      </c>
      <c r="N66" s="45">
        <f t="shared" si="11"/>
        <v>2065252</v>
      </c>
      <c r="O66" s="46">
        <f t="shared" si="8"/>
        <v>1.7202677792761762</v>
      </c>
      <c r="P66" s="9"/>
    </row>
    <row r="67" spans="1:16">
      <c r="A67" s="11"/>
      <c r="B67" s="24">
        <v>341.55</v>
      </c>
      <c r="C67" s="19" t="s">
        <v>84</v>
      </c>
      <c r="D67" s="45">
        <v>7600</v>
      </c>
      <c r="E67" s="45">
        <v>0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>
        <v>0</v>
      </c>
      <c r="N67" s="45">
        <f t="shared" si="11"/>
        <v>7600</v>
      </c>
      <c r="O67" s="46">
        <f t="shared" si="8"/>
        <v>6.3304793422298781E-3</v>
      </c>
      <c r="P67" s="9"/>
    </row>
    <row r="68" spans="1:16">
      <c r="A68" s="11"/>
      <c r="B68" s="24">
        <v>341.8</v>
      </c>
      <c r="C68" s="19" t="s">
        <v>85</v>
      </c>
      <c r="D68" s="45">
        <v>0</v>
      </c>
      <c r="E68" s="45">
        <v>34545095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</v>
      </c>
      <c r="L68" s="45">
        <v>0</v>
      </c>
      <c r="M68" s="45">
        <v>0</v>
      </c>
      <c r="N68" s="45">
        <f t="shared" si="11"/>
        <v>34545095</v>
      </c>
      <c r="O68" s="46">
        <f t="shared" si="8"/>
        <v>28.774606614851137</v>
      </c>
      <c r="P68" s="9"/>
    </row>
    <row r="69" spans="1:16">
      <c r="A69" s="11"/>
      <c r="B69" s="24">
        <v>341.9</v>
      </c>
      <c r="C69" s="19" t="s">
        <v>86</v>
      </c>
      <c r="D69" s="45">
        <v>41361779</v>
      </c>
      <c r="E69" s="45">
        <v>5220220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5">
        <v>0</v>
      </c>
      <c r="L69" s="45">
        <v>0</v>
      </c>
      <c r="M69" s="45">
        <v>1010251</v>
      </c>
      <c r="N69" s="45">
        <f t="shared" si="11"/>
        <v>47592250</v>
      </c>
      <c r="O69" s="46">
        <f t="shared" ref="O69:O100" si="12">(N69/O$149)</f>
        <v>39.642336246742097</v>
      </c>
      <c r="P69" s="9"/>
    </row>
    <row r="70" spans="1:16">
      <c r="A70" s="11"/>
      <c r="B70" s="24">
        <v>342.1</v>
      </c>
      <c r="C70" s="19" t="s">
        <v>87</v>
      </c>
      <c r="D70" s="45">
        <v>2558357</v>
      </c>
      <c r="E70" s="45">
        <v>0</v>
      </c>
      <c r="F70" s="45">
        <v>0</v>
      </c>
      <c r="G70" s="45">
        <v>0</v>
      </c>
      <c r="H70" s="45">
        <v>0</v>
      </c>
      <c r="I70" s="45">
        <v>0</v>
      </c>
      <c r="J70" s="45">
        <v>0</v>
      </c>
      <c r="K70" s="45">
        <v>0</v>
      </c>
      <c r="L70" s="45">
        <v>0</v>
      </c>
      <c r="M70" s="45">
        <v>0</v>
      </c>
      <c r="N70" s="45">
        <f t="shared" si="11"/>
        <v>2558357</v>
      </c>
      <c r="O70" s="46">
        <f t="shared" si="12"/>
        <v>2.1310034392827899</v>
      </c>
      <c r="P70" s="9"/>
    </row>
    <row r="71" spans="1:16">
      <c r="A71" s="11"/>
      <c r="B71" s="24">
        <v>342.2</v>
      </c>
      <c r="C71" s="19" t="s">
        <v>88</v>
      </c>
      <c r="D71" s="45">
        <v>2030581</v>
      </c>
      <c r="E71" s="45">
        <v>0</v>
      </c>
      <c r="F71" s="45">
        <v>0</v>
      </c>
      <c r="G71" s="45">
        <v>0</v>
      </c>
      <c r="H71" s="45">
        <v>0</v>
      </c>
      <c r="I71" s="45">
        <v>0</v>
      </c>
      <c r="J71" s="45">
        <v>0</v>
      </c>
      <c r="K71" s="45">
        <v>0</v>
      </c>
      <c r="L71" s="45">
        <v>0</v>
      </c>
      <c r="M71" s="45">
        <v>0</v>
      </c>
      <c r="N71" s="45">
        <f t="shared" si="11"/>
        <v>2030581</v>
      </c>
      <c r="O71" s="46">
        <f t="shared" si="12"/>
        <v>1.6913882991084852</v>
      </c>
      <c r="P71" s="9"/>
    </row>
    <row r="72" spans="1:16">
      <c r="A72" s="11"/>
      <c r="B72" s="24">
        <v>342.3</v>
      </c>
      <c r="C72" s="19" t="s">
        <v>89</v>
      </c>
      <c r="D72" s="45">
        <v>115000</v>
      </c>
      <c r="E72" s="45">
        <v>0</v>
      </c>
      <c r="F72" s="45">
        <v>0</v>
      </c>
      <c r="G72" s="45">
        <v>0</v>
      </c>
      <c r="H72" s="45">
        <v>0</v>
      </c>
      <c r="I72" s="45">
        <v>0</v>
      </c>
      <c r="J72" s="45">
        <v>0</v>
      </c>
      <c r="K72" s="45">
        <v>0</v>
      </c>
      <c r="L72" s="45">
        <v>0</v>
      </c>
      <c r="M72" s="45">
        <v>0</v>
      </c>
      <c r="N72" s="45">
        <f t="shared" si="11"/>
        <v>115000</v>
      </c>
      <c r="O72" s="46">
        <f t="shared" si="12"/>
        <v>9.5790147941636317E-2</v>
      </c>
      <c r="P72" s="9"/>
    </row>
    <row r="73" spans="1:16">
      <c r="A73" s="11"/>
      <c r="B73" s="24">
        <v>342.5</v>
      </c>
      <c r="C73" s="19" t="s">
        <v>90</v>
      </c>
      <c r="D73" s="45">
        <v>133641</v>
      </c>
      <c r="E73" s="45">
        <v>0</v>
      </c>
      <c r="F73" s="45">
        <v>0</v>
      </c>
      <c r="G73" s="45">
        <v>0</v>
      </c>
      <c r="H73" s="45">
        <v>0</v>
      </c>
      <c r="I73" s="45">
        <v>0</v>
      </c>
      <c r="J73" s="45">
        <v>0</v>
      </c>
      <c r="K73" s="45">
        <v>0</v>
      </c>
      <c r="L73" s="45">
        <v>0</v>
      </c>
      <c r="M73" s="45">
        <v>0</v>
      </c>
      <c r="N73" s="45">
        <f t="shared" si="11"/>
        <v>133641</v>
      </c>
      <c r="O73" s="46">
        <f t="shared" si="12"/>
        <v>0.11131731444407146</v>
      </c>
      <c r="P73" s="9"/>
    </row>
    <row r="74" spans="1:16">
      <c r="A74" s="11"/>
      <c r="B74" s="24">
        <v>342.6</v>
      </c>
      <c r="C74" s="19" t="s">
        <v>91</v>
      </c>
      <c r="D74" s="45">
        <v>9193618</v>
      </c>
      <c r="E74" s="45">
        <v>0</v>
      </c>
      <c r="F74" s="45">
        <v>0</v>
      </c>
      <c r="G74" s="45">
        <v>0</v>
      </c>
      <c r="H74" s="45">
        <v>0</v>
      </c>
      <c r="I74" s="45">
        <v>0</v>
      </c>
      <c r="J74" s="45">
        <v>0</v>
      </c>
      <c r="K74" s="45">
        <v>0</v>
      </c>
      <c r="L74" s="45">
        <v>0</v>
      </c>
      <c r="M74" s="45">
        <v>0</v>
      </c>
      <c r="N74" s="45">
        <f t="shared" si="11"/>
        <v>9193618</v>
      </c>
      <c r="O74" s="46">
        <f t="shared" si="12"/>
        <v>7.6578958985990484</v>
      </c>
      <c r="P74" s="9"/>
    </row>
    <row r="75" spans="1:16">
      <c r="A75" s="11"/>
      <c r="B75" s="24">
        <v>342.9</v>
      </c>
      <c r="C75" s="19" t="s">
        <v>92</v>
      </c>
      <c r="D75" s="45">
        <v>322748</v>
      </c>
      <c r="E75" s="45">
        <v>272819</v>
      </c>
      <c r="F75" s="45">
        <v>0</v>
      </c>
      <c r="G75" s="45">
        <v>0</v>
      </c>
      <c r="H75" s="45">
        <v>0</v>
      </c>
      <c r="I75" s="45">
        <v>0</v>
      </c>
      <c r="J75" s="45">
        <v>0</v>
      </c>
      <c r="K75" s="45">
        <v>0</v>
      </c>
      <c r="L75" s="45">
        <v>0</v>
      </c>
      <c r="M75" s="45">
        <v>0</v>
      </c>
      <c r="N75" s="45">
        <f t="shared" si="11"/>
        <v>595567</v>
      </c>
      <c r="O75" s="46">
        <f t="shared" si="12"/>
        <v>0.4960821829491871</v>
      </c>
      <c r="P75" s="9"/>
    </row>
    <row r="76" spans="1:16">
      <c r="A76" s="11"/>
      <c r="B76" s="24">
        <v>343.4</v>
      </c>
      <c r="C76" s="19" t="s">
        <v>93</v>
      </c>
      <c r="D76" s="45">
        <v>0</v>
      </c>
      <c r="E76" s="45">
        <v>0</v>
      </c>
      <c r="F76" s="45">
        <v>0</v>
      </c>
      <c r="G76" s="45">
        <v>0</v>
      </c>
      <c r="H76" s="45">
        <v>0</v>
      </c>
      <c r="I76" s="45">
        <v>91966000</v>
      </c>
      <c r="J76" s="45">
        <v>0</v>
      </c>
      <c r="K76" s="45">
        <v>0</v>
      </c>
      <c r="L76" s="45">
        <v>0</v>
      </c>
      <c r="M76" s="45">
        <v>0</v>
      </c>
      <c r="N76" s="45">
        <f t="shared" si="11"/>
        <v>91966000</v>
      </c>
      <c r="O76" s="46">
        <f t="shared" si="12"/>
        <v>76.603797787830658</v>
      </c>
      <c r="P76" s="9"/>
    </row>
    <row r="77" spans="1:16">
      <c r="A77" s="11"/>
      <c r="B77" s="24">
        <v>343.6</v>
      </c>
      <c r="C77" s="19" t="s">
        <v>94</v>
      </c>
      <c r="D77" s="45">
        <v>0</v>
      </c>
      <c r="E77" s="45">
        <v>-4050</v>
      </c>
      <c r="F77" s="45">
        <v>0</v>
      </c>
      <c r="G77" s="45">
        <v>0</v>
      </c>
      <c r="H77" s="45">
        <v>0</v>
      </c>
      <c r="I77" s="45">
        <v>180715000</v>
      </c>
      <c r="J77" s="45">
        <v>0</v>
      </c>
      <c r="K77" s="45">
        <v>0</v>
      </c>
      <c r="L77" s="45">
        <v>0</v>
      </c>
      <c r="M77" s="45">
        <v>0</v>
      </c>
      <c r="N77" s="45">
        <f t="shared" si="11"/>
        <v>180710950</v>
      </c>
      <c r="O77" s="46">
        <f t="shared" si="12"/>
        <v>150.52459682759689</v>
      </c>
      <c r="P77" s="9"/>
    </row>
    <row r="78" spans="1:16">
      <c r="A78" s="11"/>
      <c r="B78" s="24">
        <v>343.7</v>
      </c>
      <c r="C78" s="19" t="s">
        <v>95</v>
      </c>
      <c r="D78" s="45">
        <v>2194736</v>
      </c>
      <c r="E78" s="45">
        <v>266448</v>
      </c>
      <c r="F78" s="45">
        <v>0</v>
      </c>
      <c r="G78" s="45">
        <v>0</v>
      </c>
      <c r="H78" s="45">
        <v>0</v>
      </c>
      <c r="I78" s="45">
        <v>0</v>
      </c>
      <c r="J78" s="45">
        <v>0</v>
      </c>
      <c r="K78" s="45">
        <v>0</v>
      </c>
      <c r="L78" s="45">
        <v>0</v>
      </c>
      <c r="M78" s="45">
        <v>0</v>
      </c>
      <c r="N78" s="45">
        <f t="shared" si="11"/>
        <v>2461184</v>
      </c>
      <c r="O78" s="46">
        <f t="shared" si="12"/>
        <v>2.0500624301877237</v>
      </c>
      <c r="P78" s="9"/>
    </row>
    <row r="79" spans="1:16">
      <c r="A79" s="11"/>
      <c r="B79" s="24">
        <v>343.9</v>
      </c>
      <c r="C79" s="19" t="s">
        <v>96</v>
      </c>
      <c r="D79" s="45">
        <v>1790282</v>
      </c>
      <c r="E79" s="45">
        <v>441526</v>
      </c>
      <c r="F79" s="45">
        <v>0</v>
      </c>
      <c r="G79" s="45">
        <v>0</v>
      </c>
      <c r="H79" s="45">
        <v>0</v>
      </c>
      <c r="I79" s="45">
        <v>0</v>
      </c>
      <c r="J79" s="45">
        <v>0</v>
      </c>
      <c r="K79" s="45">
        <v>0</v>
      </c>
      <c r="L79" s="45">
        <v>0</v>
      </c>
      <c r="M79" s="45">
        <v>0</v>
      </c>
      <c r="N79" s="45">
        <f t="shared" si="11"/>
        <v>2231808</v>
      </c>
      <c r="O79" s="46">
        <f t="shared" si="12"/>
        <v>1.8590018999767606</v>
      </c>
      <c r="P79" s="9"/>
    </row>
    <row r="80" spans="1:16">
      <c r="A80" s="11"/>
      <c r="B80" s="24">
        <v>344.5</v>
      </c>
      <c r="C80" s="19" t="s">
        <v>97</v>
      </c>
      <c r="D80" s="45">
        <v>855355</v>
      </c>
      <c r="E80" s="45">
        <v>0</v>
      </c>
      <c r="F80" s="45">
        <v>0</v>
      </c>
      <c r="G80" s="45">
        <v>0</v>
      </c>
      <c r="H80" s="45">
        <v>0</v>
      </c>
      <c r="I80" s="45">
        <v>0</v>
      </c>
      <c r="J80" s="45">
        <v>0</v>
      </c>
      <c r="K80" s="45">
        <v>0</v>
      </c>
      <c r="L80" s="45">
        <v>0</v>
      </c>
      <c r="M80" s="45">
        <v>0</v>
      </c>
      <c r="N80" s="45">
        <f t="shared" si="11"/>
        <v>855355</v>
      </c>
      <c r="O80" s="46">
        <f t="shared" si="12"/>
        <v>0.71247462602276812</v>
      </c>
      <c r="P80" s="9"/>
    </row>
    <row r="81" spans="1:16">
      <c r="A81" s="11"/>
      <c r="B81" s="24">
        <v>344.9</v>
      </c>
      <c r="C81" s="19" t="s">
        <v>98</v>
      </c>
      <c r="D81" s="45">
        <v>1287400</v>
      </c>
      <c r="E81" s="45">
        <v>2137135</v>
      </c>
      <c r="F81" s="45">
        <v>0</v>
      </c>
      <c r="G81" s="45">
        <v>0</v>
      </c>
      <c r="H81" s="45">
        <v>0</v>
      </c>
      <c r="I81" s="45">
        <v>0</v>
      </c>
      <c r="J81" s="45">
        <v>0</v>
      </c>
      <c r="K81" s="45">
        <v>0</v>
      </c>
      <c r="L81" s="45">
        <v>0</v>
      </c>
      <c r="M81" s="45">
        <v>0</v>
      </c>
      <c r="N81" s="45">
        <f t="shared" si="11"/>
        <v>3424535</v>
      </c>
      <c r="O81" s="46">
        <f t="shared" si="12"/>
        <v>2.8524931676635785</v>
      </c>
      <c r="P81" s="9"/>
    </row>
    <row r="82" spans="1:16">
      <c r="A82" s="11"/>
      <c r="B82" s="24">
        <v>345.1</v>
      </c>
      <c r="C82" s="19" t="s">
        <v>99</v>
      </c>
      <c r="D82" s="45">
        <v>0</v>
      </c>
      <c r="E82" s="45">
        <v>-5276</v>
      </c>
      <c r="F82" s="45">
        <v>0</v>
      </c>
      <c r="G82" s="45">
        <v>0</v>
      </c>
      <c r="H82" s="45">
        <v>0</v>
      </c>
      <c r="I82" s="45">
        <v>0</v>
      </c>
      <c r="J82" s="45">
        <v>0</v>
      </c>
      <c r="K82" s="45">
        <v>0</v>
      </c>
      <c r="L82" s="45">
        <v>0</v>
      </c>
      <c r="M82" s="45">
        <v>694000</v>
      </c>
      <c r="N82" s="45">
        <f t="shared" si="11"/>
        <v>688724</v>
      </c>
      <c r="O82" s="46">
        <f t="shared" si="12"/>
        <v>0.57367803348656976</v>
      </c>
      <c r="P82" s="9"/>
    </row>
    <row r="83" spans="1:16">
      <c r="A83" s="11"/>
      <c r="B83" s="24">
        <v>345.9</v>
      </c>
      <c r="C83" s="19" t="s">
        <v>100</v>
      </c>
      <c r="D83" s="45">
        <v>18001</v>
      </c>
      <c r="E83" s="45">
        <v>1182509</v>
      </c>
      <c r="F83" s="45">
        <v>0</v>
      </c>
      <c r="G83" s="45">
        <v>0</v>
      </c>
      <c r="H83" s="45">
        <v>0</v>
      </c>
      <c r="I83" s="45">
        <v>0</v>
      </c>
      <c r="J83" s="45">
        <v>0</v>
      </c>
      <c r="K83" s="45">
        <v>0</v>
      </c>
      <c r="L83" s="45">
        <v>0</v>
      </c>
      <c r="M83" s="45">
        <v>0</v>
      </c>
      <c r="N83" s="45">
        <f t="shared" si="11"/>
        <v>1200510</v>
      </c>
      <c r="O83" s="46">
        <f t="shared" si="12"/>
        <v>0.99997417830794622</v>
      </c>
      <c r="P83" s="9"/>
    </row>
    <row r="84" spans="1:16">
      <c r="A84" s="11"/>
      <c r="B84" s="24">
        <v>346.4</v>
      </c>
      <c r="C84" s="19" t="s">
        <v>101</v>
      </c>
      <c r="D84" s="45">
        <v>277215</v>
      </c>
      <c r="E84" s="45">
        <v>0</v>
      </c>
      <c r="F84" s="45">
        <v>0</v>
      </c>
      <c r="G84" s="45">
        <v>0</v>
      </c>
      <c r="H84" s="45">
        <v>0</v>
      </c>
      <c r="I84" s="45">
        <v>0</v>
      </c>
      <c r="J84" s="45">
        <v>0</v>
      </c>
      <c r="K84" s="45">
        <v>0</v>
      </c>
      <c r="L84" s="45">
        <v>0</v>
      </c>
      <c r="M84" s="45">
        <v>0</v>
      </c>
      <c r="N84" s="45">
        <f t="shared" si="11"/>
        <v>277215</v>
      </c>
      <c r="O84" s="46">
        <f t="shared" si="12"/>
        <v>0.23090839879687575</v>
      </c>
      <c r="P84" s="9"/>
    </row>
    <row r="85" spans="1:16">
      <c r="A85" s="11"/>
      <c r="B85" s="24">
        <v>346.9</v>
      </c>
      <c r="C85" s="19" t="s">
        <v>102</v>
      </c>
      <c r="D85" s="45">
        <v>257543</v>
      </c>
      <c r="E85" s="45">
        <v>1377138</v>
      </c>
      <c r="F85" s="45">
        <v>0</v>
      </c>
      <c r="G85" s="45">
        <v>0</v>
      </c>
      <c r="H85" s="45">
        <v>0</v>
      </c>
      <c r="I85" s="45">
        <v>0</v>
      </c>
      <c r="J85" s="45">
        <v>0</v>
      </c>
      <c r="K85" s="45">
        <v>0</v>
      </c>
      <c r="L85" s="45">
        <v>0</v>
      </c>
      <c r="M85" s="45">
        <v>0</v>
      </c>
      <c r="N85" s="45">
        <f t="shared" si="11"/>
        <v>1634681</v>
      </c>
      <c r="O85" s="46">
        <f t="shared" si="12"/>
        <v>1.3616203028467999</v>
      </c>
      <c r="P85" s="9"/>
    </row>
    <row r="86" spans="1:16">
      <c r="A86" s="11"/>
      <c r="B86" s="24">
        <v>347.1</v>
      </c>
      <c r="C86" s="19" t="s">
        <v>103</v>
      </c>
      <c r="D86" s="45">
        <v>0</v>
      </c>
      <c r="E86" s="45">
        <v>37308</v>
      </c>
      <c r="F86" s="45">
        <v>0</v>
      </c>
      <c r="G86" s="45">
        <v>0</v>
      </c>
      <c r="H86" s="45">
        <v>0</v>
      </c>
      <c r="I86" s="45">
        <v>0</v>
      </c>
      <c r="J86" s="45">
        <v>0</v>
      </c>
      <c r="K86" s="45">
        <v>0</v>
      </c>
      <c r="L86" s="45">
        <v>0</v>
      </c>
      <c r="M86" s="45">
        <v>0</v>
      </c>
      <c r="N86" s="45">
        <f t="shared" si="11"/>
        <v>37308</v>
      </c>
      <c r="O86" s="46">
        <f t="shared" si="12"/>
        <v>3.1075989907883197E-2</v>
      </c>
      <c r="P86" s="9"/>
    </row>
    <row r="87" spans="1:16">
      <c r="A87" s="11"/>
      <c r="B87" s="24">
        <v>347.2</v>
      </c>
      <c r="C87" s="19" t="s">
        <v>104</v>
      </c>
      <c r="D87" s="45">
        <v>1362438</v>
      </c>
      <c r="E87" s="45">
        <v>0</v>
      </c>
      <c r="F87" s="45">
        <v>0</v>
      </c>
      <c r="G87" s="45">
        <v>0</v>
      </c>
      <c r="H87" s="45">
        <v>0</v>
      </c>
      <c r="I87" s="45">
        <v>0</v>
      </c>
      <c r="J87" s="45">
        <v>0</v>
      </c>
      <c r="K87" s="45">
        <v>0</v>
      </c>
      <c r="L87" s="45">
        <v>0</v>
      </c>
      <c r="M87" s="45">
        <v>0</v>
      </c>
      <c r="N87" s="45">
        <f t="shared" si="11"/>
        <v>1362438</v>
      </c>
      <c r="O87" s="46">
        <f t="shared" si="12"/>
        <v>1.1348533702722357</v>
      </c>
      <c r="P87" s="9"/>
    </row>
    <row r="88" spans="1:16">
      <c r="A88" s="11"/>
      <c r="B88" s="24">
        <v>347.3</v>
      </c>
      <c r="C88" s="19" t="s">
        <v>183</v>
      </c>
      <c r="D88" s="45">
        <v>183</v>
      </c>
      <c r="E88" s="45">
        <v>0</v>
      </c>
      <c r="F88" s="45">
        <v>0</v>
      </c>
      <c r="G88" s="45">
        <v>0</v>
      </c>
      <c r="H88" s="45">
        <v>0</v>
      </c>
      <c r="I88" s="45">
        <v>0</v>
      </c>
      <c r="J88" s="45">
        <v>0</v>
      </c>
      <c r="K88" s="45">
        <v>0</v>
      </c>
      <c r="L88" s="45">
        <v>0</v>
      </c>
      <c r="M88" s="45">
        <v>0</v>
      </c>
      <c r="N88" s="45">
        <f t="shared" si="11"/>
        <v>183</v>
      </c>
      <c r="O88" s="46">
        <f t="shared" si="12"/>
        <v>1.5243127889842995E-4</v>
      </c>
      <c r="P88" s="9"/>
    </row>
    <row r="89" spans="1:16">
      <c r="A89" s="11"/>
      <c r="B89" s="24">
        <v>347.4</v>
      </c>
      <c r="C89" s="19" t="s">
        <v>105</v>
      </c>
      <c r="D89" s="45">
        <v>0</v>
      </c>
      <c r="E89" s="45">
        <v>0</v>
      </c>
      <c r="F89" s="45">
        <v>400684</v>
      </c>
      <c r="G89" s="45">
        <v>0</v>
      </c>
      <c r="H89" s="45">
        <v>0</v>
      </c>
      <c r="I89" s="45">
        <v>0</v>
      </c>
      <c r="J89" s="45">
        <v>0</v>
      </c>
      <c r="K89" s="45">
        <v>0</v>
      </c>
      <c r="L89" s="45">
        <v>0</v>
      </c>
      <c r="M89" s="45">
        <v>0</v>
      </c>
      <c r="N89" s="45">
        <f t="shared" si="11"/>
        <v>400684</v>
      </c>
      <c r="O89" s="46">
        <f t="shared" si="12"/>
        <v>0.33375286641605745</v>
      </c>
      <c r="P89" s="9"/>
    </row>
    <row r="90" spans="1:16">
      <c r="A90" s="11"/>
      <c r="B90" s="24">
        <v>347.5</v>
      </c>
      <c r="C90" s="19" t="s">
        <v>106</v>
      </c>
      <c r="D90" s="45">
        <v>6959</v>
      </c>
      <c r="E90" s="45">
        <v>0</v>
      </c>
      <c r="F90" s="45">
        <v>0</v>
      </c>
      <c r="G90" s="45">
        <v>0</v>
      </c>
      <c r="H90" s="45">
        <v>0</v>
      </c>
      <c r="I90" s="45">
        <v>0</v>
      </c>
      <c r="J90" s="45">
        <v>0</v>
      </c>
      <c r="K90" s="45">
        <v>0</v>
      </c>
      <c r="L90" s="45">
        <v>0</v>
      </c>
      <c r="M90" s="45">
        <v>0</v>
      </c>
      <c r="N90" s="45">
        <f t="shared" si="11"/>
        <v>6959</v>
      </c>
      <c r="O90" s="46">
        <f t="shared" si="12"/>
        <v>5.7965533871812795E-3</v>
      </c>
      <c r="P90" s="9"/>
    </row>
    <row r="91" spans="1:16">
      <c r="A91" s="11"/>
      <c r="B91" s="24">
        <v>347.9</v>
      </c>
      <c r="C91" s="19" t="s">
        <v>107</v>
      </c>
      <c r="D91" s="45">
        <v>131266</v>
      </c>
      <c r="E91" s="45">
        <v>9154</v>
      </c>
      <c r="F91" s="45">
        <v>0</v>
      </c>
      <c r="G91" s="45">
        <v>0</v>
      </c>
      <c r="H91" s="45">
        <v>0</v>
      </c>
      <c r="I91" s="45">
        <v>0</v>
      </c>
      <c r="J91" s="45">
        <v>0</v>
      </c>
      <c r="K91" s="45">
        <v>0</v>
      </c>
      <c r="L91" s="45">
        <v>0</v>
      </c>
      <c r="M91" s="45">
        <v>0</v>
      </c>
      <c r="N91" s="45">
        <f t="shared" si="11"/>
        <v>140420</v>
      </c>
      <c r="O91" s="46">
        <f t="shared" si="12"/>
        <v>0.11696393542577888</v>
      </c>
      <c r="P91" s="9"/>
    </row>
    <row r="92" spans="1:16">
      <c r="A92" s="11"/>
      <c r="B92" s="24">
        <v>348.11</v>
      </c>
      <c r="C92" s="19" t="s">
        <v>115</v>
      </c>
      <c r="D92" s="45">
        <v>0</v>
      </c>
      <c r="E92" s="45">
        <v>78384</v>
      </c>
      <c r="F92" s="45">
        <v>0</v>
      </c>
      <c r="G92" s="45">
        <v>0</v>
      </c>
      <c r="H92" s="45">
        <v>0</v>
      </c>
      <c r="I92" s="45">
        <v>0</v>
      </c>
      <c r="J92" s="45">
        <v>0</v>
      </c>
      <c r="K92" s="45">
        <v>0</v>
      </c>
      <c r="L92" s="45">
        <v>0</v>
      </c>
      <c r="M92" s="45">
        <v>0</v>
      </c>
      <c r="N92" s="45">
        <f t="shared" si="11"/>
        <v>78384</v>
      </c>
      <c r="O92" s="46">
        <f t="shared" si="12"/>
        <v>6.529056483701931E-2</v>
      </c>
      <c r="P92" s="9"/>
    </row>
    <row r="93" spans="1:16">
      <c r="A93" s="11"/>
      <c r="B93" s="24">
        <v>348.12</v>
      </c>
      <c r="C93" s="19" t="s">
        <v>116</v>
      </c>
      <c r="D93" s="45">
        <v>35530</v>
      </c>
      <c r="E93" s="45">
        <v>141762</v>
      </c>
      <c r="F93" s="45">
        <v>0</v>
      </c>
      <c r="G93" s="45">
        <v>0</v>
      </c>
      <c r="H93" s="45">
        <v>0</v>
      </c>
      <c r="I93" s="45">
        <v>0</v>
      </c>
      <c r="J93" s="45">
        <v>0</v>
      </c>
      <c r="K93" s="45">
        <v>0</v>
      </c>
      <c r="L93" s="45">
        <v>0</v>
      </c>
      <c r="M93" s="45">
        <v>0</v>
      </c>
      <c r="N93" s="45">
        <f t="shared" si="11"/>
        <v>177292</v>
      </c>
      <c r="O93" s="46">
        <f t="shared" si="12"/>
        <v>0.14767675572929204</v>
      </c>
      <c r="P93" s="9"/>
    </row>
    <row r="94" spans="1:16">
      <c r="A94" s="11"/>
      <c r="B94" s="24">
        <v>348.13</v>
      </c>
      <c r="C94" s="19" t="s">
        <v>117</v>
      </c>
      <c r="D94" s="45">
        <v>0</v>
      </c>
      <c r="E94" s="45">
        <v>502037</v>
      </c>
      <c r="F94" s="45">
        <v>0</v>
      </c>
      <c r="G94" s="45">
        <v>0</v>
      </c>
      <c r="H94" s="45">
        <v>0</v>
      </c>
      <c r="I94" s="45">
        <v>0</v>
      </c>
      <c r="J94" s="45">
        <v>0</v>
      </c>
      <c r="K94" s="45">
        <v>0</v>
      </c>
      <c r="L94" s="45">
        <v>0</v>
      </c>
      <c r="M94" s="45">
        <v>0</v>
      </c>
      <c r="N94" s="45">
        <f t="shared" si="11"/>
        <v>502037</v>
      </c>
      <c r="O94" s="46">
        <f t="shared" si="12"/>
        <v>0.41817563914935019</v>
      </c>
      <c r="P94" s="9"/>
    </row>
    <row r="95" spans="1:16">
      <c r="A95" s="11"/>
      <c r="B95" s="24">
        <v>348.21</v>
      </c>
      <c r="C95" s="19" t="s">
        <v>118</v>
      </c>
      <c r="D95" s="45">
        <v>0</v>
      </c>
      <c r="E95" s="45">
        <v>2356</v>
      </c>
      <c r="F95" s="45">
        <v>0</v>
      </c>
      <c r="G95" s="45">
        <v>0</v>
      </c>
      <c r="H95" s="45">
        <v>0</v>
      </c>
      <c r="I95" s="45">
        <v>0</v>
      </c>
      <c r="J95" s="45">
        <v>0</v>
      </c>
      <c r="K95" s="45">
        <v>0</v>
      </c>
      <c r="L95" s="45">
        <v>0</v>
      </c>
      <c r="M95" s="45">
        <v>0</v>
      </c>
      <c r="N95" s="45">
        <f t="shared" si="11"/>
        <v>2356</v>
      </c>
      <c r="O95" s="46">
        <f t="shared" si="12"/>
        <v>1.9624485960912622E-3</v>
      </c>
      <c r="P95" s="9"/>
    </row>
    <row r="96" spans="1:16">
      <c r="A96" s="11"/>
      <c r="B96" s="24">
        <v>348.22</v>
      </c>
      <c r="C96" s="19" t="s">
        <v>119</v>
      </c>
      <c r="D96" s="45">
        <v>21095</v>
      </c>
      <c r="E96" s="45">
        <v>126463</v>
      </c>
      <c r="F96" s="45">
        <v>0</v>
      </c>
      <c r="G96" s="45">
        <v>0</v>
      </c>
      <c r="H96" s="45">
        <v>0</v>
      </c>
      <c r="I96" s="45">
        <v>0</v>
      </c>
      <c r="J96" s="45">
        <v>0</v>
      </c>
      <c r="K96" s="45">
        <v>0</v>
      </c>
      <c r="L96" s="45">
        <v>0</v>
      </c>
      <c r="M96" s="45">
        <v>0</v>
      </c>
      <c r="N96" s="45">
        <f t="shared" si="11"/>
        <v>147558</v>
      </c>
      <c r="O96" s="46">
        <f t="shared" si="12"/>
        <v>0.12290958826062584</v>
      </c>
      <c r="P96" s="9"/>
    </row>
    <row r="97" spans="1:16">
      <c r="A97" s="11"/>
      <c r="B97" s="24">
        <v>348.23</v>
      </c>
      <c r="C97" s="19" t="s">
        <v>120</v>
      </c>
      <c r="D97" s="45">
        <v>128</v>
      </c>
      <c r="E97" s="45">
        <v>964355</v>
      </c>
      <c r="F97" s="45">
        <v>0</v>
      </c>
      <c r="G97" s="45">
        <v>0</v>
      </c>
      <c r="H97" s="45">
        <v>0</v>
      </c>
      <c r="I97" s="45">
        <v>0</v>
      </c>
      <c r="J97" s="45">
        <v>0</v>
      </c>
      <c r="K97" s="45">
        <v>0</v>
      </c>
      <c r="L97" s="45">
        <v>0</v>
      </c>
      <c r="M97" s="45">
        <v>0</v>
      </c>
      <c r="N97" s="45">
        <f t="shared" si="11"/>
        <v>964483</v>
      </c>
      <c r="O97" s="46">
        <f t="shared" si="12"/>
        <v>0.80337364571472358</v>
      </c>
      <c r="P97" s="9"/>
    </row>
    <row r="98" spans="1:16">
      <c r="A98" s="11"/>
      <c r="B98" s="24">
        <v>348.31</v>
      </c>
      <c r="C98" s="19" t="s">
        <v>121</v>
      </c>
      <c r="D98" s="45">
        <v>0</v>
      </c>
      <c r="E98" s="45">
        <v>6314362</v>
      </c>
      <c r="F98" s="45">
        <v>0</v>
      </c>
      <c r="G98" s="45">
        <v>0</v>
      </c>
      <c r="H98" s="45">
        <v>0</v>
      </c>
      <c r="I98" s="45">
        <v>0</v>
      </c>
      <c r="J98" s="45">
        <v>0</v>
      </c>
      <c r="K98" s="45">
        <v>0</v>
      </c>
      <c r="L98" s="45">
        <v>0</v>
      </c>
      <c r="M98" s="45">
        <v>0</v>
      </c>
      <c r="N98" s="45">
        <f t="shared" si="11"/>
        <v>6314362</v>
      </c>
      <c r="O98" s="46">
        <f t="shared" si="12"/>
        <v>5.2595971316264913</v>
      </c>
      <c r="P98" s="9"/>
    </row>
    <row r="99" spans="1:16">
      <c r="A99" s="11"/>
      <c r="B99" s="24">
        <v>348.32</v>
      </c>
      <c r="C99" s="19" t="s">
        <v>122</v>
      </c>
      <c r="D99" s="45">
        <v>0</v>
      </c>
      <c r="E99" s="45">
        <v>105845</v>
      </c>
      <c r="F99" s="45">
        <v>0</v>
      </c>
      <c r="G99" s="45">
        <v>0</v>
      </c>
      <c r="H99" s="45">
        <v>0</v>
      </c>
      <c r="I99" s="45">
        <v>0</v>
      </c>
      <c r="J99" s="45">
        <v>0</v>
      </c>
      <c r="K99" s="45">
        <v>0</v>
      </c>
      <c r="L99" s="45">
        <v>0</v>
      </c>
      <c r="M99" s="45">
        <v>0</v>
      </c>
      <c r="N99" s="45">
        <f t="shared" si="11"/>
        <v>105845</v>
      </c>
      <c r="O99" s="46">
        <f t="shared" si="12"/>
        <v>8.8164419207673872E-2</v>
      </c>
      <c r="P99" s="9"/>
    </row>
    <row r="100" spans="1:16">
      <c r="A100" s="11"/>
      <c r="B100" s="24">
        <v>348.41</v>
      </c>
      <c r="C100" s="19" t="s">
        <v>123</v>
      </c>
      <c r="D100" s="45">
        <v>0</v>
      </c>
      <c r="E100" s="45">
        <v>7290960</v>
      </c>
      <c r="F100" s="45">
        <v>0</v>
      </c>
      <c r="G100" s="45">
        <v>0</v>
      </c>
      <c r="H100" s="45">
        <v>0</v>
      </c>
      <c r="I100" s="45">
        <v>0</v>
      </c>
      <c r="J100" s="45">
        <v>0</v>
      </c>
      <c r="K100" s="45">
        <v>0</v>
      </c>
      <c r="L100" s="45">
        <v>0</v>
      </c>
      <c r="M100" s="45">
        <v>0</v>
      </c>
      <c r="N100" s="45">
        <f t="shared" si="11"/>
        <v>7290960</v>
      </c>
      <c r="O100" s="46">
        <f t="shared" si="12"/>
        <v>6.0730620611874144</v>
      </c>
      <c r="P100" s="9"/>
    </row>
    <row r="101" spans="1:16">
      <c r="A101" s="11"/>
      <c r="B101" s="24">
        <v>348.42</v>
      </c>
      <c r="C101" s="19" t="s">
        <v>124</v>
      </c>
      <c r="D101" s="45">
        <v>16620</v>
      </c>
      <c r="E101" s="45">
        <v>1222167</v>
      </c>
      <c r="F101" s="45">
        <v>0</v>
      </c>
      <c r="G101" s="45">
        <v>0</v>
      </c>
      <c r="H101" s="45">
        <v>0</v>
      </c>
      <c r="I101" s="45">
        <v>0</v>
      </c>
      <c r="J101" s="45">
        <v>0</v>
      </c>
      <c r="K101" s="45">
        <v>0</v>
      </c>
      <c r="L101" s="45">
        <v>0</v>
      </c>
      <c r="M101" s="45">
        <v>0</v>
      </c>
      <c r="N101" s="45">
        <f t="shared" si="11"/>
        <v>1238787</v>
      </c>
      <c r="O101" s="46">
        <f t="shared" ref="O101:O132" si="13">(N101/O$149)</f>
        <v>1.0318573043319637</v>
      </c>
      <c r="P101" s="9"/>
    </row>
    <row r="102" spans="1:16">
      <c r="A102" s="11"/>
      <c r="B102" s="24">
        <v>348.48</v>
      </c>
      <c r="C102" s="19" t="s">
        <v>125</v>
      </c>
      <c r="D102" s="45">
        <v>0</v>
      </c>
      <c r="E102" s="45">
        <v>358784</v>
      </c>
      <c r="F102" s="45">
        <v>0</v>
      </c>
      <c r="G102" s="45">
        <v>0</v>
      </c>
      <c r="H102" s="45">
        <v>0</v>
      </c>
      <c r="I102" s="45">
        <v>0</v>
      </c>
      <c r="J102" s="45">
        <v>0</v>
      </c>
      <c r="K102" s="45">
        <v>0</v>
      </c>
      <c r="L102" s="45">
        <v>0</v>
      </c>
      <c r="M102" s="45">
        <v>0</v>
      </c>
      <c r="N102" s="45">
        <f t="shared" si="11"/>
        <v>358784</v>
      </c>
      <c r="O102" s="46">
        <f t="shared" si="13"/>
        <v>0.29885193425297429</v>
      </c>
      <c r="P102" s="9"/>
    </row>
    <row r="103" spans="1:16">
      <c r="A103" s="11"/>
      <c r="B103" s="24">
        <v>348.51</v>
      </c>
      <c r="C103" s="19" t="s">
        <v>126</v>
      </c>
      <c r="D103" s="45">
        <v>0</v>
      </c>
      <c r="E103" s="45">
        <v>130</v>
      </c>
      <c r="F103" s="45">
        <v>0</v>
      </c>
      <c r="G103" s="45">
        <v>0</v>
      </c>
      <c r="H103" s="45">
        <v>0</v>
      </c>
      <c r="I103" s="45">
        <v>0</v>
      </c>
      <c r="J103" s="45">
        <v>0</v>
      </c>
      <c r="K103" s="45">
        <v>0</v>
      </c>
      <c r="L103" s="45">
        <v>0</v>
      </c>
      <c r="M103" s="45">
        <v>0</v>
      </c>
      <c r="N103" s="45">
        <f t="shared" si="11"/>
        <v>130</v>
      </c>
      <c r="O103" s="46">
        <f t="shared" si="13"/>
        <v>1.0828451506445845E-4</v>
      </c>
      <c r="P103" s="9"/>
    </row>
    <row r="104" spans="1:16">
      <c r="A104" s="11"/>
      <c r="B104" s="24">
        <v>348.52</v>
      </c>
      <c r="C104" s="19" t="s">
        <v>127</v>
      </c>
      <c r="D104" s="45">
        <v>0</v>
      </c>
      <c r="E104" s="45">
        <v>1633421</v>
      </c>
      <c r="F104" s="45">
        <v>0</v>
      </c>
      <c r="G104" s="45">
        <v>0</v>
      </c>
      <c r="H104" s="45">
        <v>0</v>
      </c>
      <c r="I104" s="45">
        <v>0</v>
      </c>
      <c r="J104" s="45">
        <v>0</v>
      </c>
      <c r="K104" s="45">
        <v>0</v>
      </c>
      <c r="L104" s="45">
        <v>0</v>
      </c>
      <c r="M104" s="45">
        <v>0</v>
      </c>
      <c r="N104" s="45">
        <f t="shared" si="11"/>
        <v>1633421</v>
      </c>
      <c r="O104" s="46">
        <f t="shared" si="13"/>
        <v>1.3605707760084829</v>
      </c>
      <c r="P104" s="9"/>
    </row>
    <row r="105" spans="1:16">
      <c r="A105" s="11"/>
      <c r="B105" s="24">
        <v>348.53</v>
      </c>
      <c r="C105" s="19" t="s">
        <v>128</v>
      </c>
      <c r="D105" s="45">
        <v>0</v>
      </c>
      <c r="E105" s="45">
        <v>8942279</v>
      </c>
      <c r="F105" s="45">
        <v>0</v>
      </c>
      <c r="G105" s="45">
        <v>0</v>
      </c>
      <c r="H105" s="45">
        <v>0</v>
      </c>
      <c r="I105" s="45">
        <v>0</v>
      </c>
      <c r="J105" s="45">
        <v>0</v>
      </c>
      <c r="K105" s="45">
        <v>0</v>
      </c>
      <c r="L105" s="45">
        <v>0</v>
      </c>
      <c r="M105" s="45">
        <v>0</v>
      </c>
      <c r="N105" s="45">
        <f t="shared" si="11"/>
        <v>8942279</v>
      </c>
      <c r="O105" s="46">
        <f t="shared" si="13"/>
        <v>7.4485411160468491</v>
      </c>
      <c r="P105" s="9"/>
    </row>
    <row r="106" spans="1:16">
      <c r="A106" s="11"/>
      <c r="B106" s="24">
        <v>348.61</v>
      </c>
      <c r="C106" s="19" t="s">
        <v>129</v>
      </c>
      <c r="D106" s="45">
        <v>0</v>
      </c>
      <c r="E106" s="45">
        <v>66690</v>
      </c>
      <c r="F106" s="45">
        <v>0</v>
      </c>
      <c r="G106" s="45">
        <v>0</v>
      </c>
      <c r="H106" s="45">
        <v>0</v>
      </c>
      <c r="I106" s="45">
        <v>0</v>
      </c>
      <c r="J106" s="45">
        <v>0</v>
      </c>
      <c r="K106" s="45">
        <v>0</v>
      </c>
      <c r="L106" s="45">
        <v>0</v>
      </c>
      <c r="M106" s="45">
        <v>0</v>
      </c>
      <c r="N106" s="45">
        <f t="shared" si="11"/>
        <v>66690</v>
      </c>
      <c r="O106" s="46">
        <f t="shared" si="13"/>
        <v>5.5549956228067181E-2</v>
      </c>
      <c r="P106" s="9"/>
    </row>
    <row r="107" spans="1:16">
      <c r="A107" s="11"/>
      <c r="B107" s="24">
        <v>348.62</v>
      </c>
      <c r="C107" s="19" t="s">
        <v>130</v>
      </c>
      <c r="D107" s="45">
        <v>507</v>
      </c>
      <c r="E107" s="45">
        <v>28181</v>
      </c>
      <c r="F107" s="45">
        <v>0</v>
      </c>
      <c r="G107" s="45">
        <v>0</v>
      </c>
      <c r="H107" s="45">
        <v>0</v>
      </c>
      <c r="I107" s="45">
        <v>0</v>
      </c>
      <c r="J107" s="45">
        <v>0</v>
      </c>
      <c r="K107" s="45">
        <v>0</v>
      </c>
      <c r="L107" s="45">
        <v>0</v>
      </c>
      <c r="M107" s="45">
        <v>0</v>
      </c>
      <c r="N107" s="45">
        <f t="shared" si="11"/>
        <v>28688</v>
      </c>
      <c r="O107" s="46">
        <f t="shared" si="13"/>
        <v>2.3895893601301413E-2</v>
      </c>
      <c r="P107" s="9"/>
    </row>
    <row r="108" spans="1:16">
      <c r="A108" s="11"/>
      <c r="B108" s="24">
        <v>348.71</v>
      </c>
      <c r="C108" s="19" t="s">
        <v>131</v>
      </c>
      <c r="D108" s="45">
        <v>0</v>
      </c>
      <c r="E108" s="45">
        <v>644673</v>
      </c>
      <c r="F108" s="45">
        <v>0</v>
      </c>
      <c r="G108" s="45">
        <v>0</v>
      </c>
      <c r="H108" s="45">
        <v>0</v>
      </c>
      <c r="I108" s="45">
        <v>0</v>
      </c>
      <c r="J108" s="45">
        <v>0</v>
      </c>
      <c r="K108" s="45">
        <v>0</v>
      </c>
      <c r="L108" s="45">
        <v>0</v>
      </c>
      <c r="M108" s="45">
        <v>0</v>
      </c>
      <c r="N108" s="45">
        <f>SUM(D108:M108)</f>
        <v>644673</v>
      </c>
      <c r="O108" s="46">
        <f t="shared" si="13"/>
        <v>0.53698540907807402</v>
      </c>
      <c r="P108" s="9"/>
    </row>
    <row r="109" spans="1:16">
      <c r="A109" s="11"/>
      <c r="B109" s="24">
        <v>348.72</v>
      </c>
      <c r="C109" s="19" t="s">
        <v>132</v>
      </c>
      <c r="D109" s="45">
        <v>5112</v>
      </c>
      <c r="E109" s="45">
        <v>136986</v>
      </c>
      <c r="F109" s="45">
        <v>0</v>
      </c>
      <c r="G109" s="45">
        <v>0</v>
      </c>
      <c r="H109" s="45">
        <v>0</v>
      </c>
      <c r="I109" s="45">
        <v>0</v>
      </c>
      <c r="J109" s="45">
        <v>0</v>
      </c>
      <c r="K109" s="45">
        <v>0</v>
      </c>
      <c r="L109" s="45">
        <v>0</v>
      </c>
      <c r="M109" s="45">
        <v>0</v>
      </c>
      <c r="N109" s="45">
        <f>SUM(D109:M109)</f>
        <v>142098</v>
      </c>
      <c r="O109" s="46">
        <f t="shared" si="13"/>
        <v>0.11836163862791858</v>
      </c>
      <c r="P109" s="9"/>
    </row>
    <row r="110" spans="1:16">
      <c r="A110" s="11"/>
      <c r="B110" s="24">
        <v>348.88</v>
      </c>
      <c r="C110" s="19" t="s">
        <v>108</v>
      </c>
      <c r="D110" s="45">
        <v>166525</v>
      </c>
      <c r="E110" s="45">
        <v>0</v>
      </c>
      <c r="F110" s="45">
        <v>0</v>
      </c>
      <c r="G110" s="45">
        <v>0</v>
      </c>
      <c r="H110" s="45">
        <v>0</v>
      </c>
      <c r="I110" s="45">
        <v>0</v>
      </c>
      <c r="J110" s="45">
        <v>0</v>
      </c>
      <c r="K110" s="45">
        <v>0</v>
      </c>
      <c r="L110" s="45">
        <v>0</v>
      </c>
      <c r="M110" s="45">
        <v>0</v>
      </c>
      <c r="N110" s="45">
        <f t="shared" si="11"/>
        <v>166525</v>
      </c>
      <c r="O110" s="46">
        <f t="shared" si="13"/>
        <v>0.13870829900853032</v>
      </c>
      <c r="P110" s="9"/>
    </row>
    <row r="111" spans="1:16">
      <c r="A111" s="11"/>
      <c r="B111" s="24">
        <v>348.92099999999999</v>
      </c>
      <c r="C111" s="19" t="s">
        <v>109</v>
      </c>
      <c r="D111" s="45">
        <v>0</v>
      </c>
      <c r="E111" s="45">
        <v>519749</v>
      </c>
      <c r="F111" s="45">
        <v>0</v>
      </c>
      <c r="G111" s="45">
        <v>0</v>
      </c>
      <c r="H111" s="45">
        <v>0</v>
      </c>
      <c r="I111" s="45">
        <v>0</v>
      </c>
      <c r="J111" s="45">
        <v>0</v>
      </c>
      <c r="K111" s="45">
        <v>0</v>
      </c>
      <c r="L111" s="45">
        <v>0</v>
      </c>
      <c r="M111" s="45">
        <v>0</v>
      </c>
      <c r="N111" s="45">
        <f>SUM(D111:M111)</f>
        <v>519749</v>
      </c>
      <c r="O111" s="46">
        <f t="shared" si="13"/>
        <v>0.43292898784797856</v>
      </c>
      <c r="P111" s="9"/>
    </row>
    <row r="112" spans="1:16">
      <c r="A112" s="11"/>
      <c r="B112" s="24">
        <v>348.92200000000003</v>
      </c>
      <c r="C112" s="19" t="s">
        <v>110</v>
      </c>
      <c r="D112" s="45">
        <v>0</v>
      </c>
      <c r="E112" s="45">
        <v>519749</v>
      </c>
      <c r="F112" s="45">
        <v>0</v>
      </c>
      <c r="G112" s="45">
        <v>0</v>
      </c>
      <c r="H112" s="45">
        <v>0</v>
      </c>
      <c r="I112" s="45">
        <v>0</v>
      </c>
      <c r="J112" s="45">
        <v>0</v>
      </c>
      <c r="K112" s="45">
        <v>0</v>
      </c>
      <c r="L112" s="45">
        <v>0</v>
      </c>
      <c r="M112" s="45">
        <v>0</v>
      </c>
      <c r="N112" s="45">
        <f>SUM(D112:M112)</f>
        <v>519749</v>
      </c>
      <c r="O112" s="46">
        <f t="shared" si="13"/>
        <v>0.43292898784797856</v>
      </c>
      <c r="P112" s="9"/>
    </row>
    <row r="113" spans="1:16">
      <c r="A113" s="11"/>
      <c r="B113" s="24">
        <v>348.923</v>
      </c>
      <c r="C113" s="19" t="s">
        <v>111</v>
      </c>
      <c r="D113" s="45">
        <v>0</v>
      </c>
      <c r="E113" s="45">
        <v>519749</v>
      </c>
      <c r="F113" s="45">
        <v>0</v>
      </c>
      <c r="G113" s="45">
        <v>0</v>
      </c>
      <c r="H113" s="45">
        <v>0</v>
      </c>
      <c r="I113" s="45">
        <v>0</v>
      </c>
      <c r="J113" s="45">
        <v>0</v>
      </c>
      <c r="K113" s="45">
        <v>0</v>
      </c>
      <c r="L113" s="45">
        <v>0</v>
      </c>
      <c r="M113" s="45">
        <v>519749</v>
      </c>
      <c r="N113" s="45">
        <f>SUM(D113:M113)</f>
        <v>1039498</v>
      </c>
      <c r="O113" s="46">
        <f t="shared" si="13"/>
        <v>0.86585797569595713</v>
      </c>
      <c r="P113" s="9"/>
    </row>
    <row r="114" spans="1:16">
      <c r="A114" s="11"/>
      <c r="B114" s="24">
        <v>348.93</v>
      </c>
      <c r="C114" s="19" t="s">
        <v>113</v>
      </c>
      <c r="D114" s="45">
        <v>0</v>
      </c>
      <c r="E114" s="45">
        <v>3886000</v>
      </c>
      <c r="F114" s="45">
        <v>0</v>
      </c>
      <c r="G114" s="45">
        <v>0</v>
      </c>
      <c r="H114" s="45">
        <v>0</v>
      </c>
      <c r="I114" s="45">
        <v>0</v>
      </c>
      <c r="J114" s="45">
        <v>0</v>
      </c>
      <c r="K114" s="45">
        <v>0</v>
      </c>
      <c r="L114" s="45">
        <v>0</v>
      </c>
      <c r="M114" s="45">
        <v>0</v>
      </c>
      <c r="N114" s="45">
        <f>SUM(D114:M114)</f>
        <v>3886000</v>
      </c>
      <c r="O114" s="46">
        <f t="shared" si="13"/>
        <v>3.2368740426191192</v>
      </c>
      <c r="P114" s="9"/>
    </row>
    <row r="115" spans="1:16">
      <c r="A115" s="11"/>
      <c r="B115" s="24">
        <v>349</v>
      </c>
      <c r="C115" s="19" t="s">
        <v>1</v>
      </c>
      <c r="D115" s="45">
        <v>81860</v>
      </c>
      <c r="E115" s="45">
        <v>4535470</v>
      </c>
      <c r="F115" s="45">
        <v>0</v>
      </c>
      <c r="G115" s="45">
        <v>0</v>
      </c>
      <c r="H115" s="45">
        <v>0</v>
      </c>
      <c r="I115" s="45">
        <v>0</v>
      </c>
      <c r="J115" s="45">
        <v>0</v>
      </c>
      <c r="K115" s="45">
        <v>0</v>
      </c>
      <c r="L115" s="45">
        <v>0</v>
      </c>
      <c r="M115" s="45">
        <v>0</v>
      </c>
      <c r="N115" s="45">
        <f t="shared" si="11"/>
        <v>4617330</v>
      </c>
      <c r="O115" s="46">
        <f t="shared" si="13"/>
        <v>3.8460410764813528</v>
      </c>
      <c r="P115" s="9"/>
    </row>
    <row r="116" spans="1:16" ht="15.75">
      <c r="A116" s="28" t="s">
        <v>76</v>
      </c>
      <c r="B116" s="29"/>
      <c r="C116" s="30"/>
      <c r="D116" s="31">
        <f t="shared" ref="D116:M116" si="14">SUM(D117:D122)</f>
        <v>2341654</v>
      </c>
      <c r="E116" s="31">
        <f t="shared" si="14"/>
        <v>13406866</v>
      </c>
      <c r="F116" s="31">
        <f t="shared" si="14"/>
        <v>0</v>
      </c>
      <c r="G116" s="31">
        <f t="shared" si="14"/>
        <v>0</v>
      </c>
      <c r="H116" s="31">
        <f t="shared" si="14"/>
        <v>0</v>
      </c>
      <c r="I116" s="31">
        <f t="shared" si="14"/>
        <v>0</v>
      </c>
      <c r="J116" s="31">
        <f t="shared" si="14"/>
        <v>0</v>
      </c>
      <c r="K116" s="31">
        <f t="shared" si="14"/>
        <v>0</v>
      </c>
      <c r="L116" s="31">
        <f t="shared" si="14"/>
        <v>0</v>
      </c>
      <c r="M116" s="31">
        <f t="shared" si="14"/>
        <v>0</v>
      </c>
      <c r="N116" s="31">
        <f t="shared" ref="N116:N124" si="15">SUM(D116:M116)</f>
        <v>15748520</v>
      </c>
      <c r="O116" s="44">
        <f t="shared" si="13"/>
        <v>13.117852701407116</v>
      </c>
      <c r="P116" s="10"/>
    </row>
    <row r="117" spans="1:16">
      <c r="A117" s="12"/>
      <c r="B117" s="38">
        <v>351.1</v>
      </c>
      <c r="C117" s="20" t="s">
        <v>134</v>
      </c>
      <c r="D117" s="45">
        <v>19374</v>
      </c>
      <c r="E117" s="45">
        <v>592487</v>
      </c>
      <c r="F117" s="45">
        <v>0</v>
      </c>
      <c r="G117" s="45">
        <v>0</v>
      </c>
      <c r="H117" s="45">
        <v>0</v>
      </c>
      <c r="I117" s="45">
        <v>0</v>
      </c>
      <c r="J117" s="45">
        <v>0</v>
      </c>
      <c r="K117" s="45">
        <v>0</v>
      </c>
      <c r="L117" s="45">
        <v>0</v>
      </c>
      <c r="M117" s="45">
        <v>0</v>
      </c>
      <c r="N117" s="45">
        <f t="shared" si="15"/>
        <v>611861</v>
      </c>
      <c r="O117" s="46">
        <f t="shared" si="13"/>
        <v>0.50965439747580465</v>
      </c>
      <c r="P117" s="9"/>
    </row>
    <row r="118" spans="1:16">
      <c r="A118" s="12"/>
      <c r="B118" s="38">
        <v>351.2</v>
      </c>
      <c r="C118" s="20" t="s">
        <v>136</v>
      </c>
      <c r="D118" s="45">
        <v>0</v>
      </c>
      <c r="E118" s="45">
        <v>1129393</v>
      </c>
      <c r="F118" s="45">
        <v>0</v>
      </c>
      <c r="G118" s="45">
        <v>0</v>
      </c>
      <c r="H118" s="45">
        <v>0</v>
      </c>
      <c r="I118" s="45">
        <v>0</v>
      </c>
      <c r="J118" s="45">
        <v>0</v>
      </c>
      <c r="K118" s="45">
        <v>0</v>
      </c>
      <c r="L118" s="45">
        <v>0</v>
      </c>
      <c r="M118" s="45">
        <v>0</v>
      </c>
      <c r="N118" s="45">
        <f t="shared" si="15"/>
        <v>1129393</v>
      </c>
      <c r="O118" s="46">
        <f t="shared" si="13"/>
        <v>0.94073671786303004</v>
      </c>
      <c r="P118" s="9"/>
    </row>
    <row r="119" spans="1:16">
      <c r="A119" s="12"/>
      <c r="B119" s="38">
        <v>351.5</v>
      </c>
      <c r="C119" s="20" t="s">
        <v>137</v>
      </c>
      <c r="D119" s="45">
        <v>0</v>
      </c>
      <c r="E119" s="45">
        <v>8718070</v>
      </c>
      <c r="F119" s="45">
        <v>0</v>
      </c>
      <c r="G119" s="45">
        <v>0</v>
      </c>
      <c r="H119" s="45">
        <v>0</v>
      </c>
      <c r="I119" s="45">
        <v>0</v>
      </c>
      <c r="J119" s="45">
        <v>0</v>
      </c>
      <c r="K119" s="45">
        <v>0</v>
      </c>
      <c r="L119" s="45">
        <v>0</v>
      </c>
      <c r="M119" s="45">
        <v>0</v>
      </c>
      <c r="N119" s="45">
        <f t="shared" si="15"/>
        <v>8718070</v>
      </c>
      <c r="O119" s="46">
        <f t="shared" si="13"/>
        <v>7.2617844788307941</v>
      </c>
      <c r="P119" s="9"/>
    </row>
    <row r="120" spans="1:16">
      <c r="A120" s="12"/>
      <c r="B120" s="38">
        <v>353</v>
      </c>
      <c r="C120" s="20" t="s">
        <v>139</v>
      </c>
      <c r="D120" s="45">
        <v>0</v>
      </c>
      <c r="E120" s="45">
        <v>448899</v>
      </c>
      <c r="F120" s="45">
        <v>0</v>
      </c>
      <c r="G120" s="45">
        <v>0</v>
      </c>
      <c r="H120" s="45">
        <v>0</v>
      </c>
      <c r="I120" s="45">
        <v>0</v>
      </c>
      <c r="J120" s="45">
        <v>0</v>
      </c>
      <c r="K120" s="45">
        <v>0</v>
      </c>
      <c r="L120" s="45">
        <v>0</v>
      </c>
      <c r="M120" s="45">
        <v>0</v>
      </c>
      <c r="N120" s="45">
        <f t="shared" si="15"/>
        <v>448899</v>
      </c>
      <c r="O120" s="46">
        <f t="shared" si="13"/>
        <v>0.37391392713784871</v>
      </c>
      <c r="P120" s="9"/>
    </row>
    <row r="121" spans="1:16">
      <c r="A121" s="12"/>
      <c r="B121" s="38">
        <v>354</v>
      </c>
      <c r="C121" s="20" t="s">
        <v>140</v>
      </c>
      <c r="D121" s="45">
        <v>2099339</v>
      </c>
      <c r="E121" s="45">
        <v>467649</v>
      </c>
      <c r="F121" s="45">
        <v>0</v>
      </c>
      <c r="G121" s="45">
        <v>0</v>
      </c>
      <c r="H121" s="45">
        <v>0</v>
      </c>
      <c r="I121" s="45">
        <v>0</v>
      </c>
      <c r="J121" s="45">
        <v>0</v>
      </c>
      <c r="K121" s="45">
        <v>0</v>
      </c>
      <c r="L121" s="45">
        <v>0</v>
      </c>
      <c r="M121" s="45">
        <v>0</v>
      </c>
      <c r="N121" s="45">
        <f t="shared" si="15"/>
        <v>2566988</v>
      </c>
      <c r="O121" s="46">
        <f t="shared" si="13"/>
        <v>2.1381926981252617</v>
      </c>
      <c r="P121" s="9"/>
    </row>
    <row r="122" spans="1:16">
      <c r="A122" s="12"/>
      <c r="B122" s="38">
        <v>359</v>
      </c>
      <c r="C122" s="20" t="s">
        <v>141</v>
      </c>
      <c r="D122" s="45">
        <v>222941</v>
      </c>
      <c r="E122" s="45">
        <v>2050368</v>
      </c>
      <c r="F122" s="45">
        <v>0</v>
      </c>
      <c r="G122" s="45">
        <v>0</v>
      </c>
      <c r="H122" s="45">
        <v>0</v>
      </c>
      <c r="I122" s="45">
        <v>0</v>
      </c>
      <c r="J122" s="45">
        <v>0</v>
      </c>
      <c r="K122" s="45">
        <v>0</v>
      </c>
      <c r="L122" s="45">
        <v>0</v>
      </c>
      <c r="M122" s="45">
        <v>0</v>
      </c>
      <c r="N122" s="45">
        <f t="shared" si="15"/>
        <v>2273309</v>
      </c>
      <c r="O122" s="46">
        <f t="shared" si="13"/>
        <v>1.8935704819743766</v>
      </c>
      <c r="P122" s="9"/>
    </row>
    <row r="123" spans="1:16" ht="15.75">
      <c r="A123" s="28" t="s">
        <v>5</v>
      </c>
      <c r="B123" s="29"/>
      <c r="C123" s="30"/>
      <c r="D123" s="31">
        <f t="shared" ref="D123:M123" si="16">SUM(D124:D138)</f>
        <v>19550755</v>
      </c>
      <c r="E123" s="31">
        <f t="shared" si="16"/>
        <v>86832851</v>
      </c>
      <c r="F123" s="31">
        <f t="shared" si="16"/>
        <v>3211855</v>
      </c>
      <c r="G123" s="31">
        <f t="shared" si="16"/>
        <v>11002783</v>
      </c>
      <c r="H123" s="31">
        <f t="shared" si="16"/>
        <v>0</v>
      </c>
      <c r="I123" s="31">
        <f t="shared" si="16"/>
        <v>551000</v>
      </c>
      <c r="J123" s="31">
        <f t="shared" si="16"/>
        <v>1449000</v>
      </c>
      <c r="K123" s="31">
        <f t="shared" si="16"/>
        <v>0</v>
      </c>
      <c r="L123" s="31">
        <f t="shared" si="16"/>
        <v>0</v>
      </c>
      <c r="M123" s="31">
        <f t="shared" si="16"/>
        <v>2166000</v>
      </c>
      <c r="N123" s="31">
        <f t="shared" si="15"/>
        <v>124764244</v>
      </c>
      <c r="O123" s="44">
        <f t="shared" si="13"/>
        <v>103.92335122249052</v>
      </c>
      <c r="P123" s="10"/>
    </row>
    <row r="124" spans="1:16">
      <c r="A124" s="11"/>
      <c r="B124" s="24">
        <v>361.1</v>
      </c>
      <c r="C124" s="19" t="s">
        <v>142</v>
      </c>
      <c r="D124" s="45">
        <v>17438379</v>
      </c>
      <c r="E124" s="45">
        <v>26279668</v>
      </c>
      <c r="F124" s="45">
        <v>2780548</v>
      </c>
      <c r="G124" s="45">
        <v>1338050</v>
      </c>
      <c r="H124" s="45">
        <v>0</v>
      </c>
      <c r="I124" s="45">
        <v>0</v>
      </c>
      <c r="J124" s="45">
        <v>0</v>
      </c>
      <c r="K124" s="45">
        <v>0</v>
      </c>
      <c r="L124" s="45">
        <v>0</v>
      </c>
      <c r="M124" s="45">
        <v>102000</v>
      </c>
      <c r="N124" s="45">
        <f t="shared" si="15"/>
        <v>47938645</v>
      </c>
      <c r="O124" s="46">
        <f t="shared" si="13"/>
        <v>39.930868666709422</v>
      </c>
      <c r="P124" s="9"/>
    </row>
    <row r="125" spans="1:16">
      <c r="A125" s="11"/>
      <c r="B125" s="24">
        <v>361.3</v>
      </c>
      <c r="C125" s="19" t="s">
        <v>143</v>
      </c>
      <c r="D125" s="45">
        <v>-1189823</v>
      </c>
      <c r="E125" s="45">
        <v>-2760471</v>
      </c>
      <c r="F125" s="45">
        <v>-315373</v>
      </c>
      <c r="G125" s="45">
        <v>-146290</v>
      </c>
      <c r="H125" s="45">
        <v>0</v>
      </c>
      <c r="I125" s="45">
        <v>0</v>
      </c>
      <c r="J125" s="45">
        <v>0</v>
      </c>
      <c r="K125" s="45">
        <v>0</v>
      </c>
      <c r="L125" s="45">
        <v>0</v>
      </c>
      <c r="M125" s="45">
        <v>0</v>
      </c>
      <c r="N125" s="45">
        <f t="shared" ref="N125:N138" si="17">SUM(D125:M125)</f>
        <v>-4411957</v>
      </c>
      <c r="O125" s="46">
        <f t="shared" si="13"/>
        <v>-3.6749740325403297</v>
      </c>
      <c r="P125" s="9"/>
    </row>
    <row r="126" spans="1:16">
      <c r="A126" s="11"/>
      <c r="B126" s="24">
        <v>361.4</v>
      </c>
      <c r="C126" s="19" t="s">
        <v>144</v>
      </c>
      <c r="D126" s="45">
        <v>0</v>
      </c>
      <c r="E126" s="45">
        <v>41</v>
      </c>
      <c r="F126" s="45">
        <v>0</v>
      </c>
      <c r="G126" s="45">
        <v>0</v>
      </c>
      <c r="H126" s="45">
        <v>0</v>
      </c>
      <c r="I126" s="45">
        <v>0</v>
      </c>
      <c r="J126" s="45">
        <v>0</v>
      </c>
      <c r="K126" s="45">
        <v>0</v>
      </c>
      <c r="L126" s="45">
        <v>0</v>
      </c>
      <c r="M126" s="45">
        <v>0</v>
      </c>
      <c r="N126" s="45">
        <f t="shared" si="17"/>
        <v>41</v>
      </c>
      <c r="O126" s="46">
        <f t="shared" si="13"/>
        <v>3.4151270135713818E-5</v>
      </c>
      <c r="P126" s="9"/>
    </row>
    <row r="127" spans="1:16">
      <c r="A127" s="11"/>
      <c r="B127" s="24">
        <v>362</v>
      </c>
      <c r="C127" s="19" t="s">
        <v>145</v>
      </c>
      <c r="D127" s="45">
        <v>806987</v>
      </c>
      <c r="E127" s="45">
        <v>98237</v>
      </c>
      <c r="F127" s="45">
        <v>235656</v>
      </c>
      <c r="G127" s="45">
        <v>9815</v>
      </c>
      <c r="H127" s="45">
        <v>0</v>
      </c>
      <c r="I127" s="45">
        <v>0</v>
      </c>
      <c r="J127" s="45">
        <v>0</v>
      </c>
      <c r="K127" s="45">
        <v>0</v>
      </c>
      <c r="L127" s="45">
        <v>0</v>
      </c>
      <c r="M127" s="45">
        <v>0</v>
      </c>
      <c r="N127" s="45">
        <f t="shared" si="17"/>
        <v>1150695</v>
      </c>
      <c r="O127" s="46">
        <f t="shared" si="13"/>
        <v>0.95848038509305389</v>
      </c>
      <c r="P127" s="9"/>
    </row>
    <row r="128" spans="1:16">
      <c r="A128" s="11"/>
      <c r="B128" s="24">
        <v>363.11</v>
      </c>
      <c r="C128" s="19" t="s">
        <v>25</v>
      </c>
      <c r="D128" s="45">
        <v>0</v>
      </c>
      <c r="E128" s="45">
        <v>5593538</v>
      </c>
      <c r="F128" s="45">
        <v>0</v>
      </c>
      <c r="G128" s="45">
        <v>0</v>
      </c>
      <c r="H128" s="45">
        <v>0</v>
      </c>
      <c r="I128" s="45">
        <v>0</v>
      </c>
      <c r="J128" s="45">
        <v>0</v>
      </c>
      <c r="K128" s="45">
        <v>0</v>
      </c>
      <c r="L128" s="45">
        <v>0</v>
      </c>
      <c r="M128" s="45">
        <v>0</v>
      </c>
      <c r="N128" s="45">
        <f t="shared" si="17"/>
        <v>5593538</v>
      </c>
      <c r="O128" s="46">
        <f t="shared" si="13"/>
        <v>4.6591811524970828</v>
      </c>
      <c r="P128" s="9"/>
    </row>
    <row r="129" spans="1:16">
      <c r="A129" s="11"/>
      <c r="B129" s="24">
        <v>363.12</v>
      </c>
      <c r="C129" s="19" t="s">
        <v>190</v>
      </c>
      <c r="D129" s="45">
        <v>0</v>
      </c>
      <c r="E129" s="45">
        <v>7696823</v>
      </c>
      <c r="F129" s="45">
        <v>0</v>
      </c>
      <c r="G129" s="45">
        <v>0</v>
      </c>
      <c r="H129" s="45">
        <v>0</v>
      </c>
      <c r="I129" s="45">
        <v>0</v>
      </c>
      <c r="J129" s="45">
        <v>0</v>
      </c>
      <c r="K129" s="45">
        <v>0</v>
      </c>
      <c r="L129" s="45">
        <v>0</v>
      </c>
      <c r="M129" s="45">
        <v>0</v>
      </c>
      <c r="N129" s="45">
        <f t="shared" si="17"/>
        <v>7696823</v>
      </c>
      <c r="O129" s="46">
        <f t="shared" si="13"/>
        <v>6.4111288160920781</v>
      </c>
      <c r="P129" s="9"/>
    </row>
    <row r="130" spans="1:16">
      <c r="A130" s="11"/>
      <c r="B130" s="24">
        <v>363.22</v>
      </c>
      <c r="C130" s="19" t="s">
        <v>191</v>
      </c>
      <c r="D130" s="45">
        <v>0</v>
      </c>
      <c r="E130" s="45">
        <v>243216</v>
      </c>
      <c r="F130" s="45">
        <v>0</v>
      </c>
      <c r="G130" s="45">
        <v>0</v>
      </c>
      <c r="H130" s="45">
        <v>0</v>
      </c>
      <c r="I130" s="45">
        <v>0</v>
      </c>
      <c r="J130" s="45">
        <v>0</v>
      </c>
      <c r="K130" s="45">
        <v>0</v>
      </c>
      <c r="L130" s="45">
        <v>0</v>
      </c>
      <c r="M130" s="45">
        <v>0</v>
      </c>
      <c r="N130" s="45">
        <f t="shared" si="17"/>
        <v>243216</v>
      </c>
      <c r="O130" s="46">
        <f t="shared" si="13"/>
        <v>0.2025886662762871</v>
      </c>
      <c r="P130" s="9"/>
    </row>
    <row r="131" spans="1:16">
      <c r="A131" s="11"/>
      <c r="B131" s="24">
        <v>363.23</v>
      </c>
      <c r="C131" s="19" t="s">
        <v>192</v>
      </c>
      <c r="D131" s="45">
        <v>0</v>
      </c>
      <c r="E131" s="45">
        <v>9955375</v>
      </c>
      <c r="F131" s="45">
        <v>0</v>
      </c>
      <c r="G131" s="45">
        <v>0</v>
      </c>
      <c r="H131" s="45">
        <v>0</v>
      </c>
      <c r="I131" s="45">
        <v>0</v>
      </c>
      <c r="J131" s="45">
        <v>0</v>
      </c>
      <c r="K131" s="45">
        <v>0</v>
      </c>
      <c r="L131" s="45">
        <v>0</v>
      </c>
      <c r="M131" s="45">
        <v>2062000</v>
      </c>
      <c r="N131" s="45">
        <f t="shared" si="17"/>
        <v>12017375</v>
      </c>
      <c r="O131" s="46">
        <f t="shared" si="13"/>
        <v>10.009966340174971</v>
      </c>
      <c r="P131" s="9"/>
    </row>
    <row r="132" spans="1:16">
      <c r="A132" s="11"/>
      <c r="B132" s="24">
        <v>363.24</v>
      </c>
      <c r="C132" s="19" t="s">
        <v>193</v>
      </c>
      <c r="D132" s="45">
        <v>0</v>
      </c>
      <c r="E132" s="45">
        <v>5786498</v>
      </c>
      <c r="F132" s="45">
        <v>0</v>
      </c>
      <c r="G132" s="45">
        <v>0</v>
      </c>
      <c r="H132" s="45">
        <v>0</v>
      </c>
      <c r="I132" s="45">
        <v>0</v>
      </c>
      <c r="J132" s="45">
        <v>0</v>
      </c>
      <c r="K132" s="45">
        <v>0</v>
      </c>
      <c r="L132" s="45">
        <v>0</v>
      </c>
      <c r="M132" s="45">
        <v>0</v>
      </c>
      <c r="N132" s="45">
        <f t="shared" si="17"/>
        <v>5786498</v>
      </c>
      <c r="O132" s="46">
        <f t="shared" si="13"/>
        <v>4.8199086911650664</v>
      </c>
      <c r="P132" s="9"/>
    </row>
    <row r="133" spans="1:16">
      <c r="A133" s="11"/>
      <c r="B133" s="24">
        <v>363.27</v>
      </c>
      <c r="C133" s="19" t="s">
        <v>194</v>
      </c>
      <c r="D133" s="45">
        <v>0</v>
      </c>
      <c r="E133" s="45">
        <v>922061</v>
      </c>
      <c r="F133" s="45">
        <v>0</v>
      </c>
      <c r="G133" s="45">
        <v>0</v>
      </c>
      <c r="H133" s="45">
        <v>0</v>
      </c>
      <c r="I133" s="45">
        <v>0</v>
      </c>
      <c r="J133" s="45">
        <v>0</v>
      </c>
      <c r="K133" s="45">
        <v>0</v>
      </c>
      <c r="L133" s="45">
        <v>0</v>
      </c>
      <c r="M133" s="45">
        <v>0</v>
      </c>
      <c r="N133" s="45">
        <f t="shared" si="17"/>
        <v>922061</v>
      </c>
      <c r="O133" s="46">
        <f t="shared" ref="O133:O147" si="18">(N133/O$149)</f>
        <v>0.76803790957576623</v>
      </c>
      <c r="P133" s="9"/>
    </row>
    <row r="134" spans="1:16">
      <c r="A134" s="11"/>
      <c r="B134" s="24">
        <v>364</v>
      </c>
      <c r="C134" s="19" t="s">
        <v>146</v>
      </c>
      <c r="D134" s="45">
        <v>174286</v>
      </c>
      <c r="E134" s="45">
        <v>73338</v>
      </c>
      <c r="F134" s="45">
        <v>0</v>
      </c>
      <c r="G134" s="45">
        <v>0</v>
      </c>
      <c r="H134" s="45">
        <v>0</v>
      </c>
      <c r="I134" s="45">
        <v>551000</v>
      </c>
      <c r="J134" s="45">
        <v>1449000</v>
      </c>
      <c r="K134" s="45">
        <v>0</v>
      </c>
      <c r="L134" s="45">
        <v>0</v>
      </c>
      <c r="M134" s="45">
        <v>0</v>
      </c>
      <c r="N134" s="45">
        <f t="shared" si="17"/>
        <v>2247624</v>
      </c>
      <c r="O134" s="46">
        <f t="shared" si="18"/>
        <v>1.8721759606710642</v>
      </c>
      <c r="P134" s="9"/>
    </row>
    <row r="135" spans="1:16">
      <c r="A135" s="11"/>
      <c r="B135" s="24">
        <v>365</v>
      </c>
      <c r="C135" s="19" t="s">
        <v>147</v>
      </c>
      <c r="D135" s="45">
        <v>28938</v>
      </c>
      <c r="E135" s="45">
        <v>17474</v>
      </c>
      <c r="F135" s="45">
        <v>0</v>
      </c>
      <c r="G135" s="45">
        <v>0</v>
      </c>
      <c r="H135" s="45">
        <v>0</v>
      </c>
      <c r="I135" s="45">
        <v>0</v>
      </c>
      <c r="J135" s="45">
        <v>0</v>
      </c>
      <c r="K135" s="45">
        <v>0</v>
      </c>
      <c r="L135" s="45">
        <v>0</v>
      </c>
      <c r="M135" s="45">
        <v>0</v>
      </c>
      <c r="N135" s="45">
        <f t="shared" si="17"/>
        <v>46412</v>
      </c>
      <c r="O135" s="46">
        <f t="shared" si="18"/>
        <v>3.8659237793628037E-2</v>
      </c>
      <c r="P135" s="9"/>
    </row>
    <row r="136" spans="1:16">
      <c r="A136" s="11"/>
      <c r="B136" s="24">
        <v>366</v>
      </c>
      <c r="C136" s="19" t="s">
        <v>148</v>
      </c>
      <c r="D136" s="45">
        <v>234937</v>
      </c>
      <c r="E136" s="45">
        <v>20625056</v>
      </c>
      <c r="F136" s="45">
        <v>0</v>
      </c>
      <c r="G136" s="45">
        <v>0</v>
      </c>
      <c r="H136" s="45">
        <v>0</v>
      </c>
      <c r="I136" s="45">
        <v>0</v>
      </c>
      <c r="J136" s="45">
        <v>0</v>
      </c>
      <c r="K136" s="45">
        <v>0</v>
      </c>
      <c r="L136" s="45">
        <v>0</v>
      </c>
      <c r="M136" s="45">
        <v>0</v>
      </c>
      <c r="N136" s="45">
        <f t="shared" si="17"/>
        <v>20859993</v>
      </c>
      <c r="O136" s="46">
        <f t="shared" si="18"/>
        <v>17.375494048099981</v>
      </c>
      <c r="P136" s="9"/>
    </row>
    <row r="137" spans="1:16">
      <c r="A137" s="11"/>
      <c r="B137" s="24">
        <v>369.3</v>
      </c>
      <c r="C137" s="19" t="s">
        <v>150</v>
      </c>
      <c r="D137" s="45">
        <v>336362</v>
      </c>
      <c r="E137" s="45">
        <v>1060061</v>
      </c>
      <c r="F137" s="45">
        <v>0</v>
      </c>
      <c r="G137" s="45">
        <v>0</v>
      </c>
      <c r="H137" s="45">
        <v>0</v>
      </c>
      <c r="I137" s="45">
        <v>0</v>
      </c>
      <c r="J137" s="45">
        <v>0</v>
      </c>
      <c r="K137" s="45">
        <v>0</v>
      </c>
      <c r="L137" s="45">
        <v>0</v>
      </c>
      <c r="M137" s="45">
        <v>0</v>
      </c>
      <c r="N137" s="45">
        <f t="shared" si="17"/>
        <v>1396423</v>
      </c>
      <c r="O137" s="46">
        <f t="shared" si="18"/>
        <v>1.1631614413835096</v>
      </c>
      <c r="P137" s="9"/>
    </row>
    <row r="138" spans="1:16">
      <c r="A138" s="11"/>
      <c r="B138" s="24">
        <v>369.9</v>
      </c>
      <c r="C138" s="19" t="s">
        <v>151</v>
      </c>
      <c r="D138" s="45">
        <v>1720689</v>
      </c>
      <c r="E138" s="45">
        <v>11241936</v>
      </c>
      <c r="F138" s="45">
        <v>511024</v>
      </c>
      <c r="G138" s="45">
        <v>9801208</v>
      </c>
      <c r="H138" s="45">
        <v>0</v>
      </c>
      <c r="I138" s="45">
        <v>0</v>
      </c>
      <c r="J138" s="45">
        <v>0</v>
      </c>
      <c r="K138" s="45">
        <v>0</v>
      </c>
      <c r="L138" s="45">
        <v>0</v>
      </c>
      <c r="M138" s="45">
        <v>2000</v>
      </c>
      <c r="N138" s="45">
        <f t="shared" si="17"/>
        <v>23276857</v>
      </c>
      <c r="O138" s="46">
        <f t="shared" si="18"/>
        <v>19.388639788228808</v>
      </c>
      <c r="P138" s="9"/>
    </row>
    <row r="139" spans="1:16" ht="15.75">
      <c r="A139" s="28" t="s">
        <v>77</v>
      </c>
      <c r="B139" s="29"/>
      <c r="C139" s="30"/>
      <c r="D139" s="31">
        <f t="shared" ref="D139:M139" si="19">SUM(D140:D146)</f>
        <v>121821294</v>
      </c>
      <c r="E139" s="31">
        <f t="shared" si="19"/>
        <v>1114027691</v>
      </c>
      <c r="F139" s="31">
        <f t="shared" si="19"/>
        <v>79329655</v>
      </c>
      <c r="G139" s="31">
        <f t="shared" si="19"/>
        <v>129273516</v>
      </c>
      <c r="H139" s="31">
        <f t="shared" si="19"/>
        <v>0</v>
      </c>
      <c r="I139" s="31">
        <f t="shared" si="19"/>
        <v>84927000</v>
      </c>
      <c r="J139" s="31">
        <f t="shared" si="19"/>
        <v>37574000</v>
      </c>
      <c r="K139" s="31">
        <f t="shared" si="19"/>
        <v>0</v>
      </c>
      <c r="L139" s="31">
        <f t="shared" si="19"/>
        <v>0</v>
      </c>
      <c r="M139" s="31">
        <f t="shared" si="19"/>
        <v>4970000</v>
      </c>
      <c r="N139" s="31">
        <f>SUM(D139:M139)</f>
        <v>1571923156</v>
      </c>
      <c r="O139" s="44">
        <f t="shared" si="18"/>
        <v>1309.3456666619466</v>
      </c>
      <c r="P139" s="9"/>
    </row>
    <row r="140" spans="1:16">
      <c r="A140" s="11"/>
      <c r="B140" s="24">
        <v>381</v>
      </c>
      <c r="C140" s="19" t="s">
        <v>152</v>
      </c>
      <c r="D140" s="45">
        <v>121821294</v>
      </c>
      <c r="E140" s="45">
        <v>849973776</v>
      </c>
      <c r="F140" s="45">
        <v>60097207</v>
      </c>
      <c r="G140" s="45">
        <v>54583516</v>
      </c>
      <c r="H140" s="45">
        <v>0</v>
      </c>
      <c r="I140" s="45">
        <v>0</v>
      </c>
      <c r="J140" s="45">
        <v>31168000</v>
      </c>
      <c r="K140" s="45">
        <v>0</v>
      </c>
      <c r="L140" s="45">
        <v>0</v>
      </c>
      <c r="M140" s="45">
        <v>0</v>
      </c>
      <c r="N140" s="45">
        <f>SUM(D140:M140)</f>
        <v>1117643793</v>
      </c>
      <c r="O140" s="46">
        <f t="shared" si="18"/>
        <v>930.95012415236135</v>
      </c>
      <c r="P140" s="9"/>
    </row>
    <row r="141" spans="1:16">
      <c r="A141" s="11"/>
      <c r="B141" s="24">
        <v>384</v>
      </c>
      <c r="C141" s="19" t="s">
        <v>153</v>
      </c>
      <c r="D141" s="45">
        <v>0</v>
      </c>
      <c r="E141" s="45">
        <v>264053915</v>
      </c>
      <c r="F141" s="45">
        <v>0</v>
      </c>
      <c r="G141" s="45">
        <v>74690000</v>
      </c>
      <c r="H141" s="45">
        <v>0</v>
      </c>
      <c r="I141" s="45">
        <v>0</v>
      </c>
      <c r="J141" s="45">
        <v>0</v>
      </c>
      <c r="K141" s="45">
        <v>0</v>
      </c>
      <c r="L141" s="45">
        <v>0</v>
      </c>
      <c r="M141" s="45">
        <v>0</v>
      </c>
      <c r="N141" s="45">
        <f t="shared" ref="N141:N146" si="20">SUM(D141:M141)</f>
        <v>338743915</v>
      </c>
      <c r="O141" s="46">
        <f t="shared" si="18"/>
        <v>282.15938897547022</v>
      </c>
      <c r="P141" s="9"/>
    </row>
    <row r="142" spans="1:16">
      <c r="A142" s="11"/>
      <c r="B142" s="24">
        <v>385</v>
      </c>
      <c r="C142" s="19" t="s">
        <v>195</v>
      </c>
      <c r="D142" s="45">
        <v>0</v>
      </c>
      <c r="E142" s="45">
        <v>0</v>
      </c>
      <c r="F142" s="45">
        <v>19232448</v>
      </c>
      <c r="G142" s="45">
        <v>0</v>
      </c>
      <c r="H142" s="45">
        <v>0</v>
      </c>
      <c r="I142" s="45">
        <v>0</v>
      </c>
      <c r="J142" s="45">
        <v>0</v>
      </c>
      <c r="K142" s="45">
        <v>0</v>
      </c>
      <c r="L142" s="45">
        <v>0</v>
      </c>
      <c r="M142" s="45">
        <v>0</v>
      </c>
      <c r="N142" s="45">
        <f t="shared" si="20"/>
        <v>19232448</v>
      </c>
      <c r="O142" s="46">
        <f t="shared" si="18"/>
        <v>16.019817732172413</v>
      </c>
      <c r="P142" s="9"/>
    </row>
    <row r="143" spans="1:16">
      <c r="A143" s="11"/>
      <c r="B143" s="24">
        <v>389.1</v>
      </c>
      <c r="C143" s="19" t="s">
        <v>154</v>
      </c>
      <c r="D143" s="45">
        <v>0</v>
      </c>
      <c r="E143" s="45">
        <v>0</v>
      </c>
      <c r="F143" s="45">
        <v>0</v>
      </c>
      <c r="G143" s="45">
        <v>0</v>
      </c>
      <c r="H143" s="45">
        <v>0</v>
      </c>
      <c r="I143" s="45">
        <v>26168000</v>
      </c>
      <c r="J143" s="45">
        <v>6321000</v>
      </c>
      <c r="K143" s="45">
        <v>0</v>
      </c>
      <c r="L143" s="45">
        <v>0</v>
      </c>
      <c r="M143" s="45">
        <v>0</v>
      </c>
      <c r="N143" s="45">
        <f t="shared" si="20"/>
        <v>32489000</v>
      </c>
      <c r="O143" s="46">
        <f t="shared" si="18"/>
        <v>27.061966230224542</v>
      </c>
      <c r="P143" s="9"/>
    </row>
    <row r="144" spans="1:16">
      <c r="A144" s="11"/>
      <c r="B144" s="24">
        <v>389.2</v>
      </c>
      <c r="C144" s="19" t="s">
        <v>155</v>
      </c>
      <c r="D144" s="45">
        <v>0</v>
      </c>
      <c r="E144" s="45">
        <v>0</v>
      </c>
      <c r="F144" s="45">
        <v>0</v>
      </c>
      <c r="G144" s="45">
        <v>0</v>
      </c>
      <c r="H144" s="45">
        <v>0</v>
      </c>
      <c r="I144" s="45">
        <v>55063000</v>
      </c>
      <c r="J144" s="45">
        <v>0</v>
      </c>
      <c r="K144" s="45">
        <v>0</v>
      </c>
      <c r="L144" s="45">
        <v>0</v>
      </c>
      <c r="M144" s="45">
        <v>0</v>
      </c>
      <c r="N144" s="45">
        <f t="shared" si="20"/>
        <v>55063000</v>
      </c>
      <c r="O144" s="46">
        <f t="shared" si="18"/>
        <v>45.865155792263657</v>
      </c>
      <c r="P144" s="9"/>
    </row>
    <row r="145" spans="1:119">
      <c r="A145" s="11"/>
      <c r="B145" s="24">
        <v>389.4</v>
      </c>
      <c r="C145" s="19" t="s">
        <v>156</v>
      </c>
      <c r="D145" s="45">
        <v>0</v>
      </c>
      <c r="E145" s="45">
        <v>0</v>
      </c>
      <c r="F145" s="45">
        <v>0</v>
      </c>
      <c r="G145" s="45">
        <v>0</v>
      </c>
      <c r="H145" s="45">
        <v>0</v>
      </c>
      <c r="I145" s="45">
        <v>0</v>
      </c>
      <c r="J145" s="45">
        <v>75000</v>
      </c>
      <c r="K145" s="45">
        <v>0</v>
      </c>
      <c r="L145" s="45">
        <v>0</v>
      </c>
      <c r="M145" s="45">
        <v>4970000</v>
      </c>
      <c r="N145" s="45">
        <f t="shared" si="20"/>
        <v>5045000</v>
      </c>
      <c r="O145" s="46">
        <f t="shared" si="18"/>
        <v>4.2022721423091758</v>
      </c>
      <c r="P145" s="9"/>
    </row>
    <row r="146" spans="1:119" ht="15.75" thickBot="1">
      <c r="A146" s="11"/>
      <c r="B146" s="24">
        <v>389.9</v>
      </c>
      <c r="C146" s="19" t="s">
        <v>157</v>
      </c>
      <c r="D146" s="45">
        <v>0</v>
      </c>
      <c r="E146" s="45">
        <v>0</v>
      </c>
      <c r="F146" s="45">
        <v>0</v>
      </c>
      <c r="G146" s="45">
        <v>0</v>
      </c>
      <c r="H146" s="45">
        <v>0</v>
      </c>
      <c r="I146" s="45">
        <v>3696000</v>
      </c>
      <c r="J146" s="45">
        <v>10000</v>
      </c>
      <c r="K146" s="45">
        <v>0</v>
      </c>
      <c r="L146" s="45">
        <v>0</v>
      </c>
      <c r="M146" s="45">
        <v>0</v>
      </c>
      <c r="N146" s="45">
        <f t="shared" si="20"/>
        <v>3706000</v>
      </c>
      <c r="O146" s="46">
        <f t="shared" si="18"/>
        <v>3.0869416371452538</v>
      </c>
      <c r="P146" s="9"/>
    </row>
    <row r="147" spans="1:119" ht="16.5" thickBot="1">
      <c r="A147" s="13" t="s">
        <v>114</v>
      </c>
      <c r="B147" s="22"/>
      <c r="C147" s="21"/>
      <c r="D147" s="14">
        <f t="shared" ref="D147:M147" si="21">SUM(D5,D13,D18,D61,D116,D123,D139)</f>
        <v>979329000</v>
      </c>
      <c r="E147" s="14">
        <f t="shared" si="21"/>
        <v>1848324601</v>
      </c>
      <c r="F147" s="14">
        <f t="shared" si="21"/>
        <v>89426950</v>
      </c>
      <c r="G147" s="14">
        <f t="shared" si="21"/>
        <v>140276299</v>
      </c>
      <c r="H147" s="14">
        <f t="shared" si="21"/>
        <v>0</v>
      </c>
      <c r="I147" s="14">
        <f t="shared" si="21"/>
        <v>358159000</v>
      </c>
      <c r="J147" s="14">
        <f t="shared" si="21"/>
        <v>184709000</v>
      </c>
      <c r="K147" s="14">
        <f t="shared" si="21"/>
        <v>0</v>
      </c>
      <c r="L147" s="14">
        <f t="shared" si="21"/>
        <v>0</v>
      </c>
      <c r="M147" s="14">
        <f t="shared" si="21"/>
        <v>9360000</v>
      </c>
      <c r="N147" s="14">
        <f>SUM(D147:M147)</f>
        <v>3609584850</v>
      </c>
      <c r="O147" s="37">
        <f t="shared" si="18"/>
        <v>3006.6318851251226</v>
      </c>
      <c r="P147" s="6"/>
      <c r="Q147" s="2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</row>
    <row r="148" spans="1:119">
      <c r="A148" s="15"/>
      <c r="B148" s="17"/>
      <c r="C148" s="17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8"/>
    </row>
    <row r="149" spans="1:119">
      <c r="A149" s="39"/>
      <c r="B149" s="40"/>
      <c r="C149" s="40"/>
      <c r="D149" s="41"/>
      <c r="E149" s="41"/>
      <c r="F149" s="41"/>
      <c r="G149" s="41"/>
      <c r="H149" s="41"/>
      <c r="I149" s="41"/>
      <c r="J149" s="41"/>
      <c r="K149" s="41"/>
      <c r="L149" s="48" t="s">
        <v>196</v>
      </c>
      <c r="M149" s="48"/>
      <c r="N149" s="48"/>
      <c r="O149" s="42">
        <v>1200541</v>
      </c>
    </row>
    <row r="150" spans="1:119">
      <c r="A150" s="49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1"/>
    </row>
    <row r="151" spans="1:119" ht="15.75" customHeight="1" thickBot="1">
      <c r="A151" s="52" t="s">
        <v>178</v>
      </c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4"/>
    </row>
  </sheetData>
  <mergeCells count="10">
    <mergeCell ref="L149:N149"/>
    <mergeCell ref="A150:O150"/>
    <mergeCell ref="A151:O151"/>
    <mergeCell ref="A1:O1"/>
    <mergeCell ref="A2:O2"/>
    <mergeCell ref="A3:C4"/>
    <mergeCell ref="D3:H3"/>
    <mergeCell ref="I3:J3"/>
    <mergeCell ref="K3:L3"/>
    <mergeCell ref="O3:O4"/>
  </mergeCells>
  <printOptions horizontalCentered="1"/>
  <pageMargins left="0.5" right="0.5" top="0.5" bottom="0.5" header="0.3" footer="0.3"/>
  <pageSetup paperSize="5" scale="55" fitToHeight="0" orientation="landscape" r:id="rId1"/>
  <headerFooter>
    <oddFooter>&amp;L&amp;14Office of Economic and Demographic Research&amp;R&amp;14Page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EC153"/>
  <sheetViews>
    <sheetView workbookViewId="0">
      <selection sqref="A1:O1"/>
    </sheetView>
  </sheetViews>
  <sheetFormatPr defaultColWidth="9.77734375" defaultRowHeight="15"/>
  <cols>
    <col min="1" max="1" width="1.77734375" style="3" customWidth="1"/>
    <col min="2" max="2" width="6.77734375" style="3" customWidth="1"/>
    <col min="3" max="3" width="60.77734375" style="3" customWidth="1"/>
    <col min="4" max="5" width="16.77734375" style="4" customWidth="1"/>
    <col min="6" max="7" width="15.77734375" style="4" customWidth="1"/>
    <col min="8" max="8" width="13.77734375" style="4" customWidth="1"/>
    <col min="9" max="10" width="15.77734375" style="4" customWidth="1"/>
    <col min="11" max="13" width="13.77734375" style="4" customWidth="1"/>
    <col min="14" max="14" width="16.77734375" style="4" customWidth="1"/>
    <col min="15" max="15" width="13.77734375" style="3" customWidth="1"/>
    <col min="16" max="16" width="9.77734375" style="3" customWidth="1"/>
    <col min="17" max="17" width="9.77734375" style="3"/>
  </cols>
  <sheetData>
    <row r="1" spans="1:133" ht="27.75">
      <c r="A1" s="55" t="s">
        <v>165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7"/>
      <c r="P1" s="7"/>
      <c r="Q1"/>
    </row>
    <row r="2" spans="1:133" ht="24" thickBot="1">
      <c r="A2" s="58" t="s">
        <v>266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60"/>
      <c r="P2" s="7"/>
      <c r="Q2"/>
    </row>
    <row r="3" spans="1:133" ht="18" customHeight="1">
      <c r="A3" s="61" t="s">
        <v>158</v>
      </c>
      <c r="B3" s="62"/>
      <c r="C3" s="63"/>
      <c r="D3" s="67" t="s">
        <v>71</v>
      </c>
      <c r="E3" s="68"/>
      <c r="F3" s="68"/>
      <c r="G3" s="68"/>
      <c r="H3" s="69"/>
      <c r="I3" s="67" t="s">
        <v>72</v>
      </c>
      <c r="J3" s="69"/>
      <c r="K3" s="67" t="s">
        <v>74</v>
      </c>
      <c r="L3" s="69"/>
      <c r="M3" s="35"/>
      <c r="N3" s="36"/>
      <c r="O3" s="70" t="s">
        <v>163</v>
      </c>
      <c r="P3" s="5"/>
      <c r="Q3"/>
    </row>
    <row r="4" spans="1:133" ht="32.25" customHeight="1" thickBot="1">
      <c r="A4" s="64"/>
      <c r="B4" s="65"/>
      <c r="C4" s="66"/>
      <c r="D4" s="33" t="s">
        <v>6</v>
      </c>
      <c r="E4" s="33" t="s">
        <v>159</v>
      </c>
      <c r="F4" s="33" t="s">
        <v>160</v>
      </c>
      <c r="G4" s="33" t="s">
        <v>161</v>
      </c>
      <c r="H4" s="33" t="s">
        <v>7</v>
      </c>
      <c r="I4" s="33" t="s">
        <v>8</v>
      </c>
      <c r="J4" s="34" t="s">
        <v>162</v>
      </c>
      <c r="K4" s="34" t="s">
        <v>9</v>
      </c>
      <c r="L4" s="34" t="s">
        <v>10</v>
      </c>
      <c r="M4" s="34" t="s">
        <v>11</v>
      </c>
      <c r="N4" s="34" t="s">
        <v>73</v>
      </c>
      <c r="O4" s="71"/>
      <c r="P4" s="8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</row>
    <row r="5" spans="1:133" ht="15.75">
      <c r="A5" s="23" t="s">
        <v>2</v>
      </c>
      <c r="B5" s="25"/>
      <c r="C5" s="25"/>
      <c r="D5" s="26">
        <f t="shared" ref="D5:M5" si="0">SUM(D6:D12)</f>
        <v>755441949</v>
      </c>
      <c r="E5" s="26">
        <f t="shared" si="0"/>
        <v>314734365</v>
      </c>
      <c r="F5" s="26">
        <f t="shared" si="0"/>
        <v>6399189</v>
      </c>
      <c r="G5" s="26">
        <f t="shared" si="0"/>
        <v>0</v>
      </c>
      <c r="H5" s="26">
        <f t="shared" si="0"/>
        <v>0</v>
      </c>
      <c r="I5" s="26">
        <f t="shared" si="0"/>
        <v>0</v>
      </c>
      <c r="J5" s="26">
        <f t="shared" si="0"/>
        <v>0</v>
      </c>
      <c r="K5" s="26">
        <f t="shared" si="0"/>
        <v>0</v>
      </c>
      <c r="L5" s="26">
        <f t="shared" si="0"/>
        <v>0</v>
      </c>
      <c r="M5" s="26">
        <f t="shared" si="0"/>
        <v>0</v>
      </c>
      <c r="N5" s="27">
        <f t="shared" ref="N5:N20" si="1">SUM(D5:M5)</f>
        <v>1076575503</v>
      </c>
      <c r="O5" s="32">
        <f t="shared" ref="O5:O36" si="2">(N5/O$151)</f>
        <v>902.51546743501547</v>
      </c>
      <c r="P5" s="6"/>
    </row>
    <row r="6" spans="1:133">
      <c r="A6" s="11"/>
      <c r="B6" s="24">
        <v>311</v>
      </c>
      <c r="C6" s="19" t="s">
        <v>3</v>
      </c>
      <c r="D6" s="45">
        <v>726371025</v>
      </c>
      <c r="E6" s="45">
        <v>50272895</v>
      </c>
      <c r="F6" s="45">
        <v>6399189</v>
      </c>
      <c r="G6" s="45">
        <v>0</v>
      </c>
      <c r="H6" s="45">
        <v>0</v>
      </c>
      <c r="I6" s="45">
        <v>0</v>
      </c>
      <c r="J6" s="45">
        <v>0</v>
      </c>
      <c r="K6" s="45">
        <v>0</v>
      </c>
      <c r="L6" s="45">
        <v>0</v>
      </c>
      <c r="M6" s="45">
        <v>0</v>
      </c>
      <c r="N6" s="45">
        <f t="shared" si="1"/>
        <v>783043109</v>
      </c>
      <c r="O6" s="46">
        <f t="shared" si="2"/>
        <v>656.44120228593272</v>
      </c>
      <c r="P6" s="9"/>
    </row>
    <row r="7" spans="1:133">
      <c r="A7" s="11"/>
      <c r="B7" s="24">
        <v>312.10000000000002</v>
      </c>
      <c r="C7" s="19" t="s">
        <v>12</v>
      </c>
      <c r="D7" s="45">
        <v>0</v>
      </c>
      <c r="E7" s="45">
        <v>21840869</v>
      </c>
      <c r="F7" s="45">
        <v>0</v>
      </c>
      <c r="G7" s="45">
        <v>0</v>
      </c>
      <c r="H7" s="45">
        <v>0</v>
      </c>
      <c r="I7" s="45">
        <v>0</v>
      </c>
      <c r="J7" s="45">
        <v>0</v>
      </c>
      <c r="K7" s="45">
        <v>0</v>
      </c>
      <c r="L7" s="45">
        <v>0</v>
      </c>
      <c r="M7" s="45">
        <v>0</v>
      </c>
      <c r="N7" s="45">
        <f t="shared" si="1"/>
        <v>21840869</v>
      </c>
      <c r="O7" s="46">
        <f t="shared" si="2"/>
        <v>18.309651334061556</v>
      </c>
      <c r="P7" s="9"/>
    </row>
    <row r="8" spans="1:133">
      <c r="A8" s="11"/>
      <c r="B8" s="24">
        <v>312.3</v>
      </c>
      <c r="C8" s="19" t="s">
        <v>13</v>
      </c>
      <c r="D8" s="45">
        <v>0</v>
      </c>
      <c r="E8" s="45">
        <v>6988861</v>
      </c>
      <c r="F8" s="45">
        <v>0</v>
      </c>
      <c r="G8" s="45">
        <v>0</v>
      </c>
      <c r="H8" s="45">
        <v>0</v>
      </c>
      <c r="I8" s="45">
        <v>0</v>
      </c>
      <c r="J8" s="45">
        <v>0</v>
      </c>
      <c r="K8" s="45">
        <v>0</v>
      </c>
      <c r="L8" s="45">
        <v>0</v>
      </c>
      <c r="M8" s="45">
        <v>0</v>
      </c>
      <c r="N8" s="45">
        <f t="shared" si="1"/>
        <v>6988861</v>
      </c>
      <c r="O8" s="46">
        <f t="shared" si="2"/>
        <v>5.858906444254611</v>
      </c>
      <c r="P8" s="9"/>
    </row>
    <row r="9" spans="1:133">
      <c r="A9" s="11"/>
      <c r="B9" s="24">
        <v>312.41000000000003</v>
      </c>
      <c r="C9" s="19" t="s">
        <v>14</v>
      </c>
      <c r="D9" s="45">
        <v>0</v>
      </c>
      <c r="E9" s="45">
        <v>25637482</v>
      </c>
      <c r="F9" s="45">
        <v>0</v>
      </c>
      <c r="G9" s="45">
        <v>0</v>
      </c>
      <c r="H9" s="45">
        <v>0</v>
      </c>
      <c r="I9" s="45">
        <v>0</v>
      </c>
      <c r="J9" s="45">
        <v>0</v>
      </c>
      <c r="K9" s="45">
        <v>0</v>
      </c>
      <c r="L9" s="45">
        <v>0</v>
      </c>
      <c r="M9" s="45">
        <v>0</v>
      </c>
      <c r="N9" s="45">
        <f t="shared" si="1"/>
        <v>25637482</v>
      </c>
      <c r="O9" s="46">
        <f t="shared" si="2"/>
        <v>21.492430383758041</v>
      </c>
      <c r="P9" s="9"/>
    </row>
    <row r="10" spans="1:133">
      <c r="A10" s="11"/>
      <c r="B10" s="24">
        <v>312.60000000000002</v>
      </c>
      <c r="C10" s="19" t="s">
        <v>15</v>
      </c>
      <c r="D10" s="45">
        <v>0</v>
      </c>
      <c r="E10" s="45">
        <v>209796218</v>
      </c>
      <c r="F10" s="45">
        <v>0</v>
      </c>
      <c r="G10" s="45">
        <v>0</v>
      </c>
      <c r="H10" s="45">
        <v>0</v>
      </c>
      <c r="I10" s="45">
        <v>0</v>
      </c>
      <c r="J10" s="45">
        <v>0</v>
      </c>
      <c r="K10" s="45">
        <v>0</v>
      </c>
      <c r="L10" s="45">
        <v>0</v>
      </c>
      <c r="M10" s="45">
        <v>0</v>
      </c>
      <c r="N10" s="45">
        <f t="shared" si="1"/>
        <v>209796218</v>
      </c>
      <c r="O10" s="46">
        <f t="shared" si="2"/>
        <v>175.87650027957994</v>
      </c>
      <c r="P10" s="9"/>
    </row>
    <row r="11" spans="1:133">
      <c r="A11" s="11"/>
      <c r="B11" s="24">
        <v>315</v>
      </c>
      <c r="C11" s="19" t="s">
        <v>202</v>
      </c>
      <c r="D11" s="45">
        <v>27236349</v>
      </c>
      <c r="E11" s="45">
        <v>0</v>
      </c>
      <c r="F11" s="45">
        <v>0</v>
      </c>
      <c r="G11" s="45">
        <v>0</v>
      </c>
      <c r="H11" s="45">
        <v>0</v>
      </c>
      <c r="I11" s="45">
        <v>0</v>
      </c>
      <c r="J11" s="45">
        <v>0</v>
      </c>
      <c r="K11" s="45">
        <v>0</v>
      </c>
      <c r="L11" s="45">
        <v>0</v>
      </c>
      <c r="M11" s="45">
        <v>0</v>
      </c>
      <c r="N11" s="45">
        <f t="shared" si="1"/>
        <v>27236349</v>
      </c>
      <c r="O11" s="46">
        <f t="shared" si="2"/>
        <v>22.832793594559636</v>
      </c>
      <c r="P11" s="9"/>
    </row>
    <row r="12" spans="1:133">
      <c r="A12" s="11"/>
      <c r="B12" s="24">
        <v>316</v>
      </c>
      <c r="C12" s="19" t="s">
        <v>17</v>
      </c>
      <c r="D12" s="45">
        <v>1834575</v>
      </c>
      <c r="E12" s="45">
        <v>198040</v>
      </c>
      <c r="F12" s="45">
        <v>0</v>
      </c>
      <c r="G12" s="45">
        <v>0</v>
      </c>
      <c r="H12" s="45">
        <v>0</v>
      </c>
      <c r="I12" s="45">
        <v>0</v>
      </c>
      <c r="J12" s="45">
        <v>0</v>
      </c>
      <c r="K12" s="45">
        <v>0</v>
      </c>
      <c r="L12" s="45">
        <v>0</v>
      </c>
      <c r="M12" s="45">
        <v>0</v>
      </c>
      <c r="N12" s="45">
        <f t="shared" si="1"/>
        <v>2032615</v>
      </c>
      <c r="O12" s="46">
        <f t="shared" si="2"/>
        <v>1.7039831128689764</v>
      </c>
      <c r="P12" s="9"/>
    </row>
    <row r="13" spans="1:133" ht="15.75">
      <c r="A13" s="28" t="s">
        <v>267</v>
      </c>
      <c r="B13" s="29"/>
      <c r="C13" s="30"/>
      <c r="D13" s="31">
        <f t="shared" ref="D13:M13" si="3">SUM(D14:D17)</f>
        <v>2578059</v>
      </c>
      <c r="E13" s="31">
        <f t="shared" si="3"/>
        <v>10468298</v>
      </c>
      <c r="F13" s="31">
        <f t="shared" si="3"/>
        <v>0</v>
      </c>
      <c r="G13" s="31">
        <f t="shared" si="3"/>
        <v>0</v>
      </c>
      <c r="H13" s="31">
        <f t="shared" si="3"/>
        <v>0</v>
      </c>
      <c r="I13" s="31">
        <f t="shared" si="3"/>
        <v>0</v>
      </c>
      <c r="J13" s="31">
        <f t="shared" si="3"/>
        <v>0</v>
      </c>
      <c r="K13" s="31">
        <f t="shared" si="3"/>
        <v>0</v>
      </c>
      <c r="L13" s="31">
        <f t="shared" si="3"/>
        <v>0</v>
      </c>
      <c r="M13" s="31">
        <f t="shared" si="3"/>
        <v>0</v>
      </c>
      <c r="N13" s="43">
        <f t="shared" si="1"/>
        <v>13046357</v>
      </c>
      <c r="O13" s="44">
        <f t="shared" si="2"/>
        <v>10.937030383255047</v>
      </c>
      <c r="P13" s="10"/>
    </row>
    <row r="14" spans="1:133">
      <c r="A14" s="11"/>
      <c r="B14" s="24">
        <v>322</v>
      </c>
      <c r="C14" s="19" t="s">
        <v>0</v>
      </c>
      <c r="D14" s="45">
        <v>3640</v>
      </c>
      <c r="E14" s="45">
        <v>9856732</v>
      </c>
      <c r="F14" s="45">
        <v>0</v>
      </c>
      <c r="G14" s="45">
        <v>0</v>
      </c>
      <c r="H14" s="45">
        <v>0</v>
      </c>
      <c r="I14" s="45">
        <v>0</v>
      </c>
      <c r="J14" s="45">
        <v>0</v>
      </c>
      <c r="K14" s="45">
        <v>0</v>
      </c>
      <c r="L14" s="45">
        <v>0</v>
      </c>
      <c r="M14" s="45">
        <v>0</v>
      </c>
      <c r="N14" s="45">
        <f t="shared" si="1"/>
        <v>9860372</v>
      </c>
      <c r="O14" s="46">
        <f t="shared" si="2"/>
        <v>8.2661533908812519</v>
      </c>
      <c r="P14" s="9"/>
    </row>
    <row r="15" spans="1:133">
      <c r="A15" s="11"/>
      <c r="B15" s="24">
        <v>323.3</v>
      </c>
      <c r="C15" s="19" t="s">
        <v>19</v>
      </c>
      <c r="D15" s="45">
        <v>25868</v>
      </c>
      <c r="E15" s="45">
        <v>0</v>
      </c>
      <c r="F15" s="45">
        <v>0</v>
      </c>
      <c r="G15" s="45">
        <v>0</v>
      </c>
      <c r="H15" s="45">
        <v>0</v>
      </c>
      <c r="I15" s="45">
        <v>0</v>
      </c>
      <c r="J15" s="45">
        <v>0</v>
      </c>
      <c r="K15" s="45">
        <v>0</v>
      </c>
      <c r="L15" s="45">
        <v>0</v>
      </c>
      <c r="M15" s="45">
        <v>0</v>
      </c>
      <c r="N15" s="45">
        <f t="shared" si="1"/>
        <v>25868</v>
      </c>
      <c r="O15" s="46">
        <f t="shared" si="2"/>
        <v>2.1685678381638766E-2</v>
      </c>
      <c r="P15" s="9"/>
    </row>
    <row r="16" spans="1:133">
      <c r="A16" s="11"/>
      <c r="B16" s="24">
        <v>323.60000000000002</v>
      </c>
      <c r="C16" s="19" t="s">
        <v>20</v>
      </c>
      <c r="D16" s="45">
        <v>36560</v>
      </c>
      <c r="E16" s="45">
        <v>0</v>
      </c>
      <c r="F16" s="45">
        <v>0</v>
      </c>
      <c r="G16" s="45">
        <v>0</v>
      </c>
      <c r="H16" s="45">
        <v>0</v>
      </c>
      <c r="I16" s="45">
        <v>0</v>
      </c>
      <c r="J16" s="45">
        <v>0</v>
      </c>
      <c r="K16" s="45">
        <v>0</v>
      </c>
      <c r="L16" s="45">
        <v>0</v>
      </c>
      <c r="M16" s="45">
        <v>0</v>
      </c>
      <c r="N16" s="45">
        <f t="shared" si="1"/>
        <v>36560</v>
      </c>
      <c r="O16" s="46">
        <f t="shared" si="2"/>
        <v>3.0649002691847584E-2</v>
      </c>
      <c r="P16" s="9"/>
    </row>
    <row r="17" spans="1:16">
      <c r="A17" s="11"/>
      <c r="B17" s="24">
        <v>329</v>
      </c>
      <c r="C17" s="19" t="s">
        <v>268</v>
      </c>
      <c r="D17" s="45">
        <v>2511991</v>
      </c>
      <c r="E17" s="45">
        <v>611566</v>
      </c>
      <c r="F17" s="45">
        <v>0</v>
      </c>
      <c r="G17" s="45">
        <v>0</v>
      </c>
      <c r="H17" s="45">
        <v>0</v>
      </c>
      <c r="I17" s="45">
        <v>0</v>
      </c>
      <c r="J17" s="45">
        <v>0</v>
      </c>
      <c r="K17" s="45">
        <v>0</v>
      </c>
      <c r="L17" s="45">
        <v>0</v>
      </c>
      <c r="M17" s="45">
        <v>0</v>
      </c>
      <c r="N17" s="45">
        <f t="shared" si="1"/>
        <v>3123557</v>
      </c>
      <c r="O17" s="46">
        <f t="shared" si="2"/>
        <v>2.6185423113003106</v>
      </c>
      <c r="P17" s="9"/>
    </row>
    <row r="18" spans="1:16" ht="15.75">
      <c r="A18" s="28" t="s">
        <v>30</v>
      </c>
      <c r="B18" s="29"/>
      <c r="C18" s="30"/>
      <c r="D18" s="31">
        <f t="shared" ref="D18:M18" si="4">SUM(D19:D59)</f>
        <v>26044271</v>
      </c>
      <c r="E18" s="31">
        <f t="shared" si="4"/>
        <v>230358269</v>
      </c>
      <c r="F18" s="31">
        <f t="shared" si="4"/>
        <v>0</v>
      </c>
      <c r="G18" s="31">
        <f t="shared" si="4"/>
        <v>0</v>
      </c>
      <c r="H18" s="31">
        <f t="shared" si="4"/>
        <v>0</v>
      </c>
      <c r="I18" s="31">
        <f t="shared" si="4"/>
        <v>0</v>
      </c>
      <c r="J18" s="31">
        <f t="shared" si="4"/>
        <v>888000</v>
      </c>
      <c r="K18" s="31">
        <f t="shared" si="4"/>
        <v>0</v>
      </c>
      <c r="L18" s="31">
        <f t="shared" si="4"/>
        <v>0</v>
      </c>
      <c r="M18" s="31">
        <f t="shared" si="4"/>
        <v>0</v>
      </c>
      <c r="N18" s="43">
        <f t="shared" si="1"/>
        <v>257290540</v>
      </c>
      <c r="O18" s="44">
        <f t="shared" si="2"/>
        <v>215.6919708163818</v>
      </c>
      <c r="P18" s="10"/>
    </row>
    <row r="19" spans="1:16">
      <c r="A19" s="11"/>
      <c r="B19" s="24">
        <v>331.1</v>
      </c>
      <c r="C19" s="19" t="s">
        <v>28</v>
      </c>
      <c r="D19" s="45">
        <v>0</v>
      </c>
      <c r="E19" s="45">
        <v>1503191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5">
        <v>0</v>
      </c>
      <c r="L19" s="45">
        <v>0</v>
      </c>
      <c r="M19" s="45">
        <v>0</v>
      </c>
      <c r="N19" s="45">
        <f t="shared" si="1"/>
        <v>1503191</v>
      </c>
      <c r="O19" s="46">
        <f t="shared" si="2"/>
        <v>1.2601560450044054</v>
      </c>
      <c r="P19" s="9"/>
    </row>
    <row r="20" spans="1:16">
      <c r="A20" s="11"/>
      <c r="B20" s="24">
        <v>331.2</v>
      </c>
      <c r="C20" s="19" t="s">
        <v>29</v>
      </c>
      <c r="D20" s="45">
        <v>0</v>
      </c>
      <c r="E20" s="45">
        <v>10320840</v>
      </c>
      <c r="F20" s="45">
        <v>0</v>
      </c>
      <c r="G20" s="45">
        <v>0</v>
      </c>
      <c r="H20" s="45">
        <v>0</v>
      </c>
      <c r="I20" s="45">
        <v>0</v>
      </c>
      <c r="J20" s="45">
        <v>0</v>
      </c>
      <c r="K20" s="45">
        <v>0</v>
      </c>
      <c r="L20" s="45">
        <v>0</v>
      </c>
      <c r="M20" s="45">
        <v>0</v>
      </c>
      <c r="N20" s="45">
        <f t="shared" si="1"/>
        <v>10320840</v>
      </c>
      <c r="O20" s="46">
        <f t="shared" si="2"/>
        <v>8.6521732205177297</v>
      </c>
      <c r="P20" s="9"/>
    </row>
    <row r="21" spans="1:16">
      <c r="A21" s="11"/>
      <c r="B21" s="24">
        <v>331.31</v>
      </c>
      <c r="C21" s="19" t="s">
        <v>34</v>
      </c>
      <c r="D21" s="45">
        <v>705</v>
      </c>
      <c r="E21" s="45">
        <v>27868</v>
      </c>
      <c r="F21" s="45">
        <v>0</v>
      </c>
      <c r="G21" s="45">
        <v>0</v>
      </c>
      <c r="H21" s="45">
        <v>0</v>
      </c>
      <c r="I21" s="45">
        <v>0</v>
      </c>
      <c r="J21" s="45">
        <v>0</v>
      </c>
      <c r="K21" s="45">
        <v>0</v>
      </c>
      <c r="L21" s="45">
        <v>0</v>
      </c>
      <c r="M21" s="45">
        <v>0</v>
      </c>
      <c r="N21" s="45">
        <f t="shared" ref="N21:N30" si="5">SUM(D21:M21)</f>
        <v>28573</v>
      </c>
      <c r="O21" s="46">
        <f t="shared" si="2"/>
        <v>2.3953335719752764E-2</v>
      </c>
      <c r="P21" s="9"/>
    </row>
    <row r="22" spans="1:16">
      <c r="A22" s="11"/>
      <c r="B22" s="24">
        <v>331.39</v>
      </c>
      <c r="C22" s="19" t="s">
        <v>35</v>
      </c>
      <c r="D22" s="45">
        <v>0</v>
      </c>
      <c r="E22" s="45">
        <v>875307</v>
      </c>
      <c r="F22" s="45">
        <v>0</v>
      </c>
      <c r="G22" s="45">
        <v>0</v>
      </c>
      <c r="H22" s="45">
        <v>0</v>
      </c>
      <c r="I22" s="45">
        <v>0</v>
      </c>
      <c r="J22" s="45">
        <v>0</v>
      </c>
      <c r="K22" s="45">
        <v>0</v>
      </c>
      <c r="L22" s="45">
        <v>0</v>
      </c>
      <c r="M22" s="45">
        <v>0</v>
      </c>
      <c r="N22" s="45">
        <f t="shared" si="5"/>
        <v>875307</v>
      </c>
      <c r="O22" s="46">
        <f t="shared" si="2"/>
        <v>0.73378792667377002</v>
      </c>
      <c r="P22" s="9"/>
    </row>
    <row r="23" spans="1:16">
      <c r="A23" s="11"/>
      <c r="B23" s="24">
        <v>331.49</v>
      </c>
      <c r="C23" s="19" t="s">
        <v>36</v>
      </c>
      <c r="D23" s="45">
        <v>0</v>
      </c>
      <c r="E23" s="45">
        <v>9207430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45">
        <v>0</v>
      </c>
      <c r="L23" s="45">
        <v>0</v>
      </c>
      <c r="M23" s="45">
        <v>0</v>
      </c>
      <c r="N23" s="45">
        <f t="shared" si="5"/>
        <v>9207430</v>
      </c>
      <c r="O23" s="46">
        <f t="shared" si="2"/>
        <v>7.7187786338894471</v>
      </c>
      <c r="P23" s="9"/>
    </row>
    <row r="24" spans="1:16">
      <c r="A24" s="11"/>
      <c r="B24" s="24">
        <v>331.5</v>
      </c>
      <c r="C24" s="19" t="s">
        <v>31</v>
      </c>
      <c r="D24" s="45">
        <v>0</v>
      </c>
      <c r="E24" s="45">
        <v>26414938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5">
        <v>0</v>
      </c>
      <c r="L24" s="45">
        <v>0</v>
      </c>
      <c r="M24" s="45">
        <v>0</v>
      </c>
      <c r="N24" s="45">
        <f t="shared" si="5"/>
        <v>26414938</v>
      </c>
      <c r="O24" s="46">
        <f t="shared" si="2"/>
        <v>22.144187797237063</v>
      </c>
      <c r="P24" s="9"/>
    </row>
    <row r="25" spans="1:16">
      <c r="A25" s="11"/>
      <c r="B25" s="24">
        <v>331.61</v>
      </c>
      <c r="C25" s="19" t="s">
        <v>37</v>
      </c>
      <c r="D25" s="45">
        <v>0</v>
      </c>
      <c r="E25" s="45">
        <v>4246086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f t="shared" si="5"/>
        <v>4246086</v>
      </c>
      <c r="O25" s="46">
        <f t="shared" si="2"/>
        <v>3.5595815438680618</v>
      </c>
      <c r="P25" s="9"/>
    </row>
    <row r="26" spans="1:16">
      <c r="A26" s="11"/>
      <c r="B26" s="24">
        <v>331.65</v>
      </c>
      <c r="C26" s="19" t="s">
        <v>38</v>
      </c>
      <c r="D26" s="45">
        <v>0</v>
      </c>
      <c r="E26" s="45">
        <v>1307460</v>
      </c>
      <c r="F26" s="45">
        <v>0</v>
      </c>
      <c r="G26" s="45">
        <v>0</v>
      </c>
      <c r="H26" s="45">
        <v>0</v>
      </c>
      <c r="I26" s="45">
        <v>0</v>
      </c>
      <c r="J26" s="45">
        <v>0</v>
      </c>
      <c r="K26" s="45">
        <v>0</v>
      </c>
      <c r="L26" s="45">
        <v>0</v>
      </c>
      <c r="M26" s="45">
        <v>0</v>
      </c>
      <c r="N26" s="45">
        <f t="shared" si="5"/>
        <v>1307460</v>
      </c>
      <c r="O26" s="46">
        <f t="shared" si="2"/>
        <v>1.0960707073162756</v>
      </c>
      <c r="P26" s="9"/>
    </row>
    <row r="27" spans="1:16">
      <c r="A27" s="11"/>
      <c r="B27" s="24">
        <v>331.69</v>
      </c>
      <c r="C27" s="19" t="s">
        <v>39</v>
      </c>
      <c r="D27" s="45">
        <v>1372022</v>
      </c>
      <c r="E27" s="45">
        <v>38991608</v>
      </c>
      <c r="F27" s="45">
        <v>0</v>
      </c>
      <c r="G27" s="45">
        <v>0</v>
      </c>
      <c r="H27" s="45">
        <v>0</v>
      </c>
      <c r="I27" s="45">
        <v>0</v>
      </c>
      <c r="J27" s="45">
        <v>0</v>
      </c>
      <c r="K27" s="45">
        <v>0</v>
      </c>
      <c r="L27" s="45">
        <v>0</v>
      </c>
      <c r="M27" s="45">
        <v>0</v>
      </c>
      <c r="N27" s="45">
        <f t="shared" si="5"/>
        <v>40363630</v>
      </c>
      <c r="O27" s="46">
        <f t="shared" si="2"/>
        <v>33.837664237492888</v>
      </c>
      <c r="P27" s="9"/>
    </row>
    <row r="28" spans="1:16">
      <c r="A28" s="11"/>
      <c r="B28" s="24">
        <v>331.9</v>
      </c>
      <c r="C28" s="19" t="s">
        <v>32</v>
      </c>
      <c r="D28" s="45">
        <v>0</v>
      </c>
      <c r="E28" s="45">
        <v>253145</v>
      </c>
      <c r="F28" s="45">
        <v>0</v>
      </c>
      <c r="G28" s="45">
        <v>0</v>
      </c>
      <c r="H28" s="45">
        <v>0</v>
      </c>
      <c r="I28" s="45">
        <v>0</v>
      </c>
      <c r="J28" s="45">
        <v>0</v>
      </c>
      <c r="K28" s="45">
        <v>0</v>
      </c>
      <c r="L28" s="45">
        <v>0</v>
      </c>
      <c r="M28" s="45">
        <v>0</v>
      </c>
      <c r="N28" s="45">
        <f t="shared" si="5"/>
        <v>253145</v>
      </c>
      <c r="O28" s="46">
        <f t="shared" si="2"/>
        <v>0.21221667905984015</v>
      </c>
      <c r="P28" s="9"/>
    </row>
    <row r="29" spans="1:16">
      <c r="A29" s="11"/>
      <c r="B29" s="24">
        <v>333</v>
      </c>
      <c r="C29" s="19" t="s">
        <v>4</v>
      </c>
      <c r="D29" s="45">
        <v>473</v>
      </c>
      <c r="E29" s="45">
        <v>0</v>
      </c>
      <c r="F29" s="45">
        <v>0</v>
      </c>
      <c r="G29" s="45">
        <v>0</v>
      </c>
      <c r="H29" s="45">
        <v>0</v>
      </c>
      <c r="I29" s="45">
        <v>0</v>
      </c>
      <c r="J29" s="45">
        <v>0</v>
      </c>
      <c r="K29" s="45">
        <v>0</v>
      </c>
      <c r="L29" s="45">
        <v>0</v>
      </c>
      <c r="M29" s="45">
        <v>0</v>
      </c>
      <c r="N29" s="45">
        <f t="shared" si="5"/>
        <v>473</v>
      </c>
      <c r="O29" s="46">
        <f t="shared" si="2"/>
        <v>3.9652566392899089E-4</v>
      </c>
      <c r="P29" s="9"/>
    </row>
    <row r="30" spans="1:16">
      <c r="A30" s="11"/>
      <c r="B30" s="24">
        <v>334.2</v>
      </c>
      <c r="C30" s="19" t="s">
        <v>33</v>
      </c>
      <c r="D30" s="45">
        <v>1166109</v>
      </c>
      <c r="E30" s="45">
        <v>681119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f t="shared" si="5"/>
        <v>1847228</v>
      </c>
      <c r="O30" s="46">
        <f t="shared" si="2"/>
        <v>1.548569363907446</v>
      </c>
      <c r="P30" s="9"/>
    </row>
    <row r="31" spans="1:16">
      <c r="A31" s="11"/>
      <c r="B31" s="24">
        <v>334.39</v>
      </c>
      <c r="C31" s="19" t="s">
        <v>40</v>
      </c>
      <c r="D31" s="45">
        <v>0</v>
      </c>
      <c r="E31" s="45">
        <v>3422041</v>
      </c>
      <c r="F31" s="45">
        <v>0</v>
      </c>
      <c r="G31" s="45">
        <v>0</v>
      </c>
      <c r="H31" s="45">
        <v>0</v>
      </c>
      <c r="I31" s="45">
        <v>0</v>
      </c>
      <c r="J31" s="45">
        <v>0</v>
      </c>
      <c r="K31" s="45">
        <v>0</v>
      </c>
      <c r="L31" s="45">
        <v>0</v>
      </c>
      <c r="M31" s="45">
        <v>0</v>
      </c>
      <c r="N31" s="45">
        <f t="shared" ref="N31:N53" si="6">SUM(D31:M31)</f>
        <v>3422041</v>
      </c>
      <c r="O31" s="46">
        <f t="shared" si="2"/>
        <v>2.8687676099729975</v>
      </c>
      <c r="P31" s="9"/>
    </row>
    <row r="32" spans="1:16">
      <c r="A32" s="11"/>
      <c r="B32" s="24">
        <v>334.49</v>
      </c>
      <c r="C32" s="19" t="s">
        <v>41</v>
      </c>
      <c r="D32" s="45">
        <v>0</v>
      </c>
      <c r="E32" s="45">
        <v>35982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45">
        <f t="shared" si="6"/>
        <v>35982</v>
      </c>
      <c r="O32" s="46">
        <f t="shared" si="2"/>
        <v>3.0164453360450212E-2</v>
      </c>
      <c r="P32" s="9"/>
    </row>
    <row r="33" spans="1:16">
      <c r="A33" s="11"/>
      <c r="B33" s="24">
        <v>334.5</v>
      </c>
      <c r="C33" s="19" t="s">
        <v>42</v>
      </c>
      <c r="D33" s="45">
        <v>0</v>
      </c>
      <c r="E33" s="45">
        <v>896841</v>
      </c>
      <c r="F33" s="45">
        <v>0</v>
      </c>
      <c r="G33" s="45">
        <v>0</v>
      </c>
      <c r="H33" s="45">
        <v>0</v>
      </c>
      <c r="I33" s="45">
        <v>0</v>
      </c>
      <c r="J33" s="45">
        <v>0</v>
      </c>
      <c r="K33" s="45">
        <v>0</v>
      </c>
      <c r="L33" s="45">
        <v>0</v>
      </c>
      <c r="M33" s="45">
        <v>0</v>
      </c>
      <c r="N33" s="45">
        <f t="shared" si="6"/>
        <v>896841</v>
      </c>
      <c r="O33" s="46">
        <f t="shared" si="2"/>
        <v>0.75184032339057105</v>
      </c>
      <c r="P33" s="9"/>
    </row>
    <row r="34" spans="1:16">
      <c r="A34" s="11"/>
      <c r="B34" s="24">
        <v>334.61</v>
      </c>
      <c r="C34" s="19" t="s">
        <v>43</v>
      </c>
      <c r="D34" s="45">
        <v>0</v>
      </c>
      <c r="E34" s="45">
        <v>340815</v>
      </c>
      <c r="F34" s="45">
        <v>0</v>
      </c>
      <c r="G34" s="45">
        <v>0</v>
      </c>
      <c r="H34" s="45">
        <v>0</v>
      </c>
      <c r="I34" s="45">
        <v>0</v>
      </c>
      <c r="J34" s="45">
        <v>0</v>
      </c>
      <c r="K34" s="45">
        <v>0</v>
      </c>
      <c r="L34" s="45">
        <v>0</v>
      </c>
      <c r="M34" s="45">
        <v>0</v>
      </c>
      <c r="N34" s="45">
        <f t="shared" si="6"/>
        <v>340815</v>
      </c>
      <c r="O34" s="46">
        <f t="shared" si="2"/>
        <v>0.28571224979272525</v>
      </c>
      <c r="P34" s="9"/>
    </row>
    <row r="35" spans="1:16">
      <c r="A35" s="11"/>
      <c r="B35" s="24">
        <v>334.69</v>
      </c>
      <c r="C35" s="19" t="s">
        <v>44</v>
      </c>
      <c r="D35" s="45">
        <v>0</v>
      </c>
      <c r="E35" s="45">
        <v>4221000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f t="shared" si="6"/>
        <v>4221000</v>
      </c>
      <c r="O35" s="46">
        <f t="shared" si="2"/>
        <v>3.5385514322289016</v>
      </c>
      <c r="P35" s="9"/>
    </row>
    <row r="36" spans="1:16">
      <c r="A36" s="11"/>
      <c r="B36" s="24">
        <v>334.7</v>
      </c>
      <c r="C36" s="19" t="s">
        <v>45</v>
      </c>
      <c r="D36" s="45">
        <v>0</v>
      </c>
      <c r="E36" s="45">
        <v>1658249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f t="shared" si="6"/>
        <v>1658249</v>
      </c>
      <c r="O36" s="46">
        <f t="shared" si="2"/>
        <v>1.3901443671978546</v>
      </c>
      <c r="P36" s="9"/>
    </row>
    <row r="37" spans="1:16">
      <c r="A37" s="11"/>
      <c r="B37" s="24">
        <v>334.89</v>
      </c>
      <c r="C37" s="19" t="s">
        <v>46</v>
      </c>
      <c r="D37" s="45">
        <v>0</v>
      </c>
      <c r="E37" s="45">
        <v>62799</v>
      </c>
      <c r="F37" s="45">
        <v>0</v>
      </c>
      <c r="G37" s="45">
        <v>0</v>
      </c>
      <c r="H37" s="45">
        <v>0</v>
      </c>
      <c r="I37" s="45">
        <v>0</v>
      </c>
      <c r="J37" s="45">
        <v>0</v>
      </c>
      <c r="K37" s="45">
        <v>0</v>
      </c>
      <c r="L37" s="45">
        <v>0</v>
      </c>
      <c r="M37" s="45">
        <v>0</v>
      </c>
      <c r="N37" s="45">
        <f t="shared" si="6"/>
        <v>62799</v>
      </c>
      <c r="O37" s="46">
        <f t="shared" ref="O37:O68" si="7">(N37/O$151)</f>
        <v>5.2645698031874626E-2</v>
      </c>
      <c r="P37" s="9"/>
    </row>
    <row r="38" spans="1:16">
      <c r="A38" s="11"/>
      <c r="B38" s="24">
        <v>334.9</v>
      </c>
      <c r="C38" s="19" t="s">
        <v>47</v>
      </c>
      <c r="D38" s="45">
        <v>0</v>
      </c>
      <c r="E38" s="45">
        <v>1436539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5">
        <v>0</v>
      </c>
      <c r="L38" s="45">
        <v>0</v>
      </c>
      <c r="M38" s="45">
        <v>0</v>
      </c>
      <c r="N38" s="45">
        <f t="shared" si="6"/>
        <v>1436539</v>
      </c>
      <c r="O38" s="46">
        <f t="shared" si="7"/>
        <v>1.2042802975367624</v>
      </c>
      <c r="P38" s="9"/>
    </row>
    <row r="39" spans="1:16">
      <c r="A39" s="11"/>
      <c r="B39" s="24">
        <v>335.12</v>
      </c>
      <c r="C39" s="19" t="s">
        <v>48</v>
      </c>
      <c r="D39" s="45">
        <v>21636009</v>
      </c>
      <c r="E39" s="45">
        <v>6752474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f t="shared" si="6"/>
        <v>28388483</v>
      </c>
      <c r="O39" s="46">
        <f t="shared" si="7"/>
        <v>23.798651309750255</v>
      </c>
      <c r="P39" s="9"/>
    </row>
    <row r="40" spans="1:16">
      <c r="A40" s="11"/>
      <c r="B40" s="24">
        <v>335.13</v>
      </c>
      <c r="C40" s="19" t="s">
        <v>49</v>
      </c>
      <c r="D40" s="45">
        <v>328283</v>
      </c>
      <c r="E40" s="45">
        <v>0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5">
        <v>0</v>
      </c>
      <c r="L40" s="45">
        <v>0</v>
      </c>
      <c r="M40" s="45">
        <v>0</v>
      </c>
      <c r="N40" s="45">
        <f t="shared" si="6"/>
        <v>328283</v>
      </c>
      <c r="O40" s="46">
        <f t="shared" si="7"/>
        <v>0.27520641550021335</v>
      </c>
      <c r="P40" s="9"/>
    </row>
    <row r="41" spans="1:16">
      <c r="A41" s="11"/>
      <c r="B41" s="24">
        <v>335.14</v>
      </c>
      <c r="C41" s="19" t="s">
        <v>50</v>
      </c>
      <c r="D41" s="45">
        <v>417679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f t="shared" si="6"/>
        <v>417679</v>
      </c>
      <c r="O41" s="46">
        <f t="shared" si="7"/>
        <v>0.35014892766215006</v>
      </c>
      <c r="P41" s="9"/>
    </row>
    <row r="42" spans="1:16">
      <c r="A42" s="11"/>
      <c r="B42" s="24">
        <v>335.15</v>
      </c>
      <c r="C42" s="19" t="s">
        <v>51</v>
      </c>
      <c r="D42" s="45">
        <v>390607</v>
      </c>
      <c r="E42" s="45">
        <v>0</v>
      </c>
      <c r="F42" s="45">
        <v>0</v>
      </c>
      <c r="G42" s="45">
        <v>0</v>
      </c>
      <c r="H42" s="45">
        <v>0</v>
      </c>
      <c r="I42" s="45">
        <v>0</v>
      </c>
      <c r="J42" s="45">
        <v>0</v>
      </c>
      <c r="K42" s="45">
        <v>0</v>
      </c>
      <c r="L42" s="45">
        <v>0</v>
      </c>
      <c r="M42" s="45">
        <v>0</v>
      </c>
      <c r="N42" s="45">
        <f t="shared" si="6"/>
        <v>390607</v>
      </c>
      <c r="O42" s="46">
        <f t="shared" si="7"/>
        <v>0.32745391122687389</v>
      </c>
      <c r="P42" s="9"/>
    </row>
    <row r="43" spans="1:16">
      <c r="A43" s="11"/>
      <c r="B43" s="24">
        <v>335.16</v>
      </c>
      <c r="C43" s="19" t="s">
        <v>52</v>
      </c>
      <c r="D43" s="45">
        <v>446500</v>
      </c>
      <c r="E43" s="45">
        <v>0</v>
      </c>
      <c r="F43" s="45">
        <v>0</v>
      </c>
      <c r="G43" s="45">
        <v>0</v>
      </c>
      <c r="H43" s="45">
        <v>0</v>
      </c>
      <c r="I43" s="45">
        <v>0</v>
      </c>
      <c r="J43" s="45">
        <v>0</v>
      </c>
      <c r="K43" s="45">
        <v>0</v>
      </c>
      <c r="L43" s="45">
        <v>0</v>
      </c>
      <c r="M43" s="45">
        <v>0</v>
      </c>
      <c r="N43" s="45">
        <f t="shared" si="6"/>
        <v>446500</v>
      </c>
      <c r="O43" s="46">
        <f t="shared" si="7"/>
        <v>0.37431016690125674</v>
      </c>
      <c r="P43" s="9"/>
    </row>
    <row r="44" spans="1:16">
      <c r="A44" s="11"/>
      <c r="B44" s="24">
        <v>335.17</v>
      </c>
      <c r="C44" s="19" t="s">
        <v>53</v>
      </c>
      <c r="D44" s="45">
        <v>16211</v>
      </c>
      <c r="E44" s="45">
        <v>0</v>
      </c>
      <c r="F44" s="45">
        <v>0</v>
      </c>
      <c r="G44" s="45">
        <v>0</v>
      </c>
      <c r="H44" s="45">
        <v>0</v>
      </c>
      <c r="I44" s="45">
        <v>0</v>
      </c>
      <c r="J44" s="45">
        <v>0</v>
      </c>
      <c r="K44" s="45">
        <v>0</v>
      </c>
      <c r="L44" s="45">
        <v>0</v>
      </c>
      <c r="M44" s="45">
        <v>0</v>
      </c>
      <c r="N44" s="45">
        <f t="shared" si="6"/>
        <v>16211</v>
      </c>
      <c r="O44" s="46">
        <f t="shared" si="7"/>
        <v>1.3590015936475415E-2</v>
      </c>
      <c r="P44" s="9"/>
    </row>
    <row r="45" spans="1:16">
      <c r="A45" s="11"/>
      <c r="B45" s="24">
        <v>335.18</v>
      </c>
      <c r="C45" s="19" t="s">
        <v>54</v>
      </c>
      <c r="D45" s="45">
        <v>0</v>
      </c>
      <c r="E45" s="45">
        <v>90713566</v>
      </c>
      <c r="F45" s="45">
        <v>0</v>
      </c>
      <c r="G45" s="45">
        <v>0</v>
      </c>
      <c r="H45" s="45">
        <v>0</v>
      </c>
      <c r="I45" s="45">
        <v>0</v>
      </c>
      <c r="J45" s="45">
        <v>0</v>
      </c>
      <c r="K45" s="45">
        <v>0</v>
      </c>
      <c r="L45" s="45">
        <v>0</v>
      </c>
      <c r="M45" s="45">
        <v>0</v>
      </c>
      <c r="N45" s="45">
        <f t="shared" si="6"/>
        <v>90713566</v>
      </c>
      <c r="O45" s="46">
        <f t="shared" si="7"/>
        <v>76.047054937666672</v>
      </c>
      <c r="P45" s="9"/>
    </row>
    <row r="46" spans="1:16">
      <c r="A46" s="11"/>
      <c r="B46" s="24">
        <v>335.21</v>
      </c>
      <c r="C46" s="19" t="s">
        <v>55</v>
      </c>
      <c r="D46" s="45">
        <v>186685</v>
      </c>
      <c r="E46" s="45">
        <v>0</v>
      </c>
      <c r="F46" s="45">
        <v>0</v>
      </c>
      <c r="G46" s="45">
        <v>0</v>
      </c>
      <c r="H46" s="45">
        <v>0</v>
      </c>
      <c r="I46" s="45">
        <v>0</v>
      </c>
      <c r="J46" s="45">
        <v>0</v>
      </c>
      <c r="K46" s="45">
        <v>0</v>
      </c>
      <c r="L46" s="45">
        <v>0</v>
      </c>
      <c r="M46" s="45">
        <v>0</v>
      </c>
      <c r="N46" s="45">
        <f t="shared" si="6"/>
        <v>186685</v>
      </c>
      <c r="O46" s="46">
        <f t="shared" si="7"/>
        <v>0.15650188915556801</v>
      </c>
      <c r="P46" s="9"/>
    </row>
    <row r="47" spans="1:16">
      <c r="A47" s="11"/>
      <c r="B47" s="24">
        <v>335.22</v>
      </c>
      <c r="C47" s="19" t="s">
        <v>56</v>
      </c>
      <c r="D47" s="45">
        <v>0</v>
      </c>
      <c r="E47" s="45">
        <v>3391216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f t="shared" si="6"/>
        <v>3391216</v>
      </c>
      <c r="O47" s="46">
        <f t="shared" si="7"/>
        <v>2.8429263761662087</v>
      </c>
      <c r="P47" s="9"/>
    </row>
    <row r="48" spans="1:16">
      <c r="A48" s="11"/>
      <c r="B48" s="24">
        <v>335.29</v>
      </c>
      <c r="C48" s="19" t="s">
        <v>57</v>
      </c>
      <c r="D48" s="45">
        <v>1000</v>
      </c>
      <c r="E48" s="45">
        <v>103409</v>
      </c>
      <c r="F48" s="45">
        <v>0</v>
      </c>
      <c r="G48" s="45">
        <v>0</v>
      </c>
      <c r="H48" s="45">
        <v>0</v>
      </c>
      <c r="I48" s="45">
        <v>0</v>
      </c>
      <c r="J48" s="45">
        <v>0</v>
      </c>
      <c r="K48" s="45">
        <v>0</v>
      </c>
      <c r="L48" s="45">
        <v>0</v>
      </c>
      <c r="M48" s="45">
        <v>0</v>
      </c>
      <c r="N48" s="45">
        <f t="shared" si="6"/>
        <v>104409</v>
      </c>
      <c r="O48" s="46">
        <f t="shared" si="7"/>
        <v>8.7528219968630042E-2</v>
      </c>
      <c r="P48" s="9"/>
    </row>
    <row r="49" spans="1:16">
      <c r="A49" s="11"/>
      <c r="B49" s="24">
        <v>335.39</v>
      </c>
      <c r="C49" s="19" t="s">
        <v>58</v>
      </c>
      <c r="D49" s="45">
        <v>0</v>
      </c>
      <c r="E49" s="45">
        <v>1436105</v>
      </c>
      <c r="F49" s="45">
        <v>0</v>
      </c>
      <c r="G49" s="45">
        <v>0</v>
      </c>
      <c r="H49" s="45">
        <v>0</v>
      </c>
      <c r="I49" s="45">
        <v>0</v>
      </c>
      <c r="J49" s="45">
        <v>0</v>
      </c>
      <c r="K49" s="45">
        <v>0</v>
      </c>
      <c r="L49" s="45">
        <v>0</v>
      </c>
      <c r="M49" s="45">
        <v>0</v>
      </c>
      <c r="N49" s="45">
        <f t="shared" si="6"/>
        <v>1436105</v>
      </c>
      <c r="O49" s="46">
        <f t="shared" si="7"/>
        <v>1.2039164663778932</v>
      </c>
      <c r="P49" s="9"/>
    </row>
    <row r="50" spans="1:16">
      <c r="A50" s="11"/>
      <c r="B50" s="24">
        <v>335.49</v>
      </c>
      <c r="C50" s="19" t="s">
        <v>59</v>
      </c>
      <c r="D50" s="45">
        <v>0</v>
      </c>
      <c r="E50" s="45">
        <v>17063966</v>
      </c>
      <c r="F50" s="45">
        <v>0</v>
      </c>
      <c r="G50" s="45">
        <v>0</v>
      </c>
      <c r="H50" s="45">
        <v>0</v>
      </c>
      <c r="I50" s="45">
        <v>0</v>
      </c>
      <c r="J50" s="45">
        <v>0</v>
      </c>
      <c r="K50" s="45">
        <v>0</v>
      </c>
      <c r="L50" s="45">
        <v>0</v>
      </c>
      <c r="M50" s="45">
        <v>0</v>
      </c>
      <c r="N50" s="45">
        <f t="shared" si="6"/>
        <v>17063966</v>
      </c>
      <c r="O50" s="46">
        <f t="shared" si="7"/>
        <v>14.305074941673841</v>
      </c>
      <c r="P50" s="9"/>
    </row>
    <row r="51" spans="1:16">
      <c r="A51" s="11"/>
      <c r="B51" s="24">
        <v>335.5</v>
      </c>
      <c r="C51" s="19" t="s">
        <v>60</v>
      </c>
      <c r="D51" s="45">
        <v>0</v>
      </c>
      <c r="E51" s="45">
        <v>2025205</v>
      </c>
      <c r="F51" s="45">
        <v>0</v>
      </c>
      <c r="G51" s="45">
        <v>0</v>
      </c>
      <c r="H51" s="45">
        <v>0</v>
      </c>
      <c r="I51" s="45">
        <v>0</v>
      </c>
      <c r="J51" s="45">
        <v>0</v>
      </c>
      <c r="K51" s="45">
        <v>0</v>
      </c>
      <c r="L51" s="45">
        <v>0</v>
      </c>
      <c r="M51" s="45">
        <v>0</v>
      </c>
      <c r="N51" s="45">
        <f t="shared" si="6"/>
        <v>2025205</v>
      </c>
      <c r="O51" s="46">
        <f t="shared" si="7"/>
        <v>1.6977711569076364</v>
      </c>
      <c r="P51" s="9"/>
    </row>
    <row r="52" spans="1:16">
      <c r="A52" s="11"/>
      <c r="B52" s="24">
        <v>335.69</v>
      </c>
      <c r="C52" s="19" t="s">
        <v>61</v>
      </c>
      <c r="D52" s="45">
        <v>47042</v>
      </c>
      <c r="E52" s="45">
        <v>0</v>
      </c>
      <c r="F52" s="45">
        <v>0</v>
      </c>
      <c r="G52" s="45">
        <v>0</v>
      </c>
      <c r="H52" s="45">
        <v>0</v>
      </c>
      <c r="I52" s="45">
        <v>0</v>
      </c>
      <c r="J52" s="45">
        <v>888000</v>
      </c>
      <c r="K52" s="45">
        <v>0</v>
      </c>
      <c r="L52" s="45">
        <v>0</v>
      </c>
      <c r="M52" s="45">
        <v>0</v>
      </c>
      <c r="N52" s="45">
        <f t="shared" si="6"/>
        <v>935042</v>
      </c>
      <c r="O52" s="46">
        <f t="shared" si="7"/>
        <v>0.78386501025685307</v>
      </c>
      <c r="P52" s="9"/>
    </row>
    <row r="53" spans="1:16">
      <c r="A53" s="11"/>
      <c r="B53" s="24">
        <v>335.7</v>
      </c>
      <c r="C53" s="19" t="s">
        <v>62</v>
      </c>
      <c r="D53" s="45">
        <v>0</v>
      </c>
      <c r="E53" s="45">
        <v>2309216</v>
      </c>
      <c r="F53" s="45">
        <v>0</v>
      </c>
      <c r="G53" s="45">
        <v>0</v>
      </c>
      <c r="H53" s="45">
        <v>0</v>
      </c>
      <c r="I53" s="45">
        <v>0</v>
      </c>
      <c r="J53" s="45">
        <v>0</v>
      </c>
      <c r="K53" s="45">
        <v>0</v>
      </c>
      <c r="L53" s="45">
        <v>0</v>
      </c>
      <c r="M53" s="45">
        <v>0</v>
      </c>
      <c r="N53" s="45">
        <f t="shared" si="6"/>
        <v>2309216</v>
      </c>
      <c r="O53" s="46">
        <f t="shared" si="7"/>
        <v>1.9358634409206101</v>
      </c>
      <c r="P53" s="9"/>
    </row>
    <row r="54" spans="1:16">
      <c r="A54" s="11"/>
      <c r="B54" s="24">
        <v>337.1</v>
      </c>
      <c r="C54" s="19" t="s">
        <v>64</v>
      </c>
      <c r="D54" s="45">
        <v>0</v>
      </c>
      <c r="E54" s="45">
        <v>4701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f t="shared" ref="N54:N61" si="8">SUM(D54:M54)</f>
        <v>4701</v>
      </c>
      <c r="O54" s="46">
        <f t="shared" si="7"/>
        <v>3.9409453406557843E-3</v>
      </c>
      <c r="P54" s="9"/>
    </row>
    <row r="55" spans="1:16">
      <c r="A55" s="11"/>
      <c r="B55" s="24">
        <v>337.2</v>
      </c>
      <c r="C55" s="19" t="s">
        <v>65</v>
      </c>
      <c r="D55" s="45">
        <v>0</v>
      </c>
      <c r="E55" s="45">
        <v>93964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f t="shared" si="8"/>
        <v>93964</v>
      </c>
      <c r="O55" s="46">
        <f t="shared" si="7"/>
        <v>7.8771960857132561E-2</v>
      </c>
      <c r="P55" s="9"/>
    </row>
    <row r="56" spans="1:16">
      <c r="A56" s="11"/>
      <c r="B56" s="24">
        <v>337.3</v>
      </c>
      <c r="C56" s="19" t="s">
        <v>66</v>
      </c>
      <c r="D56" s="45">
        <v>0</v>
      </c>
      <c r="E56" s="45">
        <v>530804</v>
      </c>
      <c r="F56" s="45">
        <v>0</v>
      </c>
      <c r="G56" s="45">
        <v>0</v>
      </c>
      <c r="H56" s="45">
        <v>0</v>
      </c>
      <c r="I56" s="45">
        <v>0</v>
      </c>
      <c r="J56" s="45">
        <v>0</v>
      </c>
      <c r="K56" s="45">
        <v>0</v>
      </c>
      <c r="L56" s="45">
        <v>0</v>
      </c>
      <c r="M56" s="45">
        <v>0</v>
      </c>
      <c r="N56" s="45">
        <f t="shared" si="8"/>
        <v>530804</v>
      </c>
      <c r="O56" s="46">
        <f t="shared" si="7"/>
        <v>0.44498395035129829</v>
      </c>
      <c r="P56" s="9"/>
    </row>
    <row r="57" spans="1:16">
      <c r="A57" s="11"/>
      <c r="B57" s="24">
        <v>337.6</v>
      </c>
      <c r="C57" s="19" t="s">
        <v>211</v>
      </c>
      <c r="D57" s="45">
        <v>0</v>
      </c>
      <c r="E57" s="45">
        <v>16228</v>
      </c>
      <c r="F57" s="45">
        <v>0</v>
      </c>
      <c r="G57" s="45">
        <v>0</v>
      </c>
      <c r="H57" s="45">
        <v>0</v>
      </c>
      <c r="I57" s="45">
        <v>0</v>
      </c>
      <c r="J57" s="45">
        <v>0</v>
      </c>
      <c r="K57" s="45">
        <v>0</v>
      </c>
      <c r="L57" s="45">
        <v>0</v>
      </c>
      <c r="M57" s="45">
        <v>0</v>
      </c>
      <c r="N57" s="45">
        <f t="shared" si="8"/>
        <v>16228</v>
      </c>
      <c r="O57" s="46">
        <f t="shared" si="7"/>
        <v>1.3604267387398868E-2</v>
      </c>
      <c r="P57" s="9"/>
    </row>
    <row r="58" spans="1:16">
      <c r="A58" s="11"/>
      <c r="B58" s="24">
        <v>337.7</v>
      </c>
      <c r="C58" s="19" t="s">
        <v>68</v>
      </c>
      <c r="D58" s="45">
        <v>-200</v>
      </c>
      <c r="E58" s="45">
        <v>2013</v>
      </c>
      <c r="F58" s="45">
        <v>0</v>
      </c>
      <c r="G58" s="45">
        <v>0</v>
      </c>
      <c r="H58" s="45">
        <v>0</v>
      </c>
      <c r="I58" s="45">
        <v>0</v>
      </c>
      <c r="J58" s="45">
        <v>0</v>
      </c>
      <c r="K58" s="45">
        <v>0</v>
      </c>
      <c r="L58" s="45">
        <v>0</v>
      </c>
      <c r="M58" s="45">
        <v>0</v>
      </c>
      <c r="N58" s="45">
        <f t="shared" si="8"/>
        <v>1813</v>
      </c>
      <c r="O58" s="46">
        <f t="shared" si="7"/>
        <v>1.5198753249540391E-3</v>
      </c>
      <c r="P58" s="9"/>
    </row>
    <row r="59" spans="1:16">
      <c r="A59" s="11"/>
      <c r="B59" s="24">
        <v>337.9</v>
      </c>
      <c r="C59" s="19" t="s">
        <v>69</v>
      </c>
      <c r="D59" s="45">
        <v>35146</v>
      </c>
      <c r="E59" s="45">
        <v>12144</v>
      </c>
      <c r="F59" s="45">
        <v>0</v>
      </c>
      <c r="G59" s="45">
        <v>0</v>
      </c>
      <c r="H59" s="45">
        <v>0</v>
      </c>
      <c r="I59" s="45">
        <v>0</v>
      </c>
      <c r="J59" s="45">
        <v>0</v>
      </c>
      <c r="K59" s="45">
        <v>0</v>
      </c>
      <c r="L59" s="45">
        <v>0</v>
      </c>
      <c r="M59" s="45">
        <v>0</v>
      </c>
      <c r="N59" s="45">
        <f t="shared" si="8"/>
        <v>47290</v>
      </c>
      <c r="O59" s="46">
        <f t="shared" si="7"/>
        <v>3.9644183186473531E-2</v>
      </c>
      <c r="P59" s="9"/>
    </row>
    <row r="60" spans="1:16" ht="15.75">
      <c r="A60" s="28" t="s">
        <v>75</v>
      </c>
      <c r="B60" s="29"/>
      <c r="C60" s="30"/>
      <c r="D60" s="31">
        <f t="shared" ref="D60:M60" si="9">SUM(D61:D115)</f>
        <v>65178139</v>
      </c>
      <c r="E60" s="31">
        <f t="shared" si="9"/>
        <v>99199537</v>
      </c>
      <c r="F60" s="31">
        <f t="shared" si="9"/>
        <v>443720</v>
      </c>
      <c r="G60" s="31">
        <f t="shared" si="9"/>
        <v>0</v>
      </c>
      <c r="H60" s="31">
        <f t="shared" si="9"/>
        <v>0</v>
      </c>
      <c r="I60" s="31">
        <f t="shared" si="9"/>
        <v>272524000</v>
      </c>
      <c r="J60" s="31">
        <f t="shared" si="9"/>
        <v>136750000</v>
      </c>
      <c r="K60" s="31">
        <f t="shared" si="9"/>
        <v>0</v>
      </c>
      <c r="L60" s="31">
        <f t="shared" si="9"/>
        <v>0</v>
      </c>
      <c r="M60" s="31">
        <f t="shared" si="9"/>
        <v>2791000</v>
      </c>
      <c r="N60" s="31">
        <f t="shared" si="8"/>
        <v>576886396</v>
      </c>
      <c r="O60" s="44">
        <f t="shared" si="7"/>
        <v>483.61577417653859</v>
      </c>
      <c r="P60" s="10"/>
    </row>
    <row r="61" spans="1:16">
      <c r="A61" s="11"/>
      <c r="B61" s="24">
        <v>341.1</v>
      </c>
      <c r="C61" s="19" t="s">
        <v>78</v>
      </c>
      <c r="D61" s="45">
        <v>0</v>
      </c>
      <c r="E61" s="45">
        <v>13028189</v>
      </c>
      <c r="F61" s="45">
        <v>0</v>
      </c>
      <c r="G61" s="45">
        <v>0</v>
      </c>
      <c r="H61" s="45">
        <v>0</v>
      </c>
      <c r="I61" s="45">
        <v>0</v>
      </c>
      <c r="J61" s="45">
        <v>0</v>
      </c>
      <c r="K61" s="45">
        <v>0</v>
      </c>
      <c r="L61" s="45">
        <v>0</v>
      </c>
      <c r="M61" s="45">
        <v>0</v>
      </c>
      <c r="N61" s="45">
        <f t="shared" si="8"/>
        <v>13028189</v>
      </c>
      <c r="O61" s="46">
        <f t="shared" si="7"/>
        <v>10.921799773821091</v>
      </c>
      <c r="P61" s="9"/>
    </row>
    <row r="62" spans="1:16">
      <c r="A62" s="11"/>
      <c r="B62" s="24">
        <v>341.15</v>
      </c>
      <c r="C62" s="19" t="s">
        <v>79</v>
      </c>
      <c r="D62" s="45">
        <v>0</v>
      </c>
      <c r="E62" s="45">
        <v>3472717</v>
      </c>
      <c r="F62" s="45">
        <v>0</v>
      </c>
      <c r="G62" s="45">
        <v>0</v>
      </c>
      <c r="H62" s="45">
        <v>0</v>
      </c>
      <c r="I62" s="45">
        <v>0</v>
      </c>
      <c r="J62" s="45">
        <v>0</v>
      </c>
      <c r="K62" s="45">
        <v>0</v>
      </c>
      <c r="L62" s="45">
        <v>0</v>
      </c>
      <c r="M62" s="45">
        <v>0</v>
      </c>
      <c r="N62" s="45">
        <f t="shared" ref="N62:N115" si="10">SUM(D62:M62)</f>
        <v>3472717</v>
      </c>
      <c r="O62" s="46">
        <f t="shared" si="7"/>
        <v>2.9112503468551658</v>
      </c>
      <c r="P62" s="9"/>
    </row>
    <row r="63" spans="1:16">
      <c r="A63" s="11"/>
      <c r="B63" s="24">
        <v>341.2</v>
      </c>
      <c r="C63" s="19" t="s">
        <v>81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136750000</v>
      </c>
      <c r="K63" s="45">
        <v>0</v>
      </c>
      <c r="L63" s="45">
        <v>0</v>
      </c>
      <c r="M63" s="45">
        <v>0</v>
      </c>
      <c r="N63" s="45">
        <f t="shared" si="10"/>
        <v>136750000</v>
      </c>
      <c r="O63" s="46">
        <f t="shared" si="7"/>
        <v>114.64034786953384</v>
      </c>
      <c r="P63" s="9"/>
    </row>
    <row r="64" spans="1:16">
      <c r="A64" s="11"/>
      <c r="B64" s="24">
        <v>341.3</v>
      </c>
      <c r="C64" s="19" t="s">
        <v>82</v>
      </c>
      <c r="D64" s="45">
        <v>2560</v>
      </c>
      <c r="E64" s="45">
        <v>778</v>
      </c>
      <c r="F64" s="45">
        <v>0</v>
      </c>
      <c r="G64" s="45">
        <v>0</v>
      </c>
      <c r="H64" s="45">
        <v>0</v>
      </c>
      <c r="I64" s="45">
        <v>0</v>
      </c>
      <c r="J64" s="45">
        <v>0</v>
      </c>
      <c r="K64" s="45">
        <v>0</v>
      </c>
      <c r="L64" s="45">
        <v>0</v>
      </c>
      <c r="M64" s="45">
        <v>0</v>
      </c>
      <c r="N64" s="45">
        <f t="shared" si="10"/>
        <v>3338</v>
      </c>
      <c r="O64" s="46">
        <f t="shared" si="7"/>
        <v>2.7983143048519485E-3</v>
      </c>
      <c r="P64" s="9"/>
    </row>
    <row r="65" spans="1:16">
      <c r="A65" s="11"/>
      <c r="B65" s="24">
        <v>341.52</v>
      </c>
      <c r="C65" s="19" t="s">
        <v>83</v>
      </c>
      <c r="D65" s="45">
        <v>1991121</v>
      </c>
      <c r="E65" s="45">
        <v>0</v>
      </c>
      <c r="F65" s="45">
        <v>0</v>
      </c>
      <c r="G65" s="45">
        <v>0</v>
      </c>
      <c r="H65" s="45">
        <v>0</v>
      </c>
      <c r="I65" s="45">
        <v>0</v>
      </c>
      <c r="J65" s="45">
        <v>0</v>
      </c>
      <c r="K65" s="45">
        <v>0</v>
      </c>
      <c r="L65" s="45">
        <v>0</v>
      </c>
      <c r="M65" s="45">
        <v>0</v>
      </c>
      <c r="N65" s="45">
        <f t="shared" si="10"/>
        <v>1991121</v>
      </c>
      <c r="O65" s="46">
        <f t="shared" si="7"/>
        <v>1.6691978361267574</v>
      </c>
      <c r="P65" s="9"/>
    </row>
    <row r="66" spans="1:16">
      <c r="A66" s="11"/>
      <c r="B66" s="24">
        <v>341.55</v>
      </c>
      <c r="C66" s="19" t="s">
        <v>84</v>
      </c>
      <c r="D66" s="45">
        <v>3669</v>
      </c>
      <c r="E66" s="45">
        <v>0</v>
      </c>
      <c r="F66" s="45">
        <v>0</v>
      </c>
      <c r="G66" s="45">
        <v>0</v>
      </c>
      <c r="H66" s="45">
        <v>0</v>
      </c>
      <c r="I66" s="45">
        <v>0</v>
      </c>
      <c r="J66" s="45">
        <v>0</v>
      </c>
      <c r="K66" s="45">
        <v>0</v>
      </c>
      <c r="L66" s="45">
        <v>0</v>
      </c>
      <c r="M66" s="45">
        <v>0</v>
      </c>
      <c r="N66" s="45">
        <f t="shared" si="10"/>
        <v>3669</v>
      </c>
      <c r="O66" s="46">
        <f t="shared" si="7"/>
        <v>3.0757984375379866E-3</v>
      </c>
      <c r="P66" s="9"/>
    </row>
    <row r="67" spans="1:16">
      <c r="A67" s="11"/>
      <c r="B67" s="24">
        <v>341.8</v>
      </c>
      <c r="C67" s="19" t="s">
        <v>85</v>
      </c>
      <c r="D67" s="45">
        <v>0</v>
      </c>
      <c r="E67" s="45">
        <v>17777970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>
        <v>0</v>
      </c>
      <c r="N67" s="45">
        <f t="shared" si="10"/>
        <v>17777970</v>
      </c>
      <c r="O67" s="46">
        <f t="shared" si="7"/>
        <v>14.9036392337414</v>
      </c>
      <c r="P67" s="9"/>
    </row>
    <row r="68" spans="1:16">
      <c r="A68" s="11"/>
      <c r="B68" s="24">
        <v>341.9</v>
      </c>
      <c r="C68" s="19" t="s">
        <v>86</v>
      </c>
      <c r="D68" s="45">
        <v>39326629</v>
      </c>
      <c r="E68" s="45">
        <v>4155970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</v>
      </c>
      <c r="L68" s="45">
        <v>0</v>
      </c>
      <c r="M68" s="45">
        <v>1152486</v>
      </c>
      <c r="N68" s="45">
        <f t="shared" si="10"/>
        <v>44635085</v>
      </c>
      <c r="O68" s="46">
        <f t="shared" si="7"/>
        <v>37.418513137741947</v>
      </c>
      <c r="P68" s="9"/>
    </row>
    <row r="69" spans="1:16">
      <c r="A69" s="11"/>
      <c r="B69" s="24">
        <v>342.1</v>
      </c>
      <c r="C69" s="19" t="s">
        <v>87</v>
      </c>
      <c r="D69" s="45">
        <v>2414011</v>
      </c>
      <c r="E69" s="45">
        <v>0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5">
        <v>0</v>
      </c>
      <c r="L69" s="45">
        <v>0</v>
      </c>
      <c r="M69" s="45">
        <v>0</v>
      </c>
      <c r="N69" s="45">
        <f t="shared" si="10"/>
        <v>2414011</v>
      </c>
      <c r="O69" s="46">
        <f t="shared" ref="O69:O100" si="11">(N69/O$151)</f>
        <v>2.0237152526572668</v>
      </c>
      <c r="P69" s="9"/>
    </row>
    <row r="70" spans="1:16">
      <c r="A70" s="11"/>
      <c r="B70" s="24">
        <v>342.2</v>
      </c>
      <c r="C70" s="19" t="s">
        <v>88</v>
      </c>
      <c r="D70" s="45">
        <v>1937150</v>
      </c>
      <c r="E70" s="45">
        <v>0</v>
      </c>
      <c r="F70" s="45">
        <v>0</v>
      </c>
      <c r="G70" s="45">
        <v>0</v>
      </c>
      <c r="H70" s="45">
        <v>0</v>
      </c>
      <c r="I70" s="45">
        <v>0</v>
      </c>
      <c r="J70" s="45">
        <v>0</v>
      </c>
      <c r="K70" s="45">
        <v>0</v>
      </c>
      <c r="L70" s="45">
        <v>0</v>
      </c>
      <c r="M70" s="45">
        <v>0</v>
      </c>
      <c r="N70" s="45">
        <f t="shared" si="10"/>
        <v>1937150</v>
      </c>
      <c r="O70" s="46">
        <f t="shared" si="11"/>
        <v>1.6239528327273671</v>
      </c>
      <c r="P70" s="9"/>
    </row>
    <row r="71" spans="1:16">
      <c r="A71" s="11"/>
      <c r="B71" s="24">
        <v>342.3</v>
      </c>
      <c r="C71" s="19" t="s">
        <v>89</v>
      </c>
      <c r="D71" s="45">
        <v>136058</v>
      </c>
      <c r="E71" s="45">
        <v>0</v>
      </c>
      <c r="F71" s="45">
        <v>0</v>
      </c>
      <c r="G71" s="45">
        <v>0</v>
      </c>
      <c r="H71" s="45">
        <v>0</v>
      </c>
      <c r="I71" s="45">
        <v>0</v>
      </c>
      <c r="J71" s="45">
        <v>0</v>
      </c>
      <c r="K71" s="45">
        <v>0</v>
      </c>
      <c r="L71" s="45">
        <v>0</v>
      </c>
      <c r="M71" s="45">
        <v>0</v>
      </c>
      <c r="N71" s="45">
        <f t="shared" si="10"/>
        <v>136058</v>
      </c>
      <c r="O71" s="46">
        <f t="shared" si="11"/>
        <v>0.11406022998488508</v>
      </c>
      <c r="P71" s="9"/>
    </row>
    <row r="72" spans="1:16">
      <c r="A72" s="11"/>
      <c r="B72" s="24">
        <v>342.4</v>
      </c>
      <c r="C72" s="19" t="s">
        <v>269</v>
      </c>
      <c r="D72" s="45">
        <v>0</v>
      </c>
      <c r="E72" s="45">
        <v>3460037</v>
      </c>
      <c r="F72" s="45">
        <v>0</v>
      </c>
      <c r="G72" s="45">
        <v>0</v>
      </c>
      <c r="H72" s="45">
        <v>0</v>
      </c>
      <c r="I72" s="45">
        <v>0</v>
      </c>
      <c r="J72" s="45">
        <v>0</v>
      </c>
      <c r="K72" s="45">
        <v>0</v>
      </c>
      <c r="L72" s="45">
        <v>0</v>
      </c>
      <c r="M72" s="45">
        <v>0</v>
      </c>
      <c r="N72" s="45">
        <f t="shared" si="10"/>
        <v>3460037</v>
      </c>
      <c r="O72" s="46">
        <f t="shared" si="11"/>
        <v>2.9006204411075558</v>
      </c>
      <c r="P72" s="9"/>
    </row>
    <row r="73" spans="1:16">
      <c r="A73" s="11"/>
      <c r="B73" s="24">
        <v>342.5</v>
      </c>
      <c r="C73" s="19" t="s">
        <v>90</v>
      </c>
      <c r="D73" s="45">
        <v>154737</v>
      </c>
      <c r="E73" s="45">
        <v>15</v>
      </c>
      <c r="F73" s="45">
        <v>0</v>
      </c>
      <c r="G73" s="45">
        <v>0</v>
      </c>
      <c r="H73" s="45">
        <v>0</v>
      </c>
      <c r="I73" s="45">
        <v>0</v>
      </c>
      <c r="J73" s="45">
        <v>0</v>
      </c>
      <c r="K73" s="45">
        <v>0</v>
      </c>
      <c r="L73" s="45">
        <v>0</v>
      </c>
      <c r="M73" s="45">
        <v>0</v>
      </c>
      <c r="N73" s="45">
        <f t="shared" si="10"/>
        <v>154752</v>
      </c>
      <c r="O73" s="46">
        <f t="shared" si="11"/>
        <v>0.12973179607682706</v>
      </c>
      <c r="P73" s="9"/>
    </row>
    <row r="74" spans="1:16">
      <c r="A74" s="11"/>
      <c r="B74" s="24">
        <v>342.6</v>
      </c>
      <c r="C74" s="19" t="s">
        <v>91</v>
      </c>
      <c r="D74" s="45">
        <v>9502886</v>
      </c>
      <c r="E74" s="45">
        <v>0</v>
      </c>
      <c r="F74" s="45">
        <v>0</v>
      </c>
      <c r="G74" s="45">
        <v>0</v>
      </c>
      <c r="H74" s="45">
        <v>0</v>
      </c>
      <c r="I74" s="45">
        <v>0</v>
      </c>
      <c r="J74" s="45">
        <v>0</v>
      </c>
      <c r="K74" s="45">
        <v>0</v>
      </c>
      <c r="L74" s="45">
        <v>0</v>
      </c>
      <c r="M74" s="45">
        <v>0</v>
      </c>
      <c r="N74" s="45">
        <f t="shared" si="10"/>
        <v>9502886</v>
      </c>
      <c r="O74" s="46">
        <f t="shared" si="11"/>
        <v>7.9664654976564746</v>
      </c>
      <c r="P74" s="9"/>
    </row>
    <row r="75" spans="1:16">
      <c r="A75" s="11"/>
      <c r="B75" s="24">
        <v>342.9</v>
      </c>
      <c r="C75" s="19" t="s">
        <v>92</v>
      </c>
      <c r="D75" s="45">
        <v>460289</v>
      </c>
      <c r="E75" s="45">
        <v>1635</v>
      </c>
      <c r="F75" s="45">
        <v>0</v>
      </c>
      <c r="G75" s="45">
        <v>0</v>
      </c>
      <c r="H75" s="45">
        <v>0</v>
      </c>
      <c r="I75" s="45">
        <v>0</v>
      </c>
      <c r="J75" s="45">
        <v>0</v>
      </c>
      <c r="K75" s="45">
        <v>0</v>
      </c>
      <c r="L75" s="45">
        <v>0</v>
      </c>
      <c r="M75" s="45">
        <v>0</v>
      </c>
      <c r="N75" s="45">
        <f t="shared" si="10"/>
        <v>461924</v>
      </c>
      <c r="O75" s="46">
        <f t="shared" si="11"/>
        <v>0.38724042449204055</v>
      </c>
      <c r="P75" s="9"/>
    </row>
    <row r="76" spans="1:16">
      <c r="A76" s="11"/>
      <c r="B76" s="24">
        <v>343.4</v>
      </c>
      <c r="C76" s="19" t="s">
        <v>93</v>
      </c>
      <c r="D76" s="45">
        <v>0</v>
      </c>
      <c r="E76" s="45">
        <v>0</v>
      </c>
      <c r="F76" s="45">
        <v>0</v>
      </c>
      <c r="G76" s="45">
        <v>0</v>
      </c>
      <c r="H76" s="45">
        <v>0</v>
      </c>
      <c r="I76" s="45">
        <v>84138000</v>
      </c>
      <c r="J76" s="45">
        <v>0</v>
      </c>
      <c r="K76" s="45">
        <v>0</v>
      </c>
      <c r="L76" s="45">
        <v>0</v>
      </c>
      <c r="M76" s="45">
        <v>0</v>
      </c>
      <c r="N76" s="45">
        <f t="shared" si="10"/>
        <v>84138000</v>
      </c>
      <c r="O76" s="46">
        <f t="shared" si="11"/>
        <v>70.534622223377241</v>
      </c>
      <c r="P76" s="9"/>
    </row>
    <row r="77" spans="1:16">
      <c r="A77" s="11"/>
      <c r="B77" s="24">
        <v>343.6</v>
      </c>
      <c r="C77" s="19" t="s">
        <v>94</v>
      </c>
      <c r="D77" s="45">
        <v>0</v>
      </c>
      <c r="E77" s="45">
        <v>4050</v>
      </c>
      <c r="F77" s="45">
        <v>0</v>
      </c>
      <c r="G77" s="45">
        <v>0</v>
      </c>
      <c r="H77" s="45">
        <v>0</v>
      </c>
      <c r="I77" s="45">
        <v>188386000</v>
      </c>
      <c r="J77" s="45">
        <v>0</v>
      </c>
      <c r="K77" s="45">
        <v>0</v>
      </c>
      <c r="L77" s="45">
        <v>0</v>
      </c>
      <c r="M77" s="45">
        <v>0</v>
      </c>
      <c r="N77" s="45">
        <f t="shared" si="10"/>
        <v>188390050</v>
      </c>
      <c r="O77" s="46">
        <f t="shared" si="11"/>
        <v>157.93126776715812</v>
      </c>
      <c r="P77" s="9"/>
    </row>
    <row r="78" spans="1:16">
      <c r="A78" s="11"/>
      <c r="B78" s="24">
        <v>343.7</v>
      </c>
      <c r="C78" s="19" t="s">
        <v>95</v>
      </c>
      <c r="D78" s="45">
        <v>3590218</v>
      </c>
      <c r="E78" s="45">
        <v>613839</v>
      </c>
      <c r="F78" s="45">
        <v>0</v>
      </c>
      <c r="G78" s="45">
        <v>0</v>
      </c>
      <c r="H78" s="45">
        <v>0</v>
      </c>
      <c r="I78" s="45">
        <v>0</v>
      </c>
      <c r="J78" s="45">
        <v>0</v>
      </c>
      <c r="K78" s="45">
        <v>0</v>
      </c>
      <c r="L78" s="45">
        <v>0</v>
      </c>
      <c r="M78" s="45">
        <v>0</v>
      </c>
      <c r="N78" s="45">
        <f t="shared" si="10"/>
        <v>4204057</v>
      </c>
      <c r="O78" s="46">
        <f t="shared" si="11"/>
        <v>3.5243477655820752</v>
      </c>
      <c r="P78" s="9"/>
    </row>
    <row r="79" spans="1:16">
      <c r="A79" s="11"/>
      <c r="B79" s="24">
        <v>343.9</v>
      </c>
      <c r="C79" s="19" t="s">
        <v>96</v>
      </c>
      <c r="D79" s="45">
        <v>2529752</v>
      </c>
      <c r="E79" s="45">
        <v>429409</v>
      </c>
      <c r="F79" s="45">
        <v>0</v>
      </c>
      <c r="G79" s="45">
        <v>0</v>
      </c>
      <c r="H79" s="45">
        <v>0</v>
      </c>
      <c r="I79" s="45">
        <v>0</v>
      </c>
      <c r="J79" s="45">
        <v>0</v>
      </c>
      <c r="K79" s="45">
        <v>0</v>
      </c>
      <c r="L79" s="45">
        <v>0</v>
      </c>
      <c r="M79" s="45">
        <v>0</v>
      </c>
      <c r="N79" s="45">
        <f t="shared" si="10"/>
        <v>2959161</v>
      </c>
      <c r="O79" s="46">
        <f t="shared" si="11"/>
        <v>2.4807257509466738</v>
      </c>
      <c r="P79" s="9"/>
    </row>
    <row r="80" spans="1:16">
      <c r="A80" s="11"/>
      <c r="B80" s="24">
        <v>344.5</v>
      </c>
      <c r="C80" s="19" t="s">
        <v>97</v>
      </c>
      <c r="D80" s="45">
        <v>823624</v>
      </c>
      <c r="E80" s="45">
        <v>988</v>
      </c>
      <c r="F80" s="45">
        <v>0</v>
      </c>
      <c r="G80" s="45">
        <v>0</v>
      </c>
      <c r="H80" s="45">
        <v>0</v>
      </c>
      <c r="I80" s="45">
        <v>0</v>
      </c>
      <c r="J80" s="45">
        <v>0</v>
      </c>
      <c r="K80" s="45">
        <v>0</v>
      </c>
      <c r="L80" s="45">
        <v>0</v>
      </c>
      <c r="M80" s="45">
        <v>0</v>
      </c>
      <c r="N80" s="45">
        <f t="shared" si="10"/>
        <v>824612</v>
      </c>
      <c r="O80" s="46">
        <f t="shared" si="11"/>
        <v>0.69128926169939331</v>
      </c>
      <c r="P80" s="9"/>
    </row>
    <row r="81" spans="1:16">
      <c r="A81" s="11"/>
      <c r="B81" s="24">
        <v>344.9</v>
      </c>
      <c r="C81" s="19" t="s">
        <v>98</v>
      </c>
      <c r="D81" s="45">
        <v>112694</v>
      </c>
      <c r="E81" s="45">
        <v>3976668</v>
      </c>
      <c r="F81" s="45">
        <v>0</v>
      </c>
      <c r="G81" s="45">
        <v>0</v>
      </c>
      <c r="H81" s="45">
        <v>0</v>
      </c>
      <c r="I81" s="45">
        <v>0</v>
      </c>
      <c r="J81" s="45">
        <v>0</v>
      </c>
      <c r="K81" s="45">
        <v>0</v>
      </c>
      <c r="L81" s="45">
        <v>0</v>
      </c>
      <c r="M81" s="45">
        <v>0</v>
      </c>
      <c r="N81" s="45">
        <f t="shared" si="10"/>
        <v>4089362</v>
      </c>
      <c r="O81" s="46">
        <f t="shared" si="11"/>
        <v>3.4281965794841143</v>
      </c>
      <c r="P81" s="9"/>
    </row>
    <row r="82" spans="1:16">
      <c r="A82" s="11"/>
      <c r="B82" s="24">
        <v>345.1</v>
      </c>
      <c r="C82" s="19" t="s">
        <v>99</v>
      </c>
      <c r="D82" s="45">
        <v>1936</v>
      </c>
      <c r="E82" s="45">
        <v>-130940</v>
      </c>
      <c r="F82" s="45">
        <v>0</v>
      </c>
      <c r="G82" s="45">
        <v>0</v>
      </c>
      <c r="H82" s="45">
        <v>0</v>
      </c>
      <c r="I82" s="45">
        <v>0</v>
      </c>
      <c r="J82" s="45">
        <v>0</v>
      </c>
      <c r="K82" s="45">
        <v>0</v>
      </c>
      <c r="L82" s="45">
        <v>0</v>
      </c>
      <c r="M82" s="45">
        <v>1066000</v>
      </c>
      <c r="N82" s="45">
        <f t="shared" si="10"/>
        <v>936996</v>
      </c>
      <c r="O82" s="46">
        <f t="shared" si="11"/>
        <v>0.78550308879240749</v>
      </c>
      <c r="P82" s="9"/>
    </row>
    <row r="83" spans="1:16">
      <c r="A83" s="11"/>
      <c r="B83" s="24">
        <v>345.9</v>
      </c>
      <c r="C83" s="19" t="s">
        <v>100</v>
      </c>
      <c r="D83" s="45">
        <v>0</v>
      </c>
      <c r="E83" s="45">
        <v>1205710</v>
      </c>
      <c r="F83" s="45">
        <v>0</v>
      </c>
      <c r="G83" s="45">
        <v>0</v>
      </c>
      <c r="H83" s="45">
        <v>0</v>
      </c>
      <c r="I83" s="45">
        <v>0</v>
      </c>
      <c r="J83" s="45">
        <v>0</v>
      </c>
      <c r="K83" s="45">
        <v>0</v>
      </c>
      <c r="L83" s="45">
        <v>0</v>
      </c>
      <c r="M83" s="45">
        <v>0</v>
      </c>
      <c r="N83" s="45">
        <f t="shared" si="10"/>
        <v>1205710</v>
      </c>
      <c r="O83" s="46">
        <f t="shared" si="11"/>
        <v>1.0107715819362022</v>
      </c>
      <c r="P83" s="9"/>
    </row>
    <row r="84" spans="1:16">
      <c r="A84" s="11"/>
      <c r="B84" s="24">
        <v>346.4</v>
      </c>
      <c r="C84" s="19" t="s">
        <v>101</v>
      </c>
      <c r="D84" s="45">
        <v>235232</v>
      </c>
      <c r="E84" s="45">
        <v>0</v>
      </c>
      <c r="F84" s="45">
        <v>0</v>
      </c>
      <c r="G84" s="45">
        <v>0</v>
      </c>
      <c r="H84" s="45">
        <v>0</v>
      </c>
      <c r="I84" s="45">
        <v>0</v>
      </c>
      <c r="J84" s="45">
        <v>0</v>
      </c>
      <c r="K84" s="45">
        <v>0</v>
      </c>
      <c r="L84" s="45">
        <v>0</v>
      </c>
      <c r="M84" s="45">
        <v>0</v>
      </c>
      <c r="N84" s="45">
        <f t="shared" si="10"/>
        <v>235232</v>
      </c>
      <c r="O84" s="46">
        <f t="shared" si="11"/>
        <v>0.19719984138973443</v>
      </c>
      <c r="P84" s="9"/>
    </row>
    <row r="85" spans="1:16">
      <c r="A85" s="11"/>
      <c r="B85" s="24">
        <v>346.9</v>
      </c>
      <c r="C85" s="19" t="s">
        <v>102</v>
      </c>
      <c r="D85" s="45">
        <v>66543</v>
      </c>
      <c r="E85" s="45">
        <v>1632391</v>
      </c>
      <c r="F85" s="45">
        <v>0</v>
      </c>
      <c r="G85" s="45">
        <v>0</v>
      </c>
      <c r="H85" s="45">
        <v>0</v>
      </c>
      <c r="I85" s="45">
        <v>0</v>
      </c>
      <c r="J85" s="45">
        <v>0</v>
      </c>
      <c r="K85" s="45">
        <v>0</v>
      </c>
      <c r="L85" s="45">
        <v>0</v>
      </c>
      <c r="M85" s="45">
        <v>0</v>
      </c>
      <c r="N85" s="45">
        <f t="shared" si="10"/>
        <v>1698934</v>
      </c>
      <c r="O85" s="46">
        <f t="shared" si="11"/>
        <v>1.4242514425402457</v>
      </c>
      <c r="P85" s="9"/>
    </row>
    <row r="86" spans="1:16">
      <c r="A86" s="11"/>
      <c r="B86" s="24">
        <v>347.1</v>
      </c>
      <c r="C86" s="19" t="s">
        <v>103</v>
      </c>
      <c r="D86" s="45">
        <v>0</v>
      </c>
      <c r="E86" s="45">
        <v>31059</v>
      </c>
      <c r="F86" s="45">
        <v>0</v>
      </c>
      <c r="G86" s="45">
        <v>0</v>
      </c>
      <c r="H86" s="45">
        <v>0</v>
      </c>
      <c r="I86" s="45">
        <v>0</v>
      </c>
      <c r="J86" s="45">
        <v>0</v>
      </c>
      <c r="K86" s="45">
        <v>0</v>
      </c>
      <c r="L86" s="45">
        <v>0</v>
      </c>
      <c r="M86" s="45">
        <v>0</v>
      </c>
      <c r="N86" s="45">
        <f t="shared" si="10"/>
        <v>31059</v>
      </c>
      <c r="O86" s="46">
        <f t="shared" si="11"/>
        <v>2.6037400837146993E-2</v>
      </c>
      <c r="P86" s="9"/>
    </row>
    <row r="87" spans="1:16">
      <c r="A87" s="11"/>
      <c r="B87" s="24">
        <v>347.2</v>
      </c>
      <c r="C87" s="19" t="s">
        <v>104</v>
      </c>
      <c r="D87" s="45">
        <v>1387808</v>
      </c>
      <c r="E87" s="45">
        <v>0</v>
      </c>
      <c r="F87" s="45">
        <v>0</v>
      </c>
      <c r="G87" s="45">
        <v>0</v>
      </c>
      <c r="H87" s="45">
        <v>0</v>
      </c>
      <c r="I87" s="45">
        <v>0</v>
      </c>
      <c r="J87" s="45">
        <v>0</v>
      </c>
      <c r="K87" s="45">
        <v>0</v>
      </c>
      <c r="L87" s="45">
        <v>0</v>
      </c>
      <c r="M87" s="45">
        <v>0</v>
      </c>
      <c r="N87" s="45">
        <f t="shared" si="10"/>
        <v>1387808</v>
      </c>
      <c r="O87" s="46">
        <f t="shared" si="11"/>
        <v>1.1634280943043658</v>
      </c>
      <c r="P87" s="9"/>
    </row>
    <row r="88" spans="1:16">
      <c r="A88" s="11"/>
      <c r="B88" s="24">
        <v>347.4</v>
      </c>
      <c r="C88" s="19" t="s">
        <v>105</v>
      </c>
      <c r="D88" s="45">
        <v>150</v>
      </c>
      <c r="E88" s="45">
        <v>0</v>
      </c>
      <c r="F88" s="45">
        <v>443720</v>
      </c>
      <c r="G88" s="45">
        <v>0</v>
      </c>
      <c r="H88" s="45">
        <v>0</v>
      </c>
      <c r="I88" s="45">
        <v>0</v>
      </c>
      <c r="J88" s="45">
        <v>0</v>
      </c>
      <c r="K88" s="45">
        <v>0</v>
      </c>
      <c r="L88" s="45">
        <v>0</v>
      </c>
      <c r="M88" s="45">
        <v>0</v>
      </c>
      <c r="N88" s="45">
        <f t="shared" si="10"/>
        <v>443870</v>
      </c>
      <c r="O88" s="46">
        <f t="shared" si="11"/>
        <v>0.37210538361133444</v>
      </c>
      <c r="P88" s="9"/>
    </row>
    <row r="89" spans="1:16">
      <c r="A89" s="11"/>
      <c r="B89" s="24">
        <v>347.5</v>
      </c>
      <c r="C89" s="19" t="s">
        <v>106</v>
      </c>
      <c r="D89" s="45">
        <v>3700</v>
      </c>
      <c r="E89" s="45">
        <v>0</v>
      </c>
      <c r="F89" s="45">
        <v>0</v>
      </c>
      <c r="G89" s="45">
        <v>0</v>
      </c>
      <c r="H89" s="45">
        <v>0</v>
      </c>
      <c r="I89" s="45">
        <v>0</v>
      </c>
      <c r="J89" s="45">
        <v>0</v>
      </c>
      <c r="K89" s="45">
        <v>0</v>
      </c>
      <c r="L89" s="45">
        <v>0</v>
      </c>
      <c r="M89" s="45">
        <v>0</v>
      </c>
      <c r="N89" s="45">
        <f t="shared" si="10"/>
        <v>3700</v>
      </c>
      <c r="O89" s="46">
        <f t="shared" si="11"/>
        <v>3.1017863774572226E-3</v>
      </c>
      <c r="P89" s="9"/>
    </row>
    <row r="90" spans="1:16">
      <c r="A90" s="11"/>
      <c r="B90" s="24">
        <v>347.9</v>
      </c>
      <c r="C90" s="19" t="s">
        <v>107</v>
      </c>
      <c r="D90" s="45">
        <v>167845</v>
      </c>
      <c r="E90" s="45">
        <v>45561</v>
      </c>
      <c r="F90" s="45">
        <v>0</v>
      </c>
      <c r="G90" s="45">
        <v>0</v>
      </c>
      <c r="H90" s="45">
        <v>0</v>
      </c>
      <c r="I90" s="45">
        <v>0</v>
      </c>
      <c r="J90" s="45">
        <v>0</v>
      </c>
      <c r="K90" s="45">
        <v>0</v>
      </c>
      <c r="L90" s="45">
        <v>0</v>
      </c>
      <c r="M90" s="45">
        <v>0</v>
      </c>
      <c r="N90" s="45">
        <f t="shared" si="10"/>
        <v>213406</v>
      </c>
      <c r="O90" s="46">
        <f t="shared" si="11"/>
        <v>0.17890265504530703</v>
      </c>
      <c r="P90" s="9"/>
    </row>
    <row r="91" spans="1:16">
      <c r="A91" s="11"/>
      <c r="B91" s="24">
        <v>348.11</v>
      </c>
      <c r="C91" s="19" t="s">
        <v>115</v>
      </c>
      <c r="D91" s="45">
        <v>0</v>
      </c>
      <c r="E91" s="45">
        <v>84418</v>
      </c>
      <c r="F91" s="45">
        <v>0</v>
      </c>
      <c r="G91" s="45">
        <v>0</v>
      </c>
      <c r="H91" s="45">
        <v>0</v>
      </c>
      <c r="I91" s="45">
        <v>0</v>
      </c>
      <c r="J91" s="45">
        <v>0</v>
      </c>
      <c r="K91" s="45">
        <v>0</v>
      </c>
      <c r="L91" s="45">
        <v>0</v>
      </c>
      <c r="M91" s="45">
        <v>0</v>
      </c>
      <c r="N91" s="45">
        <f t="shared" si="10"/>
        <v>84418</v>
      </c>
      <c r="O91" s="46">
        <f t="shared" si="11"/>
        <v>7.0769352003292929E-2</v>
      </c>
      <c r="P91" s="9"/>
    </row>
    <row r="92" spans="1:16">
      <c r="A92" s="11"/>
      <c r="B92" s="24">
        <v>348.12</v>
      </c>
      <c r="C92" s="19" t="s">
        <v>116</v>
      </c>
      <c r="D92" s="45">
        <v>42969</v>
      </c>
      <c r="E92" s="45">
        <v>118887</v>
      </c>
      <c r="F92" s="45">
        <v>0</v>
      </c>
      <c r="G92" s="45">
        <v>0</v>
      </c>
      <c r="H92" s="45">
        <v>0</v>
      </c>
      <c r="I92" s="45">
        <v>0</v>
      </c>
      <c r="J92" s="45">
        <v>0</v>
      </c>
      <c r="K92" s="45">
        <v>0</v>
      </c>
      <c r="L92" s="45">
        <v>0</v>
      </c>
      <c r="M92" s="45">
        <v>0</v>
      </c>
      <c r="N92" s="45">
        <f t="shared" si="10"/>
        <v>161856</v>
      </c>
      <c r="O92" s="46">
        <f t="shared" si="11"/>
        <v>0.13568722592154492</v>
      </c>
      <c r="P92" s="9"/>
    </row>
    <row r="93" spans="1:16">
      <c r="A93" s="11"/>
      <c r="B93" s="24">
        <v>348.13</v>
      </c>
      <c r="C93" s="19" t="s">
        <v>117</v>
      </c>
      <c r="D93" s="45">
        <v>0</v>
      </c>
      <c r="E93" s="45">
        <v>504981</v>
      </c>
      <c r="F93" s="45">
        <v>0</v>
      </c>
      <c r="G93" s="45">
        <v>0</v>
      </c>
      <c r="H93" s="45">
        <v>0</v>
      </c>
      <c r="I93" s="45">
        <v>0</v>
      </c>
      <c r="J93" s="45">
        <v>0</v>
      </c>
      <c r="K93" s="45">
        <v>0</v>
      </c>
      <c r="L93" s="45">
        <v>0</v>
      </c>
      <c r="M93" s="45">
        <v>0</v>
      </c>
      <c r="N93" s="45">
        <f t="shared" si="10"/>
        <v>504981</v>
      </c>
      <c r="O93" s="46">
        <f t="shared" si="11"/>
        <v>0.4233359963985745</v>
      </c>
      <c r="P93" s="9"/>
    </row>
    <row r="94" spans="1:16">
      <c r="A94" s="11"/>
      <c r="B94" s="24">
        <v>348.21</v>
      </c>
      <c r="C94" s="19" t="s">
        <v>118</v>
      </c>
      <c r="D94" s="45">
        <v>0</v>
      </c>
      <c r="E94" s="45">
        <v>-504</v>
      </c>
      <c r="F94" s="45">
        <v>0</v>
      </c>
      <c r="G94" s="45">
        <v>0</v>
      </c>
      <c r="H94" s="45">
        <v>0</v>
      </c>
      <c r="I94" s="45">
        <v>0</v>
      </c>
      <c r="J94" s="45">
        <v>0</v>
      </c>
      <c r="K94" s="45">
        <v>0</v>
      </c>
      <c r="L94" s="45">
        <v>0</v>
      </c>
      <c r="M94" s="45">
        <v>0</v>
      </c>
      <c r="N94" s="45">
        <f t="shared" si="10"/>
        <v>-504</v>
      </c>
      <c r="O94" s="46">
        <f t="shared" si="11"/>
        <v>-4.2251360384822708E-4</v>
      </c>
      <c r="P94" s="9"/>
    </row>
    <row r="95" spans="1:16">
      <c r="A95" s="11"/>
      <c r="B95" s="24">
        <v>348.22</v>
      </c>
      <c r="C95" s="19" t="s">
        <v>119</v>
      </c>
      <c r="D95" s="45">
        <v>15955</v>
      </c>
      <c r="E95" s="45">
        <v>88555</v>
      </c>
      <c r="F95" s="45">
        <v>0</v>
      </c>
      <c r="G95" s="45">
        <v>0</v>
      </c>
      <c r="H95" s="45">
        <v>0</v>
      </c>
      <c r="I95" s="45">
        <v>0</v>
      </c>
      <c r="J95" s="45">
        <v>0</v>
      </c>
      <c r="K95" s="45">
        <v>0</v>
      </c>
      <c r="L95" s="45">
        <v>0</v>
      </c>
      <c r="M95" s="45">
        <v>0</v>
      </c>
      <c r="N95" s="45">
        <f t="shared" si="10"/>
        <v>104510</v>
      </c>
      <c r="O95" s="46">
        <f t="shared" si="11"/>
        <v>8.7612890353528192E-2</v>
      </c>
      <c r="P95" s="9"/>
    </row>
    <row r="96" spans="1:16">
      <c r="A96" s="11"/>
      <c r="B96" s="24">
        <v>348.23</v>
      </c>
      <c r="C96" s="19" t="s">
        <v>120</v>
      </c>
      <c r="D96" s="45">
        <v>0</v>
      </c>
      <c r="E96" s="45">
        <v>1008504</v>
      </c>
      <c r="F96" s="45">
        <v>0</v>
      </c>
      <c r="G96" s="45">
        <v>0</v>
      </c>
      <c r="H96" s="45">
        <v>0</v>
      </c>
      <c r="I96" s="45">
        <v>0</v>
      </c>
      <c r="J96" s="45">
        <v>0</v>
      </c>
      <c r="K96" s="45">
        <v>0</v>
      </c>
      <c r="L96" s="45">
        <v>0</v>
      </c>
      <c r="M96" s="45">
        <v>0</v>
      </c>
      <c r="N96" s="45">
        <f t="shared" si="10"/>
        <v>1008504</v>
      </c>
      <c r="O96" s="46">
        <f t="shared" si="11"/>
        <v>0.84544972130030238</v>
      </c>
      <c r="P96" s="9"/>
    </row>
    <row r="97" spans="1:16">
      <c r="A97" s="11"/>
      <c r="B97" s="24">
        <v>348.31</v>
      </c>
      <c r="C97" s="19" t="s">
        <v>121</v>
      </c>
      <c r="D97" s="45">
        <v>0</v>
      </c>
      <c r="E97" s="45">
        <v>5602741</v>
      </c>
      <c r="F97" s="45">
        <v>0</v>
      </c>
      <c r="G97" s="45">
        <v>0</v>
      </c>
      <c r="H97" s="45">
        <v>0</v>
      </c>
      <c r="I97" s="45">
        <v>0</v>
      </c>
      <c r="J97" s="45">
        <v>0</v>
      </c>
      <c r="K97" s="45">
        <v>0</v>
      </c>
      <c r="L97" s="45">
        <v>0</v>
      </c>
      <c r="M97" s="45">
        <v>0</v>
      </c>
      <c r="N97" s="45">
        <f t="shared" si="10"/>
        <v>5602741</v>
      </c>
      <c r="O97" s="46">
        <f t="shared" si="11"/>
        <v>4.6968934351948803</v>
      </c>
      <c r="P97" s="9"/>
    </row>
    <row r="98" spans="1:16">
      <c r="A98" s="11"/>
      <c r="B98" s="24">
        <v>348.32</v>
      </c>
      <c r="C98" s="19" t="s">
        <v>122</v>
      </c>
      <c r="D98" s="45">
        <v>0</v>
      </c>
      <c r="E98" s="45">
        <v>130624</v>
      </c>
      <c r="F98" s="45">
        <v>0</v>
      </c>
      <c r="G98" s="45">
        <v>0</v>
      </c>
      <c r="H98" s="45">
        <v>0</v>
      </c>
      <c r="I98" s="45">
        <v>0</v>
      </c>
      <c r="J98" s="45">
        <v>0</v>
      </c>
      <c r="K98" s="45">
        <v>0</v>
      </c>
      <c r="L98" s="45">
        <v>0</v>
      </c>
      <c r="M98" s="45">
        <v>0</v>
      </c>
      <c r="N98" s="45">
        <f t="shared" si="10"/>
        <v>130624</v>
      </c>
      <c r="O98" s="46">
        <f t="shared" si="11"/>
        <v>0.10950479561323574</v>
      </c>
      <c r="P98" s="9"/>
    </row>
    <row r="99" spans="1:16">
      <c r="A99" s="11"/>
      <c r="B99" s="24">
        <v>348.41</v>
      </c>
      <c r="C99" s="19" t="s">
        <v>123</v>
      </c>
      <c r="D99" s="45">
        <v>0</v>
      </c>
      <c r="E99" s="45">
        <v>4753752</v>
      </c>
      <c r="F99" s="45">
        <v>0</v>
      </c>
      <c r="G99" s="45">
        <v>0</v>
      </c>
      <c r="H99" s="45">
        <v>0</v>
      </c>
      <c r="I99" s="45">
        <v>0</v>
      </c>
      <c r="J99" s="45">
        <v>0</v>
      </c>
      <c r="K99" s="45">
        <v>0</v>
      </c>
      <c r="L99" s="45">
        <v>0</v>
      </c>
      <c r="M99" s="45">
        <v>0</v>
      </c>
      <c r="N99" s="45">
        <f t="shared" si="10"/>
        <v>4753752</v>
      </c>
      <c r="O99" s="46">
        <f t="shared" si="11"/>
        <v>3.9851684311918993</v>
      </c>
      <c r="P99" s="9"/>
    </row>
    <row r="100" spans="1:16">
      <c r="A100" s="11"/>
      <c r="B100" s="24">
        <v>348.42</v>
      </c>
      <c r="C100" s="19" t="s">
        <v>124</v>
      </c>
      <c r="D100" s="45">
        <v>14040</v>
      </c>
      <c r="E100" s="45">
        <v>1078038</v>
      </c>
      <c r="F100" s="45">
        <v>0</v>
      </c>
      <c r="G100" s="45">
        <v>0</v>
      </c>
      <c r="H100" s="45">
        <v>0</v>
      </c>
      <c r="I100" s="45">
        <v>0</v>
      </c>
      <c r="J100" s="45">
        <v>0</v>
      </c>
      <c r="K100" s="45">
        <v>0</v>
      </c>
      <c r="L100" s="45">
        <v>0</v>
      </c>
      <c r="M100" s="45">
        <v>0</v>
      </c>
      <c r="N100" s="45">
        <f t="shared" si="10"/>
        <v>1092078</v>
      </c>
      <c r="O100" s="46">
        <f t="shared" si="11"/>
        <v>0.915511530681278</v>
      </c>
      <c r="P100" s="9"/>
    </row>
    <row r="101" spans="1:16">
      <c r="A101" s="11"/>
      <c r="B101" s="24">
        <v>348.48</v>
      </c>
      <c r="C101" s="19" t="s">
        <v>125</v>
      </c>
      <c r="D101" s="45">
        <v>0</v>
      </c>
      <c r="E101" s="45">
        <v>370325</v>
      </c>
      <c r="F101" s="45">
        <v>0</v>
      </c>
      <c r="G101" s="45">
        <v>0</v>
      </c>
      <c r="H101" s="45">
        <v>0</v>
      </c>
      <c r="I101" s="45">
        <v>0</v>
      </c>
      <c r="J101" s="45">
        <v>0</v>
      </c>
      <c r="K101" s="45">
        <v>0</v>
      </c>
      <c r="L101" s="45">
        <v>0</v>
      </c>
      <c r="M101" s="45">
        <v>0</v>
      </c>
      <c r="N101" s="45">
        <f t="shared" si="10"/>
        <v>370325</v>
      </c>
      <c r="O101" s="46">
        <f t="shared" ref="O101:O132" si="12">(N101/O$151)</f>
        <v>0.31045109195455295</v>
      </c>
      <c r="P101" s="9"/>
    </row>
    <row r="102" spans="1:16">
      <c r="A102" s="11"/>
      <c r="B102" s="24">
        <v>348.51</v>
      </c>
      <c r="C102" s="19" t="s">
        <v>126</v>
      </c>
      <c r="D102" s="45">
        <v>0</v>
      </c>
      <c r="E102" s="45">
        <v>1305</v>
      </c>
      <c r="F102" s="45">
        <v>0</v>
      </c>
      <c r="G102" s="45">
        <v>0</v>
      </c>
      <c r="H102" s="45">
        <v>0</v>
      </c>
      <c r="I102" s="45">
        <v>0</v>
      </c>
      <c r="J102" s="45">
        <v>0</v>
      </c>
      <c r="K102" s="45">
        <v>0</v>
      </c>
      <c r="L102" s="45">
        <v>0</v>
      </c>
      <c r="M102" s="45">
        <v>0</v>
      </c>
      <c r="N102" s="45">
        <f t="shared" si="10"/>
        <v>1305</v>
      </c>
      <c r="O102" s="46">
        <f t="shared" si="12"/>
        <v>1.0940084385355879E-3</v>
      </c>
      <c r="P102" s="9"/>
    </row>
    <row r="103" spans="1:16">
      <c r="A103" s="11"/>
      <c r="B103" s="24">
        <v>348.52</v>
      </c>
      <c r="C103" s="19" t="s">
        <v>127</v>
      </c>
      <c r="D103" s="45">
        <v>0</v>
      </c>
      <c r="E103" s="45">
        <v>1399064</v>
      </c>
      <c r="F103" s="45">
        <v>0</v>
      </c>
      <c r="G103" s="45">
        <v>0</v>
      </c>
      <c r="H103" s="45">
        <v>0</v>
      </c>
      <c r="I103" s="45">
        <v>0</v>
      </c>
      <c r="J103" s="45">
        <v>0</v>
      </c>
      <c r="K103" s="45">
        <v>0</v>
      </c>
      <c r="L103" s="45">
        <v>0</v>
      </c>
      <c r="M103" s="45">
        <v>0</v>
      </c>
      <c r="N103" s="45">
        <f t="shared" si="10"/>
        <v>1399064</v>
      </c>
      <c r="O103" s="46">
        <f t="shared" si="12"/>
        <v>1.1728642314569762</v>
      </c>
      <c r="P103" s="9"/>
    </row>
    <row r="104" spans="1:16">
      <c r="A104" s="11"/>
      <c r="B104" s="24">
        <v>348.53</v>
      </c>
      <c r="C104" s="19" t="s">
        <v>128</v>
      </c>
      <c r="D104" s="45">
        <v>0</v>
      </c>
      <c r="E104" s="45">
        <v>8766737</v>
      </c>
      <c r="F104" s="45">
        <v>0</v>
      </c>
      <c r="G104" s="45">
        <v>0</v>
      </c>
      <c r="H104" s="45">
        <v>0</v>
      </c>
      <c r="I104" s="45">
        <v>0</v>
      </c>
      <c r="J104" s="45">
        <v>0</v>
      </c>
      <c r="K104" s="45">
        <v>0</v>
      </c>
      <c r="L104" s="45">
        <v>0</v>
      </c>
      <c r="M104" s="45">
        <v>0</v>
      </c>
      <c r="N104" s="45">
        <f t="shared" si="10"/>
        <v>8766737</v>
      </c>
      <c r="O104" s="46">
        <f t="shared" si="12"/>
        <v>7.3493365949595137</v>
      </c>
      <c r="P104" s="9"/>
    </row>
    <row r="105" spans="1:16">
      <c r="A105" s="11"/>
      <c r="B105" s="24">
        <v>348.61</v>
      </c>
      <c r="C105" s="19" t="s">
        <v>129</v>
      </c>
      <c r="D105" s="45">
        <v>0</v>
      </c>
      <c r="E105" s="45">
        <v>55770</v>
      </c>
      <c r="F105" s="45">
        <v>0</v>
      </c>
      <c r="G105" s="45">
        <v>0</v>
      </c>
      <c r="H105" s="45">
        <v>0</v>
      </c>
      <c r="I105" s="45">
        <v>0</v>
      </c>
      <c r="J105" s="45">
        <v>0</v>
      </c>
      <c r="K105" s="45">
        <v>0</v>
      </c>
      <c r="L105" s="45">
        <v>0</v>
      </c>
      <c r="M105" s="45">
        <v>0</v>
      </c>
      <c r="N105" s="45">
        <f t="shared" si="10"/>
        <v>55770</v>
      </c>
      <c r="O105" s="46">
        <f t="shared" si="12"/>
        <v>4.675314223534846E-2</v>
      </c>
      <c r="P105" s="9"/>
    </row>
    <row r="106" spans="1:16">
      <c r="A106" s="11"/>
      <c r="B106" s="24">
        <v>348.62</v>
      </c>
      <c r="C106" s="19" t="s">
        <v>130</v>
      </c>
      <c r="D106" s="45">
        <v>2897</v>
      </c>
      <c r="E106" s="45">
        <v>23810</v>
      </c>
      <c r="F106" s="45">
        <v>0</v>
      </c>
      <c r="G106" s="45">
        <v>0</v>
      </c>
      <c r="H106" s="45">
        <v>0</v>
      </c>
      <c r="I106" s="45">
        <v>0</v>
      </c>
      <c r="J106" s="45">
        <v>0</v>
      </c>
      <c r="K106" s="45">
        <v>0</v>
      </c>
      <c r="L106" s="45">
        <v>0</v>
      </c>
      <c r="M106" s="45">
        <v>0</v>
      </c>
      <c r="N106" s="45">
        <f t="shared" si="10"/>
        <v>26707</v>
      </c>
      <c r="O106" s="46">
        <f t="shared" si="12"/>
        <v>2.2389029400743256E-2</v>
      </c>
      <c r="P106" s="9"/>
    </row>
    <row r="107" spans="1:16">
      <c r="A107" s="11"/>
      <c r="B107" s="24">
        <v>348.71</v>
      </c>
      <c r="C107" s="19" t="s">
        <v>131</v>
      </c>
      <c r="D107" s="45">
        <v>0</v>
      </c>
      <c r="E107" s="45">
        <v>657156</v>
      </c>
      <c r="F107" s="45">
        <v>0</v>
      </c>
      <c r="G107" s="45">
        <v>0</v>
      </c>
      <c r="H107" s="45">
        <v>0</v>
      </c>
      <c r="I107" s="45">
        <v>0</v>
      </c>
      <c r="J107" s="45">
        <v>0</v>
      </c>
      <c r="K107" s="45">
        <v>0</v>
      </c>
      <c r="L107" s="45">
        <v>0</v>
      </c>
      <c r="M107" s="45">
        <v>0</v>
      </c>
      <c r="N107" s="45">
        <f>SUM(D107:M107)</f>
        <v>657156</v>
      </c>
      <c r="O107" s="46">
        <f t="shared" si="12"/>
        <v>0.55090744017953475</v>
      </c>
      <c r="P107" s="9"/>
    </row>
    <row r="108" spans="1:16">
      <c r="A108" s="11"/>
      <c r="B108" s="24">
        <v>348.72</v>
      </c>
      <c r="C108" s="19" t="s">
        <v>132</v>
      </c>
      <c r="D108" s="45">
        <v>2845</v>
      </c>
      <c r="E108" s="45">
        <v>129203</v>
      </c>
      <c r="F108" s="45">
        <v>0</v>
      </c>
      <c r="G108" s="45">
        <v>0</v>
      </c>
      <c r="H108" s="45">
        <v>0</v>
      </c>
      <c r="I108" s="45">
        <v>0</v>
      </c>
      <c r="J108" s="45">
        <v>0</v>
      </c>
      <c r="K108" s="45">
        <v>0</v>
      </c>
      <c r="L108" s="45">
        <v>0</v>
      </c>
      <c r="M108" s="45">
        <v>0</v>
      </c>
      <c r="N108" s="45">
        <f>SUM(D108:M108)</f>
        <v>132048</v>
      </c>
      <c r="O108" s="46">
        <f t="shared" si="12"/>
        <v>0.1106985642082355</v>
      </c>
      <c r="P108" s="9"/>
    </row>
    <row r="109" spans="1:16">
      <c r="A109" s="11"/>
      <c r="B109" s="24">
        <v>348.88</v>
      </c>
      <c r="C109" s="19" t="s">
        <v>108</v>
      </c>
      <c r="D109" s="45">
        <v>173141</v>
      </c>
      <c r="E109" s="45">
        <v>0</v>
      </c>
      <c r="F109" s="45">
        <v>0</v>
      </c>
      <c r="G109" s="45">
        <v>0</v>
      </c>
      <c r="H109" s="45">
        <v>0</v>
      </c>
      <c r="I109" s="45">
        <v>0</v>
      </c>
      <c r="J109" s="45">
        <v>0</v>
      </c>
      <c r="K109" s="45">
        <v>0</v>
      </c>
      <c r="L109" s="45">
        <v>0</v>
      </c>
      <c r="M109" s="45">
        <v>0</v>
      </c>
      <c r="N109" s="45">
        <f t="shared" si="10"/>
        <v>173141</v>
      </c>
      <c r="O109" s="46">
        <f t="shared" si="12"/>
        <v>0.14514767437278944</v>
      </c>
      <c r="P109" s="9"/>
    </row>
    <row r="110" spans="1:16">
      <c r="A110" s="11"/>
      <c r="B110" s="24">
        <v>348.92099999999999</v>
      </c>
      <c r="C110" s="19" t="s">
        <v>109</v>
      </c>
      <c r="D110" s="45">
        <v>0</v>
      </c>
      <c r="E110" s="45">
        <v>572514</v>
      </c>
      <c r="F110" s="45">
        <v>0</v>
      </c>
      <c r="G110" s="45">
        <v>0</v>
      </c>
      <c r="H110" s="45">
        <v>0</v>
      </c>
      <c r="I110" s="45">
        <v>0</v>
      </c>
      <c r="J110" s="45">
        <v>0</v>
      </c>
      <c r="K110" s="45">
        <v>0</v>
      </c>
      <c r="L110" s="45">
        <v>0</v>
      </c>
      <c r="M110" s="45">
        <v>0</v>
      </c>
      <c r="N110" s="45">
        <f>SUM(D110:M110)</f>
        <v>572514</v>
      </c>
      <c r="O110" s="46">
        <f t="shared" si="12"/>
        <v>0.47995030435230929</v>
      </c>
      <c r="P110" s="9"/>
    </row>
    <row r="111" spans="1:16">
      <c r="A111" s="11"/>
      <c r="B111" s="24">
        <v>348.92200000000003</v>
      </c>
      <c r="C111" s="19" t="s">
        <v>110</v>
      </c>
      <c r="D111" s="45">
        <v>0</v>
      </c>
      <c r="E111" s="45">
        <v>572513</v>
      </c>
      <c r="F111" s="45">
        <v>0</v>
      </c>
      <c r="G111" s="45">
        <v>0</v>
      </c>
      <c r="H111" s="45">
        <v>0</v>
      </c>
      <c r="I111" s="45">
        <v>0</v>
      </c>
      <c r="J111" s="45">
        <v>0</v>
      </c>
      <c r="K111" s="45">
        <v>0</v>
      </c>
      <c r="L111" s="45">
        <v>0</v>
      </c>
      <c r="M111" s="45">
        <v>0</v>
      </c>
      <c r="N111" s="45">
        <f>SUM(D111:M111)</f>
        <v>572513</v>
      </c>
      <c r="O111" s="46">
        <f t="shared" si="12"/>
        <v>0.47994946603166672</v>
      </c>
      <c r="P111" s="9"/>
    </row>
    <row r="112" spans="1:16">
      <c r="A112" s="11"/>
      <c r="B112" s="24">
        <v>348.923</v>
      </c>
      <c r="C112" s="19" t="s">
        <v>111</v>
      </c>
      <c r="D112" s="45">
        <v>0</v>
      </c>
      <c r="E112" s="45">
        <v>0</v>
      </c>
      <c r="F112" s="45">
        <v>0</v>
      </c>
      <c r="G112" s="45">
        <v>0</v>
      </c>
      <c r="H112" s="45">
        <v>0</v>
      </c>
      <c r="I112" s="45">
        <v>0</v>
      </c>
      <c r="J112" s="45">
        <v>0</v>
      </c>
      <c r="K112" s="45">
        <v>0</v>
      </c>
      <c r="L112" s="45">
        <v>0</v>
      </c>
      <c r="M112" s="45">
        <v>572514</v>
      </c>
      <c r="N112" s="45">
        <f>SUM(D112:M112)</f>
        <v>572514</v>
      </c>
      <c r="O112" s="46">
        <f t="shared" si="12"/>
        <v>0.47995030435230929</v>
      </c>
      <c r="P112" s="9"/>
    </row>
    <row r="113" spans="1:16">
      <c r="A113" s="11"/>
      <c r="B113" s="24">
        <v>348.92399999999998</v>
      </c>
      <c r="C113" s="19" t="s">
        <v>112</v>
      </c>
      <c r="D113" s="45">
        <v>0</v>
      </c>
      <c r="E113" s="45">
        <v>572514</v>
      </c>
      <c r="F113" s="45">
        <v>0</v>
      </c>
      <c r="G113" s="45">
        <v>0</v>
      </c>
      <c r="H113" s="45">
        <v>0</v>
      </c>
      <c r="I113" s="45">
        <v>0</v>
      </c>
      <c r="J113" s="45">
        <v>0</v>
      </c>
      <c r="K113" s="45">
        <v>0</v>
      </c>
      <c r="L113" s="45">
        <v>0</v>
      </c>
      <c r="M113" s="45">
        <v>0</v>
      </c>
      <c r="N113" s="45">
        <f>SUM(D113:M113)</f>
        <v>572514</v>
      </c>
      <c r="O113" s="46">
        <f t="shared" si="12"/>
        <v>0.47995030435230929</v>
      </c>
      <c r="P113" s="9"/>
    </row>
    <row r="114" spans="1:16">
      <c r="A114" s="11"/>
      <c r="B114" s="24">
        <v>348.93</v>
      </c>
      <c r="C114" s="19" t="s">
        <v>113</v>
      </c>
      <c r="D114" s="45">
        <v>0</v>
      </c>
      <c r="E114" s="45">
        <v>4027242</v>
      </c>
      <c r="F114" s="45">
        <v>0</v>
      </c>
      <c r="G114" s="45">
        <v>0</v>
      </c>
      <c r="H114" s="45">
        <v>0</v>
      </c>
      <c r="I114" s="45">
        <v>0</v>
      </c>
      <c r="J114" s="45">
        <v>0</v>
      </c>
      <c r="K114" s="45">
        <v>0</v>
      </c>
      <c r="L114" s="45">
        <v>0</v>
      </c>
      <c r="M114" s="45">
        <v>0</v>
      </c>
      <c r="N114" s="45">
        <f>SUM(D114:M114)</f>
        <v>4027242</v>
      </c>
      <c r="O114" s="46">
        <f t="shared" si="12"/>
        <v>3.3761201011685351</v>
      </c>
      <c r="P114" s="9"/>
    </row>
    <row r="115" spans="1:16">
      <c r="A115" s="11"/>
      <c r="B115" s="24">
        <v>349</v>
      </c>
      <c r="C115" s="19" t="s">
        <v>1</v>
      </c>
      <c r="D115" s="45">
        <v>77680</v>
      </c>
      <c r="E115" s="45">
        <v>18975342</v>
      </c>
      <c r="F115" s="45">
        <v>0</v>
      </c>
      <c r="G115" s="45">
        <v>0</v>
      </c>
      <c r="H115" s="45">
        <v>0</v>
      </c>
      <c r="I115" s="45">
        <v>0</v>
      </c>
      <c r="J115" s="45">
        <v>0</v>
      </c>
      <c r="K115" s="45">
        <v>0</v>
      </c>
      <c r="L115" s="45">
        <v>0</v>
      </c>
      <c r="M115" s="45">
        <v>0</v>
      </c>
      <c r="N115" s="45">
        <f t="shared" si="10"/>
        <v>19053022</v>
      </c>
      <c r="O115" s="46">
        <f t="shared" si="12"/>
        <v>15.97254164567372</v>
      </c>
      <c r="P115" s="9"/>
    </row>
    <row r="116" spans="1:16" ht="15.75">
      <c r="A116" s="28" t="s">
        <v>76</v>
      </c>
      <c r="B116" s="29"/>
      <c r="C116" s="30"/>
      <c r="D116" s="31">
        <f t="shared" ref="D116:M116" si="13">SUM(D117:D124)</f>
        <v>2516813</v>
      </c>
      <c r="E116" s="31">
        <f t="shared" si="13"/>
        <v>13814205</v>
      </c>
      <c r="F116" s="31">
        <f t="shared" si="13"/>
        <v>0</v>
      </c>
      <c r="G116" s="31">
        <f t="shared" si="13"/>
        <v>0</v>
      </c>
      <c r="H116" s="31">
        <f t="shared" si="13"/>
        <v>0</v>
      </c>
      <c r="I116" s="31">
        <f t="shared" si="13"/>
        <v>0</v>
      </c>
      <c r="J116" s="31">
        <f t="shared" si="13"/>
        <v>0</v>
      </c>
      <c r="K116" s="31">
        <f t="shared" si="13"/>
        <v>0</v>
      </c>
      <c r="L116" s="31">
        <f t="shared" si="13"/>
        <v>0</v>
      </c>
      <c r="M116" s="31">
        <f t="shared" si="13"/>
        <v>0</v>
      </c>
      <c r="N116" s="31">
        <f>SUM(D116:M116)</f>
        <v>16331018</v>
      </c>
      <c r="O116" s="44">
        <f t="shared" si="12"/>
        <v>13.690629503353701</v>
      </c>
      <c r="P116" s="10"/>
    </row>
    <row r="117" spans="1:16">
      <c r="A117" s="12"/>
      <c r="B117" s="38">
        <v>351.1</v>
      </c>
      <c r="C117" s="20" t="s">
        <v>134</v>
      </c>
      <c r="D117" s="45">
        <v>295</v>
      </c>
      <c r="E117" s="45">
        <v>818589</v>
      </c>
      <c r="F117" s="45">
        <v>0</v>
      </c>
      <c r="G117" s="45">
        <v>0</v>
      </c>
      <c r="H117" s="45">
        <v>0</v>
      </c>
      <c r="I117" s="45">
        <v>0</v>
      </c>
      <c r="J117" s="45">
        <v>0</v>
      </c>
      <c r="K117" s="45">
        <v>0</v>
      </c>
      <c r="L117" s="45">
        <v>0</v>
      </c>
      <c r="M117" s="45">
        <v>0</v>
      </c>
      <c r="N117" s="45">
        <f>SUM(D117:M117)</f>
        <v>818884</v>
      </c>
      <c r="O117" s="46">
        <f t="shared" si="12"/>
        <v>0.68648736105883246</v>
      </c>
      <c r="P117" s="9"/>
    </row>
    <row r="118" spans="1:16">
      <c r="A118" s="12"/>
      <c r="B118" s="38">
        <v>351.2</v>
      </c>
      <c r="C118" s="20" t="s">
        <v>136</v>
      </c>
      <c r="D118" s="45">
        <v>0</v>
      </c>
      <c r="E118" s="45">
        <v>336478</v>
      </c>
      <c r="F118" s="45">
        <v>0</v>
      </c>
      <c r="G118" s="45">
        <v>0</v>
      </c>
      <c r="H118" s="45">
        <v>0</v>
      </c>
      <c r="I118" s="45">
        <v>0</v>
      </c>
      <c r="J118" s="45">
        <v>0</v>
      </c>
      <c r="K118" s="45">
        <v>0</v>
      </c>
      <c r="L118" s="45">
        <v>0</v>
      </c>
      <c r="M118" s="45">
        <v>0</v>
      </c>
      <c r="N118" s="45">
        <f t="shared" ref="N118:N124" si="14">SUM(D118:M118)</f>
        <v>336478</v>
      </c>
      <c r="O118" s="46">
        <f t="shared" si="12"/>
        <v>0.28207645316595981</v>
      </c>
      <c r="P118" s="9"/>
    </row>
    <row r="119" spans="1:16">
      <c r="A119" s="12"/>
      <c r="B119" s="38">
        <v>351.3</v>
      </c>
      <c r="C119" s="20" t="s">
        <v>175</v>
      </c>
      <c r="D119" s="45">
        <v>5000</v>
      </c>
      <c r="E119" s="45">
        <v>0</v>
      </c>
      <c r="F119" s="45">
        <v>0</v>
      </c>
      <c r="G119" s="45">
        <v>0</v>
      </c>
      <c r="H119" s="45">
        <v>0</v>
      </c>
      <c r="I119" s="45">
        <v>0</v>
      </c>
      <c r="J119" s="45">
        <v>0</v>
      </c>
      <c r="K119" s="45">
        <v>0</v>
      </c>
      <c r="L119" s="45">
        <v>0</v>
      </c>
      <c r="M119" s="45">
        <v>0</v>
      </c>
      <c r="N119" s="45">
        <f t="shared" si="14"/>
        <v>5000</v>
      </c>
      <c r="O119" s="46">
        <f t="shared" si="12"/>
        <v>4.1916032127800309E-3</v>
      </c>
      <c r="P119" s="9"/>
    </row>
    <row r="120" spans="1:16">
      <c r="A120" s="12"/>
      <c r="B120" s="38">
        <v>351.5</v>
      </c>
      <c r="C120" s="20" t="s">
        <v>137</v>
      </c>
      <c r="D120" s="45">
        <v>0</v>
      </c>
      <c r="E120" s="45">
        <v>8403847</v>
      </c>
      <c r="F120" s="45">
        <v>0</v>
      </c>
      <c r="G120" s="45">
        <v>0</v>
      </c>
      <c r="H120" s="45">
        <v>0</v>
      </c>
      <c r="I120" s="45">
        <v>0</v>
      </c>
      <c r="J120" s="45">
        <v>0</v>
      </c>
      <c r="K120" s="45">
        <v>0</v>
      </c>
      <c r="L120" s="45">
        <v>0</v>
      </c>
      <c r="M120" s="45">
        <v>0</v>
      </c>
      <c r="N120" s="45">
        <f t="shared" si="14"/>
        <v>8403847</v>
      </c>
      <c r="O120" s="46">
        <f t="shared" si="12"/>
        <v>7.0451184169823646</v>
      </c>
      <c r="P120" s="9"/>
    </row>
    <row r="121" spans="1:16">
      <c r="A121" s="12"/>
      <c r="B121" s="38">
        <v>352</v>
      </c>
      <c r="C121" s="20" t="s">
        <v>138</v>
      </c>
      <c r="D121" s="45">
        <v>0</v>
      </c>
      <c r="E121" s="45">
        <v>491425</v>
      </c>
      <c r="F121" s="45">
        <v>0</v>
      </c>
      <c r="G121" s="45">
        <v>0</v>
      </c>
      <c r="H121" s="45">
        <v>0</v>
      </c>
      <c r="I121" s="45">
        <v>0</v>
      </c>
      <c r="J121" s="45">
        <v>0</v>
      </c>
      <c r="K121" s="45">
        <v>0</v>
      </c>
      <c r="L121" s="45">
        <v>0</v>
      </c>
      <c r="M121" s="45">
        <v>0</v>
      </c>
      <c r="N121" s="45">
        <f t="shared" si="14"/>
        <v>491425</v>
      </c>
      <c r="O121" s="46">
        <f t="shared" si="12"/>
        <v>0.41197172176808527</v>
      </c>
      <c r="P121" s="9"/>
    </row>
    <row r="122" spans="1:16">
      <c r="A122" s="12"/>
      <c r="B122" s="38">
        <v>353</v>
      </c>
      <c r="C122" s="20" t="s">
        <v>139</v>
      </c>
      <c r="D122" s="45">
        <v>0</v>
      </c>
      <c r="E122" s="45">
        <v>346771</v>
      </c>
      <c r="F122" s="45">
        <v>0</v>
      </c>
      <c r="G122" s="45">
        <v>0</v>
      </c>
      <c r="H122" s="45">
        <v>0</v>
      </c>
      <c r="I122" s="45">
        <v>0</v>
      </c>
      <c r="J122" s="45">
        <v>0</v>
      </c>
      <c r="K122" s="45">
        <v>0</v>
      </c>
      <c r="L122" s="45">
        <v>0</v>
      </c>
      <c r="M122" s="45">
        <v>0</v>
      </c>
      <c r="N122" s="45">
        <f t="shared" si="14"/>
        <v>346771</v>
      </c>
      <c r="O122" s="46">
        <f t="shared" si="12"/>
        <v>0.2907052875397888</v>
      </c>
      <c r="P122" s="9"/>
    </row>
    <row r="123" spans="1:16">
      <c r="A123" s="12"/>
      <c r="B123" s="38">
        <v>354</v>
      </c>
      <c r="C123" s="20" t="s">
        <v>140</v>
      </c>
      <c r="D123" s="45">
        <v>2352020</v>
      </c>
      <c r="E123" s="45">
        <v>295400</v>
      </c>
      <c r="F123" s="45">
        <v>0</v>
      </c>
      <c r="G123" s="45">
        <v>0</v>
      </c>
      <c r="H123" s="45">
        <v>0</v>
      </c>
      <c r="I123" s="45">
        <v>0</v>
      </c>
      <c r="J123" s="45">
        <v>0</v>
      </c>
      <c r="K123" s="45">
        <v>0</v>
      </c>
      <c r="L123" s="45">
        <v>0</v>
      </c>
      <c r="M123" s="45">
        <v>0</v>
      </c>
      <c r="N123" s="45">
        <f t="shared" si="14"/>
        <v>2647420</v>
      </c>
      <c r="O123" s="46">
        <f t="shared" si="12"/>
        <v>2.2193868355156217</v>
      </c>
      <c r="P123" s="9"/>
    </row>
    <row r="124" spans="1:16">
      <c r="A124" s="12"/>
      <c r="B124" s="38">
        <v>359</v>
      </c>
      <c r="C124" s="20" t="s">
        <v>141</v>
      </c>
      <c r="D124" s="45">
        <v>159498</v>
      </c>
      <c r="E124" s="45">
        <v>3121695</v>
      </c>
      <c r="F124" s="45">
        <v>0</v>
      </c>
      <c r="G124" s="45">
        <v>0</v>
      </c>
      <c r="H124" s="45">
        <v>0</v>
      </c>
      <c r="I124" s="45">
        <v>0</v>
      </c>
      <c r="J124" s="45">
        <v>0</v>
      </c>
      <c r="K124" s="45">
        <v>0</v>
      </c>
      <c r="L124" s="45">
        <v>0</v>
      </c>
      <c r="M124" s="45">
        <v>0</v>
      </c>
      <c r="N124" s="45">
        <f t="shared" si="14"/>
        <v>3281193</v>
      </c>
      <c r="O124" s="46">
        <f t="shared" si="12"/>
        <v>2.7506918241102691</v>
      </c>
      <c r="P124" s="9"/>
    </row>
    <row r="125" spans="1:16" ht="15.75">
      <c r="A125" s="28" t="s">
        <v>5</v>
      </c>
      <c r="B125" s="29"/>
      <c r="C125" s="30"/>
      <c r="D125" s="31">
        <f t="shared" ref="D125:M125" si="15">SUM(D126:D141)</f>
        <v>26827458</v>
      </c>
      <c r="E125" s="31">
        <f t="shared" si="15"/>
        <v>86618386</v>
      </c>
      <c r="F125" s="31">
        <f t="shared" si="15"/>
        <v>3679062</v>
      </c>
      <c r="G125" s="31">
        <f t="shared" si="15"/>
        <v>8134722</v>
      </c>
      <c r="H125" s="31">
        <f t="shared" si="15"/>
        <v>0</v>
      </c>
      <c r="I125" s="31">
        <f t="shared" si="15"/>
        <v>889000</v>
      </c>
      <c r="J125" s="31">
        <f t="shared" si="15"/>
        <v>1111000</v>
      </c>
      <c r="K125" s="31">
        <f t="shared" si="15"/>
        <v>0</v>
      </c>
      <c r="L125" s="31">
        <f t="shared" si="15"/>
        <v>0</v>
      </c>
      <c r="M125" s="31">
        <f t="shared" si="15"/>
        <v>2020000</v>
      </c>
      <c r="N125" s="31">
        <f>SUM(D125:M125)</f>
        <v>129279628</v>
      </c>
      <c r="O125" s="44">
        <f t="shared" si="12"/>
        <v>108.37778081436144</v>
      </c>
      <c r="P125" s="10"/>
    </row>
    <row r="126" spans="1:16">
      <c r="A126" s="11"/>
      <c r="B126" s="24">
        <v>361.1</v>
      </c>
      <c r="C126" s="19" t="s">
        <v>142</v>
      </c>
      <c r="D126" s="45">
        <v>22660068</v>
      </c>
      <c r="E126" s="45">
        <v>30882948</v>
      </c>
      <c r="F126" s="45">
        <v>3240501</v>
      </c>
      <c r="G126" s="45">
        <v>1934041</v>
      </c>
      <c r="H126" s="45">
        <v>0</v>
      </c>
      <c r="I126" s="45">
        <v>0</v>
      </c>
      <c r="J126" s="45">
        <v>0</v>
      </c>
      <c r="K126" s="45">
        <v>0</v>
      </c>
      <c r="L126" s="45">
        <v>0</v>
      </c>
      <c r="M126" s="45">
        <v>287000</v>
      </c>
      <c r="N126" s="45">
        <f>SUM(D126:M126)</f>
        <v>59004558</v>
      </c>
      <c r="O126" s="46">
        <f t="shared" si="12"/>
        <v>49.464738976293134</v>
      </c>
      <c r="P126" s="9"/>
    </row>
    <row r="127" spans="1:16">
      <c r="A127" s="11"/>
      <c r="B127" s="24">
        <v>361.3</v>
      </c>
      <c r="C127" s="19" t="s">
        <v>143</v>
      </c>
      <c r="D127" s="45">
        <v>1123368</v>
      </c>
      <c r="E127" s="45">
        <v>1282473</v>
      </c>
      <c r="F127" s="45">
        <v>192241</v>
      </c>
      <c r="G127" s="45">
        <v>114006</v>
      </c>
      <c r="H127" s="45">
        <v>0</v>
      </c>
      <c r="I127" s="45">
        <v>0</v>
      </c>
      <c r="J127" s="45">
        <v>0</v>
      </c>
      <c r="K127" s="45">
        <v>0</v>
      </c>
      <c r="L127" s="45">
        <v>0</v>
      </c>
      <c r="M127" s="45">
        <v>0</v>
      </c>
      <c r="N127" s="45">
        <f t="shared" ref="N127:N141" si="16">SUM(D127:M127)</f>
        <v>2712088</v>
      </c>
      <c r="O127" s="46">
        <f t="shared" si="12"/>
        <v>2.2735993548284337</v>
      </c>
      <c r="P127" s="9"/>
    </row>
    <row r="128" spans="1:16">
      <c r="A128" s="11"/>
      <c r="B128" s="24">
        <v>361.4</v>
      </c>
      <c r="C128" s="19" t="s">
        <v>261</v>
      </c>
      <c r="D128" s="45">
        <v>-153260</v>
      </c>
      <c r="E128" s="45">
        <v>-213747</v>
      </c>
      <c r="F128" s="45">
        <v>-23060</v>
      </c>
      <c r="G128" s="45">
        <v>-19131</v>
      </c>
      <c r="H128" s="45">
        <v>0</v>
      </c>
      <c r="I128" s="45">
        <v>0</v>
      </c>
      <c r="J128" s="45">
        <v>0</v>
      </c>
      <c r="K128" s="45">
        <v>0</v>
      </c>
      <c r="L128" s="45">
        <v>0</v>
      </c>
      <c r="M128" s="45">
        <v>0</v>
      </c>
      <c r="N128" s="45">
        <f t="shared" si="16"/>
        <v>-409198</v>
      </c>
      <c r="O128" s="46">
        <f t="shared" si="12"/>
        <v>-0.34303913029263261</v>
      </c>
      <c r="P128" s="9"/>
    </row>
    <row r="129" spans="1:16">
      <c r="A129" s="11"/>
      <c r="B129" s="24">
        <v>362</v>
      </c>
      <c r="C129" s="19" t="s">
        <v>145</v>
      </c>
      <c r="D129" s="45">
        <v>1115307</v>
      </c>
      <c r="E129" s="45">
        <v>143924</v>
      </c>
      <c r="F129" s="45">
        <v>235656</v>
      </c>
      <c r="G129" s="45">
        <v>8035</v>
      </c>
      <c r="H129" s="45">
        <v>0</v>
      </c>
      <c r="I129" s="45">
        <v>0</v>
      </c>
      <c r="J129" s="45">
        <v>0</v>
      </c>
      <c r="K129" s="45">
        <v>0</v>
      </c>
      <c r="L129" s="45">
        <v>0</v>
      </c>
      <c r="M129" s="45">
        <v>0</v>
      </c>
      <c r="N129" s="45">
        <f t="shared" si="16"/>
        <v>1502922</v>
      </c>
      <c r="O129" s="46">
        <f t="shared" si="12"/>
        <v>1.2599305367515579</v>
      </c>
      <c r="P129" s="9"/>
    </row>
    <row r="130" spans="1:16">
      <c r="A130" s="11"/>
      <c r="B130" s="24">
        <v>363.1</v>
      </c>
      <c r="C130" s="19" t="s">
        <v>270</v>
      </c>
      <c r="D130" s="45">
        <v>0</v>
      </c>
      <c r="E130" s="45">
        <v>0</v>
      </c>
      <c r="F130" s="45">
        <v>0</v>
      </c>
      <c r="G130" s="45">
        <v>0</v>
      </c>
      <c r="H130" s="45">
        <v>0</v>
      </c>
      <c r="I130" s="45">
        <v>0</v>
      </c>
      <c r="J130" s="45">
        <v>0</v>
      </c>
      <c r="K130" s="45">
        <v>0</v>
      </c>
      <c r="L130" s="45">
        <v>0</v>
      </c>
      <c r="M130" s="45">
        <v>1729000</v>
      </c>
      <c r="N130" s="45">
        <f t="shared" si="16"/>
        <v>1729000</v>
      </c>
      <c r="O130" s="46">
        <f t="shared" si="12"/>
        <v>1.4494563909793345</v>
      </c>
      <c r="P130" s="9"/>
    </row>
    <row r="131" spans="1:16">
      <c r="A131" s="11"/>
      <c r="B131" s="24">
        <v>363.11</v>
      </c>
      <c r="C131" s="19" t="s">
        <v>25</v>
      </c>
      <c r="D131" s="45">
        <v>0</v>
      </c>
      <c r="E131" s="45">
        <v>5361988</v>
      </c>
      <c r="F131" s="45">
        <v>0</v>
      </c>
      <c r="G131" s="45">
        <v>0</v>
      </c>
      <c r="H131" s="45">
        <v>0</v>
      </c>
      <c r="I131" s="45">
        <v>0</v>
      </c>
      <c r="J131" s="45">
        <v>0</v>
      </c>
      <c r="K131" s="45">
        <v>0</v>
      </c>
      <c r="L131" s="45">
        <v>0</v>
      </c>
      <c r="M131" s="45">
        <v>0</v>
      </c>
      <c r="N131" s="45">
        <f t="shared" si="16"/>
        <v>5361988</v>
      </c>
      <c r="O131" s="46">
        <f t="shared" si="12"/>
        <v>4.4950652255375942</v>
      </c>
      <c r="P131" s="9"/>
    </row>
    <row r="132" spans="1:16">
      <c r="A132" s="11"/>
      <c r="B132" s="24">
        <v>363.12</v>
      </c>
      <c r="C132" s="19" t="s">
        <v>190</v>
      </c>
      <c r="D132" s="45">
        <v>0</v>
      </c>
      <c r="E132" s="45">
        <v>7475306</v>
      </c>
      <c r="F132" s="45">
        <v>0</v>
      </c>
      <c r="G132" s="45">
        <v>0</v>
      </c>
      <c r="H132" s="45">
        <v>0</v>
      </c>
      <c r="I132" s="45">
        <v>0</v>
      </c>
      <c r="J132" s="45">
        <v>0</v>
      </c>
      <c r="K132" s="45">
        <v>0</v>
      </c>
      <c r="L132" s="45">
        <v>0</v>
      </c>
      <c r="M132" s="45">
        <v>0</v>
      </c>
      <c r="N132" s="45">
        <f t="shared" si="16"/>
        <v>7475306</v>
      </c>
      <c r="O132" s="46">
        <f t="shared" si="12"/>
        <v>6.2667033292227678</v>
      </c>
      <c r="P132" s="9"/>
    </row>
    <row r="133" spans="1:16">
      <c r="A133" s="11"/>
      <c r="B133" s="24">
        <v>363.22</v>
      </c>
      <c r="C133" s="19" t="s">
        <v>191</v>
      </c>
      <c r="D133" s="45">
        <v>0</v>
      </c>
      <c r="E133" s="45">
        <v>417208</v>
      </c>
      <c r="F133" s="45">
        <v>0</v>
      </c>
      <c r="G133" s="45">
        <v>0</v>
      </c>
      <c r="H133" s="45">
        <v>0</v>
      </c>
      <c r="I133" s="45">
        <v>0</v>
      </c>
      <c r="J133" s="45">
        <v>0</v>
      </c>
      <c r="K133" s="45">
        <v>0</v>
      </c>
      <c r="L133" s="45">
        <v>0</v>
      </c>
      <c r="M133" s="45">
        <v>0</v>
      </c>
      <c r="N133" s="45">
        <f t="shared" si="16"/>
        <v>417208</v>
      </c>
      <c r="O133" s="46">
        <f t="shared" ref="O133:O149" si="17">(N133/O$151)</f>
        <v>0.34975407863950619</v>
      </c>
      <c r="P133" s="9"/>
    </row>
    <row r="134" spans="1:16">
      <c r="A134" s="11"/>
      <c r="B134" s="24">
        <v>363.23</v>
      </c>
      <c r="C134" s="19" t="s">
        <v>192</v>
      </c>
      <c r="D134" s="45">
        <v>0</v>
      </c>
      <c r="E134" s="45">
        <v>3919925</v>
      </c>
      <c r="F134" s="45">
        <v>0</v>
      </c>
      <c r="G134" s="45">
        <v>0</v>
      </c>
      <c r="H134" s="45">
        <v>0</v>
      </c>
      <c r="I134" s="45">
        <v>0</v>
      </c>
      <c r="J134" s="45">
        <v>0</v>
      </c>
      <c r="K134" s="45">
        <v>0</v>
      </c>
      <c r="L134" s="45">
        <v>0</v>
      </c>
      <c r="M134" s="45">
        <v>0</v>
      </c>
      <c r="N134" s="45">
        <f t="shared" si="16"/>
        <v>3919925</v>
      </c>
      <c r="O134" s="46">
        <f t="shared" si="17"/>
        <v>3.2861540447713522</v>
      </c>
      <c r="P134" s="9"/>
    </row>
    <row r="135" spans="1:16">
      <c r="A135" s="11"/>
      <c r="B135" s="24">
        <v>363.24</v>
      </c>
      <c r="C135" s="19" t="s">
        <v>193</v>
      </c>
      <c r="D135" s="45">
        <v>0</v>
      </c>
      <c r="E135" s="45">
        <v>7830424</v>
      </c>
      <c r="F135" s="45">
        <v>0</v>
      </c>
      <c r="G135" s="45">
        <v>0</v>
      </c>
      <c r="H135" s="45">
        <v>0</v>
      </c>
      <c r="I135" s="45">
        <v>0</v>
      </c>
      <c r="J135" s="45">
        <v>0</v>
      </c>
      <c r="K135" s="45">
        <v>0</v>
      </c>
      <c r="L135" s="45">
        <v>0</v>
      </c>
      <c r="M135" s="45">
        <v>0</v>
      </c>
      <c r="N135" s="45">
        <f t="shared" si="16"/>
        <v>7830424</v>
      </c>
      <c r="O135" s="46">
        <f t="shared" si="17"/>
        <v>6.5644060791659715</v>
      </c>
      <c r="P135" s="9"/>
    </row>
    <row r="136" spans="1:16">
      <c r="A136" s="11"/>
      <c r="B136" s="24">
        <v>363.27</v>
      </c>
      <c r="C136" s="19" t="s">
        <v>194</v>
      </c>
      <c r="D136" s="45">
        <v>0</v>
      </c>
      <c r="E136" s="45">
        <v>1891309</v>
      </c>
      <c r="F136" s="45">
        <v>0</v>
      </c>
      <c r="G136" s="45">
        <v>0</v>
      </c>
      <c r="H136" s="45">
        <v>0</v>
      </c>
      <c r="I136" s="45">
        <v>0</v>
      </c>
      <c r="J136" s="45">
        <v>0</v>
      </c>
      <c r="K136" s="45">
        <v>0</v>
      </c>
      <c r="L136" s="45">
        <v>0</v>
      </c>
      <c r="M136" s="45">
        <v>0</v>
      </c>
      <c r="N136" s="45">
        <f t="shared" si="16"/>
        <v>1891309</v>
      </c>
      <c r="O136" s="46">
        <f t="shared" si="17"/>
        <v>1.5855233761519574</v>
      </c>
      <c r="P136" s="9"/>
    </row>
    <row r="137" spans="1:16">
      <c r="A137" s="11"/>
      <c r="B137" s="24">
        <v>364</v>
      </c>
      <c r="C137" s="19" t="s">
        <v>237</v>
      </c>
      <c r="D137" s="45">
        <v>82674</v>
      </c>
      <c r="E137" s="45">
        <v>51953</v>
      </c>
      <c r="F137" s="45">
        <v>0</v>
      </c>
      <c r="G137" s="45">
        <v>6067434</v>
      </c>
      <c r="H137" s="45">
        <v>0</v>
      </c>
      <c r="I137" s="45">
        <v>889000</v>
      </c>
      <c r="J137" s="45">
        <v>1111000</v>
      </c>
      <c r="K137" s="45">
        <v>0</v>
      </c>
      <c r="L137" s="45">
        <v>0</v>
      </c>
      <c r="M137" s="45">
        <v>0</v>
      </c>
      <c r="N137" s="45">
        <f t="shared" si="16"/>
        <v>8202061</v>
      </c>
      <c r="O137" s="46">
        <f t="shared" si="17"/>
        <v>6.8759570478035581</v>
      </c>
      <c r="P137" s="9"/>
    </row>
    <row r="138" spans="1:16">
      <c r="A138" s="11"/>
      <c r="B138" s="24">
        <v>365</v>
      </c>
      <c r="C138" s="19" t="s">
        <v>238</v>
      </c>
      <c r="D138" s="45">
        <v>19609</v>
      </c>
      <c r="E138" s="45">
        <v>8983</v>
      </c>
      <c r="F138" s="45">
        <v>0</v>
      </c>
      <c r="G138" s="45">
        <v>0</v>
      </c>
      <c r="H138" s="45">
        <v>0</v>
      </c>
      <c r="I138" s="45">
        <v>0</v>
      </c>
      <c r="J138" s="45">
        <v>0</v>
      </c>
      <c r="K138" s="45">
        <v>0</v>
      </c>
      <c r="L138" s="45">
        <v>0</v>
      </c>
      <c r="M138" s="45">
        <v>0</v>
      </c>
      <c r="N138" s="45">
        <f t="shared" si="16"/>
        <v>28592</v>
      </c>
      <c r="O138" s="46">
        <f t="shared" si="17"/>
        <v>2.3969263811961326E-2</v>
      </c>
      <c r="P138" s="9"/>
    </row>
    <row r="139" spans="1:16">
      <c r="A139" s="11"/>
      <c r="B139" s="24">
        <v>366</v>
      </c>
      <c r="C139" s="19" t="s">
        <v>148</v>
      </c>
      <c r="D139" s="45">
        <v>326677</v>
      </c>
      <c r="E139" s="45">
        <v>11761322</v>
      </c>
      <c r="F139" s="45">
        <v>0</v>
      </c>
      <c r="G139" s="45">
        <v>0</v>
      </c>
      <c r="H139" s="45">
        <v>0</v>
      </c>
      <c r="I139" s="45">
        <v>0</v>
      </c>
      <c r="J139" s="45">
        <v>0</v>
      </c>
      <c r="K139" s="45">
        <v>0</v>
      </c>
      <c r="L139" s="45">
        <v>0</v>
      </c>
      <c r="M139" s="45">
        <v>0</v>
      </c>
      <c r="N139" s="45">
        <f t="shared" si="16"/>
        <v>12087999</v>
      </c>
      <c r="O139" s="46">
        <f t="shared" si="17"/>
        <v>10.13361908889636</v>
      </c>
      <c r="P139" s="9"/>
    </row>
    <row r="140" spans="1:16">
      <c r="A140" s="11"/>
      <c r="B140" s="24">
        <v>369.3</v>
      </c>
      <c r="C140" s="19" t="s">
        <v>150</v>
      </c>
      <c r="D140" s="45">
        <v>207357</v>
      </c>
      <c r="E140" s="45">
        <v>1178855</v>
      </c>
      <c r="F140" s="45">
        <v>0</v>
      </c>
      <c r="G140" s="45">
        <v>0</v>
      </c>
      <c r="H140" s="45">
        <v>0</v>
      </c>
      <c r="I140" s="45">
        <v>0</v>
      </c>
      <c r="J140" s="45">
        <v>0</v>
      </c>
      <c r="K140" s="45">
        <v>0</v>
      </c>
      <c r="L140" s="45">
        <v>0</v>
      </c>
      <c r="M140" s="45">
        <v>0</v>
      </c>
      <c r="N140" s="45">
        <f t="shared" si="16"/>
        <v>1386212</v>
      </c>
      <c r="O140" s="46">
        <f t="shared" si="17"/>
        <v>1.1620901345588464</v>
      </c>
      <c r="P140" s="9"/>
    </row>
    <row r="141" spans="1:16">
      <c r="A141" s="11"/>
      <c r="B141" s="24">
        <v>369.9</v>
      </c>
      <c r="C141" s="19" t="s">
        <v>151</v>
      </c>
      <c r="D141" s="45">
        <v>1445658</v>
      </c>
      <c r="E141" s="45">
        <v>14625515</v>
      </c>
      <c r="F141" s="45">
        <v>33724</v>
      </c>
      <c r="G141" s="45">
        <v>30337</v>
      </c>
      <c r="H141" s="45">
        <v>0</v>
      </c>
      <c r="I141" s="45">
        <v>0</v>
      </c>
      <c r="J141" s="45">
        <v>0</v>
      </c>
      <c r="K141" s="45">
        <v>0</v>
      </c>
      <c r="L141" s="45">
        <v>0</v>
      </c>
      <c r="M141" s="45">
        <v>4000</v>
      </c>
      <c r="N141" s="45">
        <f t="shared" si="16"/>
        <v>16139234</v>
      </c>
      <c r="O141" s="46">
        <f t="shared" si="17"/>
        <v>13.529853017241741</v>
      </c>
      <c r="P141" s="9"/>
    </row>
    <row r="142" spans="1:16" ht="15.75">
      <c r="A142" s="28" t="s">
        <v>77</v>
      </c>
      <c r="B142" s="29"/>
      <c r="C142" s="30"/>
      <c r="D142" s="31">
        <f t="shared" ref="D142:M142" si="18">SUM(D143:D148)</f>
        <v>136783898</v>
      </c>
      <c r="E142" s="31">
        <f t="shared" si="18"/>
        <v>705401640</v>
      </c>
      <c r="F142" s="31">
        <f t="shared" si="18"/>
        <v>96413034</v>
      </c>
      <c r="G142" s="31">
        <f t="shared" si="18"/>
        <v>162842591</v>
      </c>
      <c r="H142" s="31">
        <f t="shared" si="18"/>
        <v>0</v>
      </c>
      <c r="I142" s="31">
        <f t="shared" si="18"/>
        <v>101561000</v>
      </c>
      <c r="J142" s="31">
        <f t="shared" si="18"/>
        <v>24375000</v>
      </c>
      <c r="K142" s="31">
        <f t="shared" si="18"/>
        <v>0</v>
      </c>
      <c r="L142" s="31">
        <f t="shared" si="18"/>
        <v>0</v>
      </c>
      <c r="M142" s="31">
        <f t="shared" si="18"/>
        <v>5203000</v>
      </c>
      <c r="N142" s="31">
        <f t="shared" ref="N142:N149" si="19">SUM(D142:M142)</f>
        <v>1232580163</v>
      </c>
      <c r="O142" s="44">
        <f t="shared" si="17"/>
        <v>1033.2973942479468</v>
      </c>
      <c r="P142" s="9"/>
    </row>
    <row r="143" spans="1:16">
      <c r="A143" s="11"/>
      <c r="B143" s="24">
        <v>381</v>
      </c>
      <c r="C143" s="19" t="s">
        <v>152</v>
      </c>
      <c r="D143" s="45">
        <v>136783898</v>
      </c>
      <c r="E143" s="45">
        <v>705401640</v>
      </c>
      <c r="F143" s="45">
        <v>43569782</v>
      </c>
      <c r="G143" s="45">
        <v>82267591</v>
      </c>
      <c r="H143" s="45">
        <v>0</v>
      </c>
      <c r="I143" s="45">
        <v>0</v>
      </c>
      <c r="J143" s="45">
        <v>13818000</v>
      </c>
      <c r="K143" s="45">
        <v>0</v>
      </c>
      <c r="L143" s="45">
        <v>0</v>
      </c>
      <c r="M143" s="45">
        <v>0</v>
      </c>
      <c r="N143" s="45">
        <f t="shared" si="19"/>
        <v>981840911</v>
      </c>
      <c r="O143" s="46">
        <f t="shared" si="17"/>
        <v>823.09750339729442</v>
      </c>
      <c r="P143" s="9"/>
    </row>
    <row r="144" spans="1:16">
      <c r="A144" s="11"/>
      <c r="B144" s="24">
        <v>384</v>
      </c>
      <c r="C144" s="19" t="s">
        <v>153</v>
      </c>
      <c r="D144" s="45">
        <v>0</v>
      </c>
      <c r="E144" s="45">
        <v>0</v>
      </c>
      <c r="F144" s="45">
        <v>52843252</v>
      </c>
      <c r="G144" s="45">
        <v>80575000</v>
      </c>
      <c r="H144" s="45">
        <v>0</v>
      </c>
      <c r="I144" s="45">
        <v>0</v>
      </c>
      <c r="J144" s="45">
        <v>0</v>
      </c>
      <c r="K144" s="45">
        <v>0</v>
      </c>
      <c r="L144" s="45">
        <v>0</v>
      </c>
      <c r="M144" s="45">
        <v>0</v>
      </c>
      <c r="N144" s="45">
        <f t="shared" si="19"/>
        <v>133418252</v>
      </c>
      <c r="O144" s="46">
        <f t="shared" si="17"/>
        <v>111.84727474533915</v>
      </c>
      <c r="P144" s="9"/>
    </row>
    <row r="145" spans="1:119">
      <c r="A145" s="11"/>
      <c r="B145" s="24">
        <v>389.1</v>
      </c>
      <c r="C145" s="19" t="s">
        <v>239</v>
      </c>
      <c r="D145" s="45">
        <v>0</v>
      </c>
      <c r="E145" s="45">
        <v>0</v>
      </c>
      <c r="F145" s="45">
        <v>0</v>
      </c>
      <c r="G145" s="45">
        <v>0</v>
      </c>
      <c r="H145" s="45">
        <v>0</v>
      </c>
      <c r="I145" s="45">
        <v>39302000</v>
      </c>
      <c r="J145" s="45">
        <v>9582000</v>
      </c>
      <c r="K145" s="45">
        <v>0</v>
      </c>
      <c r="L145" s="45">
        <v>0</v>
      </c>
      <c r="M145" s="45">
        <v>0</v>
      </c>
      <c r="N145" s="45">
        <f t="shared" si="19"/>
        <v>48884000</v>
      </c>
      <c r="O145" s="46">
        <f t="shared" si="17"/>
        <v>40.980466290707803</v>
      </c>
      <c r="P145" s="9"/>
    </row>
    <row r="146" spans="1:119">
      <c r="A146" s="11"/>
      <c r="B146" s="24">
        <v>389.2</v>
      </c>
      <c r="C146" s="19" t="s">
        <v>271</v>
      </c>
      <c r="D146" s="45">
        <v>0</v>
      </c>
      <c r="E146" s="45">
        <v>0</v>
      </c>
      <c r="F146" s="45">
        <v>0</v>
      </c>
      <c r="G146" s="45">
        <v>0</v>
      </c>
      <c r="H146" s="45">
        <v>0</v>
      </c>
      <c r="I146" s="45">
        <v>58713000</v>
      </c>
      <c r="J146" s="45">
        <v>0</v>
      </c>
      <c r="K146" s="45">
        <v>0</v>
      </c>
      <c r="L146" s="45">
        <v>0</v>
      </c>
      <c r="M146" s="45">
        <v>0</v>
      </c>
      <c r="N146" s="45">
        <f t="shared" si="19"/>
        <v>58713000</v>
      </c>
      <c r="O146" s="46">
        <f t="shared" si="17"/>
        <v>49.22031988639079</v>
      </c>
      <c r="P146" s="9"/>
    </row>
    <row r="147" spans="1:119">
      <c r="A147" s="11"/>
      <c r="B147" s="24">
        <v>389.4</v>
      </c>
      <c r="C147" s="19" t="s">
        <v>240</v>
      </c>
      <c r="D147" s="45">
        <v>0</v>
      </c>
      <c r="E147" s="45">
        <v>0</v>
      </c>
      <c r="F147" s="45">
        <v>0</v>
      </c>
      <c r="G147" s="45">
        <v>0</v>
      </c>
      <c r="H147" s="45">
        <v>0</v>
      </c>
      <c r="I147" s="45">
        <v>0</v>
      </c>
      <c r="J147" s="45">
        <v>900000</v>
      </c>
      <c r="K147" s="45">
        <v>0</v>
      </c>
      <c r="L147" s="45">
        <v>0</v>
      </c>
      <c r="M147" s="45">
        <v>5203000</v>
      </c>
      <c r="N147" s="45">
        <f t="shared" si="19"/>
        <v>6103000</v>
      </c>
      <c r="O147" s="46">
        <f t="shared" si="17"/>
        <v>5.1162708815193056</v>
      </c>
      <c r="P147" s="9"/>
    </row>
    <row r="148" spans="1:119" ht="15.75" thickBot="1">
      <c r="A148" s="11"/>
      <c r="B148" s="24">
        <v>389.9</v>
      </c>
      <c r="C148" s="19" t="s">
        <v>241</v>
      </c>
      <c r="D148" s="45">
        <v>0</v>
      </c>
      <c r="E148" s="45">
        <v>0</v>
      </c>
      <c r="F148" s="45">
        <v>0</v>
      </c>
      <c r="G148" s="45">
        <v>0</v>
      </c>
      <c r="H148" s="45">
        <v>0</v>
      </c>
      <c r="I148" s="45">
        <v>3546000</v>
      </c>
      <c r="J148" s="45">
        <v>75000</v>
      </c>
      <c r="K148" s="45">
        <v>0</v>
      </c>
      <c r="L148" s="45">
        <v>0</v>
      </c>
      <c r="M148" s="45">
        <v>0</v>
      </c>
      <c r="N148" s="45">
        <f t="shared" si="19"/>
        <v>3621000</v>
      </c>
      <c r="O148" s="46">
        <f t="shared" si="17"/>
        <v>3.035559046695298</v>
      </c>
      <c r="P148" s="9"/>
    </row>
    <row r="149" spans="1:119" ht="16.5" thickBot="1">
      <c r="A149" s="13" t="s">
        <v>114</v>
      </c>
      <c r="B149" s="22"/>
      <c r="C149" s="21"/>
      <c r="D149" s="14">
        <f t="shared" ref="D149:M149" si="20">SUM(D5,D13,D18,D60,D116,D125,D142)</f>
        <v>1015370587</v>
      </c>
      <c r="E149" s="14">
        <f t="shared" si="20"/>
        <v>1460594700</v>
      </c>
      <c r="F149" s="14">
        <f t="shared" si="20"/>
        <v>106935005</v>
      </c>
      <c r="G149" s="14">
        <f t="shared" si="20"/>
        <v>170977313</v>
      </c>
      <c r="H149" s="14">
        <f t="shared" si="20"/>
        <v>0</v>
      </c>
      <c r="I149" s="14">
        <f t="shared" si="20"/>
        <v>374974000</v>
      </c>
      <c r="J149" s="14">
        <f t="shared" si="20"/>
        <v>163124000</v>
      </c>
      <c r="K149" s="14">
        <f t="shared" si="20"/>
        <v>0</v>
      </c>
      <c r="L149" s="14">
        <f t="shared" si="20"/>
        <v>0</v>
      </c>
      <c r="M149" s="14">
        <f t="shared" si="20"/>
        <v>10014000</v>
      </c>
      <c r="N149" s="14">
        <f t="shared" si="19"/>
        <v>3301989605</v>
      </c>
      <c r="O149" s="37">
        <f t="shared" si="17"/>
        <v>2768.126047376853</v>
      </c>
      <c r="P149" s="6"/>
      <c r="Q149" s="2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</row>
    <row r="150" spans="1:119">
      <c r="A150" s="15"/>
      <c r="B150" s="17"/>
      <c r="C150" s="17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8"/>
    </row>
    <row r="151" spans="1:119">
      <c r="A151" s="39"/>
      <c r="B151" s="40"/>
      <c r="C151" s="40"/>
      <c r="D151" s="41"/>
      <c r="E151" s="41"/>
      <c r="F151" s="41"/>
      <c r="G151" s="41"/>
      <c r="H151" s="41"/>
      <c r="I151" s="41"/>
      <c r="J151" s="41"/>
      <c r="K151" s="41"/>
      <c r="L151" s="48" t="s">
        <v>272</v>
      </c>
      <c r="M151" s="48"/>
      <c r="N151" s="48"/>
      <c r="O151" s="42">
        <v>1192861</v>
      </c>
    </row>
    <row r="152" spans="1:119">
      <c r="A152" s="49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1"/>
    </row>
    <row r="153" spans="1:119" ht="15.75" customHeight="1" thickBot="1">
      <c r="A153" s="52" t="s">
        <v>178</v>
      </c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4"/>
    </row>
  </sheetData>
  <mergeCells count="10">
    <mergeCell ref="L151:N151"/>
    <mergeCell ref="A152:O152"/>
    <mergeCell ref="A153:O153"/>
    <mergeCell ref="A1:O1"/>
    <mergeCell ref="A2:O2"/>
    <mergeCell ref="A3:C4"/>
    <mergeCell ref="D3:H3"/>
    <mergeCell ref="I3:J3"/>
    <mergeCell ref="K3:L3"/>
    <mergeCell ref="O3:O4"/>
  </mergeCells>
  <printOptions horizontalCentered="1"/>
  <pageMargins left="0.5" right="0.5" top="0.5" bottom="0.5" header="0.3" footer="0.3"/>
  <pageSetup paperSize="5" scale="55" fitToHeight="0" orientation="landscape" r:id="rId1"/>
  <headerFooter>
    <oddFooter>&amp;L&amp;14Office of Economic and Demographic Research&amp;R&amp;14Page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EC155"/>
  <sheetViews>
    <sheetView workbookViewId="0">
      <selection sqref="A1:O1"/>
    </sheetView>
  </sheetViews>
  <sheetFormatPr defaultColWidth="9.77734375" defaultRowHeight="15"/>
  <cols>
    <col min="1" max="1" width="1.77734375" style="3" customWidth="1"/>
    <col min="2" max="2" width="6.77734375" style="3" customWidth="1"/>
    <col min="3" max="3" width="60.77734375" style="3" customWidth="1"/>
    <col min="4" max="5" width="16.77734375" style="4" customWidth="1"/>
    <col min="6" max="7" width="15.77734375" style="4" customWidth="1"/>
    <col min="8" max="8" width="13.77734375" style="4" customWidth="1"/>
    <col min="9" max="10" width="15.77734375" style="4" customWidth="1"/>
    <col min="11" max="13" width="13.77734375" style="4" customWidth="1"/>
    <col min="14" max="14" width="16.77734375" style="4" customWidth="1"/>
    <col min="15" max="15" width="13.77734375" style="3" customWidth="1"/>
    <col min="16" max="16" width="9.77734375" style="3" customWidth="1"/>
    <col min="17" max="17" width="9.77734375" style="3"/>
  </cols>
  <sheetData>
    <row r="1" spans="1:133" ht="27.75">
      <c r="A1" s="55" t="s">
        <v>165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7"/>
      <c r="P1" s="7"/>
      <c r="Q1"/>
    </row>
    <row r="2" spans="1:133" ht="24" thickBot="1">
      <c r="A2" s="58" t="s">
        <v>273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60"/>
      <c r="P2" s="7"/>
      <c r="Q2"/>
    </row>
    <row r="3" spans="1:133" ht="18" customHeight="1">
      <c r="A3" s="61" t="s">
        <v>158</v>
      </c>
      <c r="B3" s="62"/>
      <c r="C3" s="63"/>
      <c r="D3" s="67" t="s">
        <v>71</v>
      </c>
      <c r="E3" s="68"/>
      <c r="F3" s="68"/>
      <c r="G3" s="68"/>
      <c r="H3" s="69"/>
      <c r="I3" s="67" t="s">
        <v>72</v>
      </c>
      <c r="J3" s="69"/>
      <c r="K3" s="67" t="s">
        <v>74</v>
      </c>
      <c r="L3" s="69"/>
      <c r="M3" s="35"/>
      <c r="N3" s="36"/>
      <c r="O3" s="70" t="s">
        <v>163</v>
      </c>
      <c r="P3" s="5"/>
      <c r="Q3"/>
    </row>
    <row r="4" spans="1:133" ht="32.25" customHeight="1" thickBot="1">
      <c r="A4" s="64"/>
      <c r="B4" s="65"/>
      <c r="C4" s="66"/>
      <c r="D4" s="33" t="s">
        <v>6</v>
      </c>
      <c r="E4" s="33" t="s">
        <v>159</v>
      </c>
      <c r="F4" s="33" t="s">
        <v>160</v>
      </c>
      <c r="G4" s="33" t="s">
        <v>161</v>
      </c>
      <c r="H4" s="33" t="s">
        <v>7</v>
      </c>
      <c r="I4" s="33" t="s">
        <v>8</v>
      </c>
      <c r="J4" s="34" t="s">
        <v>162</v>
      </c>
      <c r="K4" s="34" t="s">
        <v>9</v>
      </c>
      <c r="L4" s="34" t="s">
        <v>10</v>
      </c>
      <c r="M4" s="34" t="s">
        <v>11</v>
      </c>
      <c r="N4" s="34" t="s">
        <v>73</v>
      </c>
      <c r="O4" s="71"/>
      <c r="P4" s="8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</row>
    <row r="5" spans="1:133" ht="15.75">
      <c r="A5" s="23" t="s">
        <v>2</v>
      </c>
      <c r="B5" s="25"/>
      <c r="C5" s="25"/>
      <c r="D5" s="26">
        <f t="shared" ref="D5:M5" si="0">SUM(D6:D13)</f>
        <v>649921271</v>
      </c>
      <c r="E5" s="26">
        <f t="shared" si="0"/>
        <v>315347786</v>
      </c>
      <c r="F5" s="26">
        <f t="shared" si="0"/>
        <v>0</v>
      </c>
      <c r="G5" s="26">
        <f t="shared" si="0"/>
        <v>0</v>
      </c>
      <c r="H5" s="26">
        <f t="shared" si="0"/>
        <v>0</v>
      </c>
      <c r="I5" s="26">
        <f t="shared" si="0"/>
        <v>0</v>
      </c>
      <c r="J5" s="26">
        <f t="shared" si="0"/>
        <v>0</v>
      </c>
      <c r="K5" s="26">
        <f t="shared" si="0"/>
        <v>0</v>
      </c>
      <c r="L5" s="26">
        <f t="shared" si="0"/>
        <v>0</v>
      </c>
      <c r="M5" s="26">
        <f t="shared" si="0"/>
        <v>0</v>
      </c>
      <c r="N5" s="27">
        <f>SUM(D5:M5)</f>
        <v>965269057</v>
      </c>
      <c r="O5" s="32">
        <f t="shared" ref="O5:O36" si="1">(N5/O$153)</f>
        <v>828.96627691779202</v>
      </c>
      <c r="P5" s="6"/>
    </row>
    <row r="6" spans="1:133">
      <c r="A6" s="11"/>
      <c r="B6" s="24">
        <v>311</v>
      </c>
      <c r="C6" s="19" t="s">
        <v>3</v>
      </c>
      <c r="D6" s="45">
        <v>626287011</v>
      </c>
      <c r="E6" s="45">
        <v>47806945</v>
      </c>
      <c r="F6" s="45">
        <v>0</v>
      </c>
      <c r="G6" s="45">
        <v>0</v>
      </c>
      <c r="H6" s="45">
        <v>0</v>
      </c>
      <c r="I6" s="45">
        <v>0</v>
      </c>
      <c r="J6" s="45">
        <v>0</v>
      </c>
      <c r="K6" s="45">
        <v>0</v>
      </c>
      <c r="L6" s="45">
        <v>0</v>
      </c>
      <c r="M6" s="45">
        <v>0</v>
      </c>
      <c r="N6" s="45">
        <f>SUM(D6:M6)</f>
        <v>674093956</v>
      </c>
      <c r="O6" s="46">
        <f t="shared" si="1"/>
        <v>578.90714816325658</v>
      </c>
      <c r="P6" s="9"/>
    </row>
    <row r="7" spans="1:133">
      <c r="A7" s="11"/>
      <c r="B7" s="24">
        <v>312.10000000000002</v>
      </c>
      <c r="C7" s="19" t="s">
        <v>12</v>
      </c>
      <c r="D7" s="45">
        <v>0</v>
      </c>
      <c r="E7" s="45">
        <v>20690942</v>
      </c>
      <c r="F7" s="45">
        <v>0</v>
      </c>
      <c r="G7" s="45">
        <v>0</v>
      </c>
      <c r="H7" s="45">
        <v>0</v>
      </c>
      <c r="I7" s="45">
        <v>0</v>
      </c>
      <c r="J7" s="45">
        <v>0</v>
      </c>
      <c r="K7" s="45">
        <v>0</v>
      </c>
      <c r="L7" s="45">
        <v>0</v>
      </c>
      <c r="M7" s="45">
        <v>0</v>
      </c>
      <c r="N7" s="45">
        <f t="shared" ref="N7:N32" si="2">SUM(D7:M7)</f>
        <v>20690942</v>
      </c>
      <c r="O7" s="46">
        <f t="shared" si="1"/>
        <v>17.769235459561585</v>
      </c>
      <c r="P7" s="9"/>
    </row>
    <row r="8" spans="1:133">
      <c r="A8" s="11"/>
      <c r="B8" s="24">
        <v>312.3</v>
      </c>
      <c r="C8" s="19" t="s">
        <v>13</v>
      </c>
      <c r="D8" s="45">
        <v>0</v>
      </c>
      <c r="E8" s="45">
        <v>7023536</v>
      </c>
      <c r="F8" s="45">
        <v>0</v>
      </c>
      <c r="G8" s="45">
        <v>0</v>
      </c>
      <c r="H8" s="45">
        <v>0</v>
      </c>
      <c r="I8" s="45">
        <v>0</v>
      </c>
      <c r="J8" s="45">
        <v>0</v>
      </c>
      <c r="K8" s="45">
        <v>0</v>
      </c>
      <c r="L8" s="45">
        <v>0</v>
      </c>
      <c r="M8" s="45">
        <v>0</v>
      </c>
      <c r="N8" s="45">
        <f t="shared" si="2"/>
        <v>7023536</v>
      </c>
      <c r="O8" s="46">
        <f t="shared" si="1"/>
        <v>6.0317633166584361</v>
      </c>
      <c r="P8" s="9"/>
    </row>
    <row r="9" spans="1:133">
      <c r="A9" s="11"/>
      <c r="B9" s="24">
        <v>312.41000000000003</v>
      </c>
      <c r="C9" s="19" t="s">
        <v>14</v>
      </c>
      <c r="D9" s="45">
        <v>0</v>
      </c>
      <c r="E9" s="45">
        <v>25642735</v>
      </c>
      <c r="F9" s="45">
        <v>0</v>
      </c>
      <c r="G9" s="45">
        <v>0</v>
      </c>
      <c r="H9" s="45">
        <v>0</v>
      </c>
      <c r="I9" s="45">
        <v>0</v>
      </c>
      <c r="J9" s="45">
        <v>0</v>
      </c>
      <c r="K9" s="45">
        <v>0</v>
      </c>
      <c r="L9" s="45">
        <v>0</v>
      </c>
      <c r="M9" s="45">
        <v>0</v>
      </c>
      <c r="N9" s="45">
        <f>SUM(D9:M9)</f>
        <v>25642735</v>
      </c>
      <c r="O9" s="46">
        <f t="shared" si="1"/>
        <v>22.021800459454237</v>
      </c>
      <c r="P9" s="9"/>
    </row>
    <row r="10" spans="1:133">
      <c r="A10" s="11"/>
      <c r="B10" s="24">
        <v>312.60000000000002</v>
      </c>
      <c r="C10" s="19" t="s">
        <v>15</v>
      </c>
      <c r="D10" s="45">
        <v>0</v>
      </c>
      <c r="E10" s="45">
        <v>214183628</v>
      </c>
      <c r="F10" s="45">
        <v>0</v>
      </c>
      <c r="G10" s="45">
        <v>0</v>
      </c>
      <c r="H10" s="45">
        <v>0</v>
      </c>
      <c r="I10" s="45">
        <v>0</v>
      </c>
      <c r="J10" s="45">
        <v>0</v>
      </c>
      <c r="K10" s="45">
        <v>0</v>
      </c>
      <c r="L10" s="45">
        <v>0</v>
      </c>
      <c r="M10" s="45">
        <v>0</v>
      </c>
      <c r="N10" s="45">
        <f t="shared" si="2"/>
        <v>214183628</v>
      </c>
      <c r="O10" s="46">
        <f t="shared" si="1"/>
        <v>183.93939326276919</v>
      </c>
      <c r="P10" s="9"/>
    </row>
    <row r="11" spans="1:133">
      <c r="A11" s="11"/>
      <c r="B11" s="24">
        <v>313.3</v>
      </c>
      <c r="C11" s="19" t="s">
        <v>19</v>
      </c>
      <c r="D11" s="45">
        <v>32516</v>
      </c>
      <c r="E11" s="45">
        <v>0</v>
      </c>
      <c r="F11" s="45">
        <v>0</v>
      </c>
      <c r="G11" s="45">
        <v>0</v>
      </c>
      <c r="H11" s="45">
        <v>0</v>
      </c>
      <c r="I11" s="45">
        <v>0</v>
      </c>
      <c r="J11" s="45">
        <v>0</v>
      </c>
      <c r="K11" s="45">
        <v>0</v>
      </c>
      <c r="L11" s="45">
        <v>0</v>
      </c>
      <c r="M11" s="45">
        <v>0</v>
      </c>
      <c r="N11" s="45">
        <f t="shared" si="2"/>
        <v>32516</v>
      </c>
      <c r="O11" s="46">
        <f t="shared" si="1"/>
        <v>2.7924512098245917E-2</v>
      </c>
      <c r="P11" s="9"/>
    </row>
    <row r="12" spans="1:133">
      <c r="A12" s="11"/>
      <c r="B12" s="24">
        <v>313.60000000000002</v>
      </c>
      <c r="C12" s="19" t="s">
        <v>20</v>
      </c>
      <c r="D12" s="45">
        <v>22129</v>
      </c>
      <c r="E12" s="45">
        <v>0</v>
      </c>
      <c r="F12" s="45">
        <v>0</v>
      </c>
      <c r="G12" s="45">
        <v>0</v>
      </c>
      <c r="H12" s="45">
        <v>0</v>
      </c>
      <c r="I12" s="45">
        <v>0</v>
      </c>
      <c r="J12" s="45">
        <v>0</v>
      </c>
      <c r="K12" s="45">
        <v>0</v>
      </c>
      <c r="L12" s="45">
        <v>0</v>
      </c>
      <c r="M12" s="45">
        <v>0</v>
      </c>
      <c r="N12" s="45">
        <f t="shared" si="2"/>
        <v>22129</v>
      </c>
      <c r="O12" s="46">
        <f t="shared" si="1"/>
        <v>1.9004229555359943E-2</v>
      </c>
      <c r="P12" s="9"/>
    </row>
    <row r="13" spans="1:133">
      <c r="A13" s="11"/>
      <c r="B13" s="24">
        <v>315</v>
      </c>
      <c r="C13" s="19" t="s">
        <v>202</v>
      </c>
      <c r="D13" s="45">
        <v>23579615</v>
      </c>
      <c r="E13" s="45">
        <v>0</v>
      </c>
      <c r="F13" s="45">
        <v>0</v>
      </c>
      <c r="G13" s="45">
        <v>0</v>
      </c>
      <c r="H13" s="45">
        <v>0</v>
      </c>
      <c r="I13" s="45">
        <v>0</v>
      </c>
      <c r="J13" s="45">
        <v>0</v>
      </c>
      <c r="K13" s="45">
        <v>0</v>
      </c>
      <c r="L13" s="45">
        <v>0</v>
      </c>
      <c r="M13" s="45">
        <v>0</v>
      </c>
      <c r="N13" s="45">
        <f t="shared" si="2"/>
        <v>23579615</v>
      </c>
      <c r="O13" s="46">
        <f t="shared" si="1"/>
        <v>20.250007514438458</v>
      </c>
      <c r="P13" s="9"/>
    </row>
    <row r="14" spans="1:133" ht="15.75">
      <c r="A14" s="28" t="s">
        <v>274</v>
      </c>
      <c r="B14" s="29"/>
      <c r="C14" s="30"/>
      <c r="D14" s="31">
        <f t="shared" ref="D14:M14" si="3">SUM(D15:D17)</f>
        <v>4425422</v>
      </c>
      <c r="E14" s="31">
        <f t="shared" si="3"/>
        <v>15283367</v>
      </c>
      <c r="F14" s="31">
        <f t="shared" si="3"/>
        <v>0</v>
      </c>
      <c r="G14" s="31">
        <f t="shared" si="3"/>
        <v>0</v>
      </c>
      <c r="H14" s="31">
        <f t="shared" si="3"/>
        <v>0</v>
      </c>
      <c r="I14" s="31">
        <f t="shared" si="3"/>
        <v>0</v>
      </c>
      <c r="J14" s="31">
        <f t="shared" si="3"/>
        <v>0</v>
      </c>
      <c r="K14" s="31">
        <f t="shared" si="3"/>
        <v>0</v>
      </c>
      <c r="L14" s="31">
        <f t="shared" si="3"/>
        <v>0</v>
      </c>
      <c r="M14" s="31">
        <f t="shared" si="3"/>
        <v>0</v>
      </c>
      <c r="N14" s="43">
        <f t="shared" si="2"/>
        <v>19708789</v>
      </c>
      <c r="O14" s="44">
        <f t="shared" si="1"/>
        <v>16.925769371148849</v>
      </c>
      <c r="P14" s="10"/>
    </row>
    <row r="15" spans="1:133">
      <c r="A15" s="11"/>
      <c r="B15" s="24">
        <v>321</v>
      </c>
      <c r="C15" s="19" t="s">
        <v>275</v>
      </c>
      <c r="D15" s="45">
        <v>2047526</v>
      </c>
      <c r="E15" s="45">
        <v>122814</v>
      </c>
      <c r="F15" s="45">
        <v>0</v>
      </c>
      <c r="G15" s="45">
        <v>0</v>
      </c>
      <c r="H15" s="45">
        <v>0</v>
      </c>
      <c r="I15" s="45">
        <v>0</v>
      </c>
      <c r="J15" s="45">
        <v>0</v>
      </c>
      <c r="K15" s="45">
        <v>0</v>
      </c>
      <c r="L15" s="45">
        <v>0</v>
      </c>
      <c r="M15" s="45">
        <v>0</v>
      </c>
      <c r="N15" s="45">
        <f t="shared" si="2"/>
        <v>2170340</v>
      </c>
      <c r="O15" s="46">
        <f t="shared" si="1"/>
        <v>1.8638727268823669</v>
      </c>
      <c r="P15" s="9"/>
    </row>
    <row r="16" spans="1:133">
      <c r="A16" s="11"/>
      <c r="B16" s="24">
        <v>322</v>
      </c>
      <c r="C16" s="19" t="s">
        <v>0</v>
      </c>
      <c r="D16" s="45">
        <v>3460</v>
      </c>
      <c r="E16" s="45">
        <v>14532622</v>
      </c>
      <c r="F16" s="45">
        <v>0</v>
      </c>
      <c r="G16" s="45">
        <v>0</v>
      </c>
      <c r="H16" s="45">
        <v>0</v>
      </c>
      <c r="I16" s="45">
        <v>0</v>
      </c>
      <c r="J16" s="45">
        <v>0</v>
      </c>
      <c r="K16" s="45">
        <v>0</v>
      </c>
      <c r="L16" s="45">
        <v>0</v>
      </c>
      <c r="M16" s="45">
        <v>0</v>
      </c>
      <c r="N16" s="45">
        <f t="shared" si="2"/>
        <v>14536082</v>
      </c>
      <c r="O16" s="46">
        <f t="shared" si="1"/>
        <v>12.483484981857998</v>
      </c>
      <c r="P16" s="9"/>
    </row>
    <row r="17" spans="1:16">
      <c r="A17" s="11"/>
      <c r="B17" s="24">
        <v>329</v>
      </c>
      <c r="C17" s="19" t="s">
        <v>268</v>
      </c>
      <c r="D17" s="45">
        <v>2374436</v>
      </c>
      <c r="E17" s="45">
        <v>627931</v>
      </c>
      <c r="F17" s="45">
        <v>0</v>
      </c>
      <c r="G17" s="45">
        <v>0</v>
      </c>
      <c r="H17" s="45">
        <v>0</v>
      </c>
      <c r="I17" s="45">
        <v>0</v>
      </c>
      <c r="J17" s="45">
        <v>0</v>
      </c>
      <c r="K17" s="45">
        <v>0</v>
      </c>
      <c r="L17" s="45">
        <v>0</v>
      </c>
      <c r="M17" s="45">
        <v>0</v>
      </c>
      <c r="N17" s="45">
        <f t="shared" si="2"/>
        <v>3002367</v>
      </c>
      <c r="O17" s="46">
        <f t="shared" si="1"/>
        <v>2.578411662408485</v>
      </c>
      <c r="P17" s="9"/>
    </row>
    <row r="18" spans="1:16" ht="15.75">
      <c r="A18" s="28" t="s">
        <v>30</v>
      </c>
      <c r="B18" s="29"/>
      <c r="C18" s="30"/>
      <c r="D18" s="31">
        <f t="shared" ref="D18:M18" si="4">SUM(D19:D59)</f>
        <v>26618413</v>
      </c>
      <c r="E18" s="31">
        <f t="shared" si="4"/>
        <v>234625874</v>
      </c>
      <c r="F18" s="31">
        <f t="shared" si="4"/>
        <v>0</v>
      </c>
      <c r="G18" s="31">
        <f t="shared" si="4"/>
        <v>0</v>
      </c>
      <c r="H18" s="31">
        <f t="shared" si="4"/>
        <v>0</v>
      </c>
      <c r="I18" s="31">
        <f t="shared" si="4"/>
        <v>0</v>
      </c>
      <c r="J18" s="31">
        <f t="shared" si="4"/>
        <v>479000</v>
      </c>
      <c r="K18" s="31">
        <f t="shared" si="4"/>
        <v>0</v>
      </c>
      <c r="L18" s="31">
        <f t="shared" si="4"/>
        <v>0</v>
      </c>
      <c r="M18" s="31">
        <f t="shared" si="4"/>
        <v>0</v>
      </c>
      <c r="N18" s="43">
        <f t="shared" si="2"/>
        <v>261723287</v>
      </c>
      <c r="O18" s="44">
        <f t="shared" si="1"/>
        <v>224.76611804109325</v>
      </c>
      <c r="P18" s="10"/>
    </row>
    <row r="19" spans="1:16">
      <c r="A19" s="11"/>
      <c r="B19" s="24">
        <v>331.1</v>
      </c>
      <c r="C19" s="19" t="s">
        <v>28</v>
      </c>
      <c r="D19" s="45">
        <v>0</v>
      </c>
      <c r="E19" s="45">
        <v>119427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5">
        <v>0</v>
      </c>
      <c r="L19" s="45">
        <v>0</v>
      </c>
      <c r="M19" s="45">
        <v>0</v>
      </c>
      <c r="N19" s="45">
        <f t="shared" si="2"/>
        <v>119427</v>
      </c>
      <c r="O19" s="46">
        <f t="shared" si="1"/>
        <v>0.10256306760847629</v>
      </c>
      <c r="P19" s="9"/>
    </row>
    <row r="20" spans="1:16">
      <c r="A20" s="11"/>
      <c r="B20" s="24">
        <v>331.2</v>
      </c>
      <c r="C20" s="19" t="s">
        <v>29</v>
      </c>
      <c r="D20" s="45">
        <v>0</v>
      </c>
      <c r="E20" s="45">
        <v>5483228</v>
      </c>
      <c r="F20" s="45">
        <v>0</v>
      </c>
      <c r="G20" s="45">
        <v>0</v>
      </c>
      <c r="H20" s="45">
        <v>0</v>
      </c>
      <c r="I20" s="45">
        <v>0</v>
      </c>
      <c r="J20" s="45">
        <v>0</v>
      </c>
      <c r="K20" s="45">
        <v>0</v>
      </c>
      <c r="L20" s="45">
        <v>0</v>
      </c>
      <c r="M20" s="45">
        <v>0</v>
      </c>
      <c r="N20" s="45">
        <f t="shared" si="2"/>
        <v>5483228</v>
      </c>
      <c r="O20" s="46">
        <f t="shared" si="1"/>
        <v>4.7089576400369282</v>
      </c>
      <c r="P20" s="9"/>
    </row>
    <row r="21" spans="1:16">
      <c r="A21" s="11"/>
      <c r="B21" s="24">
        <v>331.31</v>
      </c>
      <c r="C21" s="19" t="s">
        <v>34</v>
      </c>
      <c r="D21" s="45">
        <v>0</v>
      </c>
      <c r="E21" s="45">
        <v>218991</v>
      </c>
      <c r="F21" s="45">
        <v>0</v>
      </c>
      <c r="G21" s="45">
        <v>0</v>
      </c>
      <c r="H21" s="45">
        <v>0</v>
      </c>
      <c r="I21" s="45">
        <v>0</v>
      </c>
      <c r="J21" s="45">
        <v>0</v>
      </c>
      <c r="K21" s="45">
        <v>0</v>
      </c>
      <c r="L21" s="45">
        <v>0</v>
      </c>
      <c r="M21" s="45">
        <v>0</v>
      </c>
      <c r="N21" s="45">
        <f t="shared" si="2"/>
        <v>218991</v>
      </c>
      <c r="O21" s="46">
        <f t="shared" si="1"/>
        <v>0.18806793052364901</v>
      </c>
      <c r="P21" s="9"/>
    </row>
    <row r="22" spans="1:16">
      <c r="A22" s="11"/>
      <c r="B22" s="24">
        <v>331.39</v>
      </c>
      <c r="C22" s="19" t="s">
        <v>35</v>
      </c>
      <c r="D22" s="45">
        <v>0</v>
      </c>
      <c r="E22" s="45">
        <v>1272286</v>
      </c>
      <c r="F22" s="45">
        <v>0</v>
      </c>
      <c r="G22" s="45">
        <v>0</v>
      </c>
      <c r="H22" s="45">
        <v>0</v>
      </c>
      <c r="I22" s="45">
        <v>0</v>
      </c>
      <c r="J22" s="45">
        <v>0</v>
      </c>
      <c r="K22" s="45">
        <v>0</v>
      </c>
      <c r="L22" s="45">
        <v>0</v>
      </c>
      <c r="M22" s="45">
        <v>0</v>
      </c>
      <c r="N22" s="45">
        <f t="shared" si="2"/>
        <v>1272286</v>
      </c>
      <c r="O22" s="46">
        <f t="shared" si="1"/>
        <v>1.0926302681581037</v>
      </c>
      <c r="P22" s="9"/>
    </row>
    <row r="23" spans="1:16">
      <c r="A23" s="11"/>
      <c r="B23" s="24">
        <v>331.49</v>
      </c>
      <c r="C23" s="19" t="s">
        <v>36</v>
      </c>
      <c r="D23" s="45">
        <v>0</v>
      </c>
      <c r="E23" s="45">
        <v>2521085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45">
        <v>0</v>
      </c>
      <c r="L23" s="45">
        <v>0</v>
      </c>
      <c r="M23" s="45">
        <v>0</v>
      </c>
      <c r="N23" s="45">
        <f t="shared" si="2"/>
        <v>2521085</v>
      </c>
      <c r="O23" s="46">
        <f t="shared" si="1"/>
        <v>2.1650900659123602</v>
      </c>
      <c r="P23" s="9"/>
    </row>
    <row r="24" spans="1:16">
      <c r="A24" s="11"/>
      <c r="B24" s="24">
        <v>331.5</v>
      </c>
      <c r="C24" s="19" t="s">
        <v>31</v>
      </c>
      <c r="D24" s="45">
        <v>0</v>
      </c>
      <c r="E24" s="45">
        <v>29809108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5">
        <v>0</v>
      </c>
      <c r="L24" s="45">
        <v>0</v>
      </c>
      <c r="M24" s="45">
        <v>0</v>
      </c>
      <c r="N24" s="45">
        <f t="shared" si="2"/>
        <v>29809108</v>
      </c>
      <c r="O24" s="46">
        <f t="shared" si="1"/>
        <v>25.599852287609764</v>
      </c>
      <c r="P24" s="9"/>
    </row>
    <row r="25" spans="1:16">
      <c r="A25" s="11"/>
      <c r="B25" s="24">
        <v>331.61</v>
      </c>
      <c r="C25" s="19" t="s">
        <v>37</v>
      </c>
      <c r="D25" s="45">
        <v>0</v>
      </c>
      <c r="E25" s="45">
        <v>4438786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f t="shared" si="2"/>
        <v>4438786</v>
      </c>
      <c r="O25" s="46">
        <f t="shared" si="1"/>
        <v>3.8119981965347702</v>
      </c>
      <c r="P25" s="9"/>
    </row>
    <row r="26" spans="1:16">
      <c r="A26" s="11"/>
      <c r="B26" s="24">
        <v>331.65</v>
      </c>
      <c r="C26" s="19" t="s">
        <v>38</v>
      </c>
      <c r="D26" s="45">
        <v>0</v>
      </c>
      <c r="E26" s="45">
        <v>1062616</v>
      </c>
      <c r="F26" s="45">
        <v>0</v>
      </c>
      <c r="G26" s="45">
        <v>0</v>
      </c>
      <c r="H26" s="45">
        <v>0</v>
      </c>
      <c r="I26" s="45">
        <v>0</v>
      </c>
      <c r="J26" s="45">
        <v>0</v>
      </c>
      <c r="K26" s="45">
        <v>0</v>
      </c>
      <c r="L26" s="45">
        <v>0</v>
      </c>
      <c r="M26" s="45">
        <v>0</v>
      </c>
      <c r="N26" s="45">
        <f t="shared" si="2"/>
        <v>1062616</v>
      </c>
      <c r="O26" s="46">
        <f t="shared" si="1"/>
        <v>0.91256714687506713</v>
      </c>
      <c r="P26" s="9"/>
    </row>
    <row r="27" spans="1:16">
      <c r="A27" s="11"/>
      <c r="B27" s="24">
        <v>331.69</v>
      </c>
      <c r="C27" s="19" t="s">
        <v>39</v>
      </c>
      <c r="D27" s="45">
        <v>1535058</v>
      </c>
      <c r="E27" s="45">
        <v>37386471</v>
      </c>
      <c r="F27" s="45">
        <v>0</v>
      </c>
      <c r="G27" s="45">
        <v>0</v>
      </c>
      <c r="H27" s="45">
        <v>0</v>
      </c>
      <c r="I27" s="45">
        <v>0</v>
      </c>
      <c r="J27" s="45">
        <v>0</v>
      </c>
      <c r="K27" s="45">
        <v>0</v>
      </c>
      <c r="L27" s="45">
        <v>0</v>
      </c>
      <c r="M27" s="45">
        <v>0</v>
      </c>
      <c r="N27" s="45">
        <f t="shared" si="2"/>
        <v>38921529</v>
      </c>
      <c r="O27" s="46">
        <f t="shared" si="1"/>
        <v>33.425535350065481</v>
      </c>
      <c r="P27" s="9"/>
    </row>
    <row r="28" spans="1:16">
      <c r="A28" s="11"/>
      <c r="B28" s="24">
        <v>331.7</v>
      </c>
      <c r="C28" s="19" t="s">
        <v>169</v>
      </c>
      <c r="D28" s="45">
        <v>0</v>
      </c>
      <c r="E28" s="45">
        <v>115033</v>
      </c>
      <c r="F28" s="45">
        <v>0</v>
      </c>
      <c r="G28" s="45">
        <v>0</v>
      </c>
      <c r="H28" s="45">
        <v>0</v>
      </c>
      <c r="I28" s="45">
        <v>0</v>
      </c>
      <c r="J28" s="45">
        <v>0</v>
      </c>
      <c r="K28" s="45">
        <v>0</v>
      </c>
      <c r="L28" s="45">
        <v>0</v>
      </c>
      <c r="M28" s="45">
        <v>0</v>
      </c>
      <c r="N28" s="45">
        <f t="shared" si="2"/>
        <v>115033</v>
      </c>
      <c r="O28" s="46">
        <f t="shared" si="1"/>
        <v>9.8789531313738535E-2</v>
      </c>
      <c r="P28" s="9"/>
    </row>
    <row r="29" spans="1:16">
      <c r="A29" s="11"/>
      <c r="B29" s="24">
        <v>331.9</v>
      </c>
      <c r="C29" s="19" t="s">
        <v>32</v>
      </c>
      <c r="D29" s="45">
        <v>0</v>
      </c>
      <c r="E29" s="45">
        <v>815525</v>
      </c>
      <c r="F29" s="45">
        <v>0</v>
      </c>
      <c r="G29" s="45">
        <v>0</v>
      </c>
      <c r="H29" s="45">
        <v>0</v>
      </c>
      <c r="I29" s="45">
        <v>0</v>
      </c>
      <c r="J29" s="45">
        <v>0</v>
      </c>
      <c r="K29" s="45">
        <v>0</v>
      </c>
      <c r="L29" s="45">
        <v>0</v>
      </c>
      <c r="M29" s="45">
        <v>0</v>
      </c>
      <c r="N29" s="45">
        <f t="shared" si="2"/>
        <v>815525</v>
      </c>
      <c r="O29" s="46">
        <f t="shared" si="1"/>
        <v>0.70036713399317263</v>
      </c>
      <c r="P29" s="9"/>
    </row>
    <row r="30" spans="1:16">
      <c r="A30" s="11"/>
      <c r="B30" s="24">
        <v>333</v>
      </c>
      <c r="C30" s="19" t="s">
        <v>4</v>
      </c>
      <c r="D30" s="45">
        <v>476</v>
      </c>
      <c r="E30" s="45">
        <v>0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f t="shared" si="2"/>
        <v>476</v>
      </c>
      <c r="O30" s="46">
        <f t="shared" si="1"/>
        <v>4.0878545204714776E-4</v>
      </c>
      <c r="P30" s="9"/>
    </row>
    <row r="31" spans="1:16">
      <c r="A31" s="11"/>
      <c r="B31" s="24">
        <v>334.1</v>
      </c>
      <c r="C31" s="19" t="s">
        <v>189</v>
      </c>
      <c r="D31" s="45">
        <v>0</v>
      </c>
      <c r="E31" s="45">
        <v>169711</v>
      </c>
      <c r="F31" s="45">
        <v>0</v>
      </c>
      <c r="G31" s="45">
        <v>0</v>
      </c>
      <c r="H31" s="45">
        <v>0</v>
      </c>
      <c r="I31" s="45">
        <v>0</v>
      </c>
      <c r="J31" s="45">
        <v>0</v>
      </c>
      <c r="K31" s="45">
        <v>0</v>
      </c>
      <c r="L31" s="45">
        <v>0</v>
      </c>
      <c r="M31" s="45">
        <v>0</v>
      </c>
      <c r="N31" s="45">
        <f t="shared" si="2"/>
        <v>169711</v>
      </c>
      <c r="O31" s="46">
        <f t="shared" si="1"/>
        <v>0.14574661313523843</v>
      </c>
      <c r="P31" s="9"/>
    </row>
    <row r="32" spans="1:16">
      <c r="A32" s="11"/>
      <c r="B32" s="24">
        <v>334.2</v>
      </c>
      <c r="C32" s="19" t="s">
        <v>33</v>
      </c>
      <c r="D32" s="45">
        <v>1033902</v>
      </c>
      <c r="E32" s="45">
        <v>558459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45">
        <f t="shared" si="2"/>
        <v>1592361</v>
      </c>
      <c r="O32" s="46">
        <f t="shared" si="1"/>
        <v>1.3675084269059836</v>
      </c>
      <c r="P32" s="9"/>
    </row>
    <row r="33" spans="1:16">
      <c r="A33" s="11"/>
      <c r="B33" s="24">
        <v>334.39</v>
      </c>
      <c r="C33" s="19" t="s">
        <v>40</v>
      </c>
      <c r="D33" s="45">
        <v>0</v>
      </c>
      <c r="E33" s="45">
        <v>2910381</v>
      </c>
      <c r="F33" s="45">
        <v>0</v>
      </c>
      <c r="G33" s="45">
        <v>0</v>
      </c>
      <c r="H33" s="45">
        <v>0</v>
      </c>
      <c r="I33" s="45">
        <v>0</v>
      </c>
      <c r="J33" s="45">
        <v>0</v>
      </c>
      <c r="K33" s="45">
        <v>0</v>
      </c>
      <c r="L33" s="45">
        <v>0</v>
      </c>
      <c r="M33" s="45">
        <v>0</v>
      </c>
      <c r="N33" s="45">
        <f t="shared" ref="N33:N55" si="5">SUM(D33:M33)</f>
        <v>2910381</v>
      </c>
      <c r="O33" s="46">
        <f t="shared" si="1"/>
        <v>2.49941473259334</v>
      </c>
      <c r="P33" s="9"/>
    </row>
    <row r="34" spans="1:16">
      <c r="A34" s="11"/>
      <c r="B34" s="24">
        <v>334.49</v>
      </c>
      <c r="C34" s="19" t="s">
        <v>41</v>
      </c>
      <c r="D34" s="45">
        <v>0</v>
      </c>
      <c r="E34" s="45">
        <v>50500</v>
      </c>
      <c r="F34" s="45">
        <v>0</v>
      </c>
      <c r="G34" s="45">
        <v>0</v>
      </c>
      <c r="H34" s="45">
        <v>0</v>
      </c>
      <c r="I34" s="45">
        <v>0</v>
      </c>
      <c r="J34" s="45">
        <v>0</v>
      </c>
      <c r="K34" s="45">
        <v>0</v>
      </c>
      <c r="L34" s="45">
        <v>0</v>
      </c>
      <c r="M34" s="45">
        <v>0</v>
      </c>
      <c r="N34" s="45">
        <f t="shared" si="5"/>
        <v>50500</v>
      </c>
      <c r="O34" s="46">
        <f t="shared" si="1"/>
        <v>4.3369044807523023E-2</v>
      </c>
      <c r="P34" s="9"/>
    </row>
    <row r="35" spans="1:16">
      <c r="A35" s="11"/>
      <c r="B35" s="24">
        <v>334.5</v>
      </c>
      <c r="C35" s="19" t="s">
        <v>42</v>
      </c>
      <c r="D35" s="45">
        <v>0</v>
      </c>
      <c r="E35" s="45">
        <v>1368052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f t="shared" si="5"/>
        <v>1368052</v>
      </c>
      <c r="O35" s="46">
        <f t="shared" si="1"/>
        <v>1.1748734353865642</v>
      </c>
      <c r="P35" s="9"/>
    </row>
    <row r="36" spans="1:16">
      <c r="A36" s="11"/>
      <c r="B36" s="24">
        <v>334.61</v>
      </c>
      <c r="C36" s="19" t="s">
        <v>43</v>
      </c>
      <c r="D36" s="45">
        <v>0</v>
      </c>
      <c r="E36" s="45">
        <v>229829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f t="shared" si="5"/>
        <v>229829</v>
      </c>
      <c r="O36" s="46">
        <f t="shared" si="1"/>
        <v>0.19737552869441999</v>
      </c>
      <c r="P36" s="9"/>
    </row>
    <row r="37" spans="1:16">
      <c r="A37" s="11"/>
      <c r="B37" s="24">
        <v>334.69</v>
      </c>
      <c r="C37" s="19" t="s">
        <v>44</v>
      </c>
      <c r="D37" s="45">
        <v>0</v>
      </c>
      <c r="E37" s="45">
        <v>3687450</v>
      </c>
      <c r="F37" s="45">
        <v>0</v>
      </c>
      <c r="G37" s="45">
        <v>0</v>
      </c>
      <c r="H37" s="45">
        <v>0</v>
      </c>
      <c r="I37" s="45">
        <v>0</v>
      </c>
      <c r="J37" s="45">
        <v>0</v>
      </c>
      <c r="K37" s="45">
        <v>0</v>
      </c>
      <c r="L37" s="45">
        <v>0</v>
      </c>
      <c r="M37" s="45">
        <v>0</v>
      </c>
      <c r="N37" s="45">
        <f t="shared" si="5"/>
        <v>3687450</v>
      </c>
      <c r="O37" s="46">
        <f t="shared" ref="O37:O68" si="6">(N37/O$153)</f>
        <v>3.1667561242673421</v>
      </c>
      <c r="P37" s="9"/>
    </row>
    <row r="38" spans="1:16">
      <c r="A38" s="11"/>
      <c r="B38" s="24">
        <v>334.7</v>
      </c>
      <c r="C38" s="19" t="s">
        <v>45</v>
      </c>
      <c r="D38" s="45">
        <v>0</v>
      </c>
      <c r="E38" s="45">
        <v>2342629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5">
        <v>0</v>
      </c>
      <c r="L38" s="45">
        <v>0</v>
      </c>
      <c r="M38" s="45">
        <v>0</v>
      </c>
      <c r="N38" s="45">
        <f t="shared" si="5"/>
        <v>2342629</v>
      </c>
      <c r="O38" s="46">
        <f t="shared" si="6"/>
        <v>2.0118333082852051</v>
      </c>
      <c r="P38" s="9"/>
    </row>
    <row r="39" spans="1:16">
      <c r="A39" s="11"/>
      <c r="B39" s="24">
        <v>334.89</v>
      </c>
      <c r="C39" s="19" t="s">
        <v>46</v>
      </c>
      <c r="D39" s="45">
        <v>0</v>
      </c>
      <c r="E39" s="45">
        <v>5000000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f t="shared" si="5"/>
        <v>5000000</v>
      </c>
      <c r="O39" s="46">
        <f t="shared" si="6"/>
        <v>4.2939648324280224</v>
      </c>
      <c r="P39" s="9"/>
    </row>
    <row r="40" spans="1:16">
      <c r="A40" s="11"/>
      <c r="B40" s="24">
        <v>334.9</v>
      </c>
      <c r="C40" s="19" t="s">
        <v>47</v>
      </c>
      <c r="D40" s="45">
        <v>0</v>
      </c>
      <c r="E40" s="45">
        <v>1548183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5">
        <v>0</v>
      </c>
      <c r="L40" s="45">
        <v>0</v>
      </c>
      <c r="M40" s="45">
        <v>0</v>
      </c>
      <c r="N40" s="45">
        <f t="shared" si="5"/>
        <v>1548183</v>
      </c>
      <c r="O40" s="46">
        <f t="shared" si="6"/>
        <v>1.3295686712325827</v>
      </c>
      <c r="P40" s="9"/>
    </row>
    <row r="41" spans="1:16">
      <c r="A41" s="11"/>
      <c r="B41" s="24">
        <v>335.12</v>
      </c>
      <c r="C41" s="19" t="s">
        <v>48</v>
      </c>
      <c r="D41" s="45">
        <v>22295116</v>
      </c>
      <c r="E41" s="45">
        <v>6752474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f t="shared" si="5"/>
        <v>29047590</v>
      </c>
      <c r="O41" s="46">
        <f t="shared" si="6"/>
        <v>24.945865985357578</v>
      </c>
      <c r="P41" s="9"/>
    </row>
    <row r="42" spans="1:16">
      <c r="A42" s="11"/>
      <c r="B42" s="24">
        <v>335.13</v>
      </c>
      <c r="C42" s="19" t="s">
        <v>49</v>
      </c>
      <c r="D42" s="45">
        <v>270102</v>
      </c>
      <c r="E42" s="45">
        <v>0</v>
      </c>
      <c r="F42" s="45">
        <v>0</v>
      </c>
      <c r="G42" s="45">
        <v>0</v>
      </c>
      <c r="H42" s="45">
        <v>0</v>
      </c>
      <c r="I42" s="45">
        <v>0</v>
      </c>
      <c r="J42" s="45">
        <v>0</v>
      </c>
      <c r="K42" s="45">
        <v>0</v>
      </c>
      <c r="L42" s="45">
        <v>0</v>
      </c>
      <c r="M42" s="45">
        <v>0</v>
      </c>
      <c r="N42" s="45">
        <f t="shared" si="5"/>
        <v>270102</v>
      </c>
      <c r="O42" s="46">
        <f t="shared" si="6"/>
        <v>0.23196169783369475</v>
      </c>
      <c r="P42" s="9"/>
    </row>
    <row r="43" spans="1:16">
      <c r="A43" s="11"/>
      <c r="B43" s="24">
        <v>335.14</v>
      </c>
      <c r="C43" s="19" t="s">
        <v>50</v>
      </c>
      <c r="D43" s="45">
        <v>422714</v>
      </c>
      <c r="E43" s="45">
        <v>0</v>
      </c>
      <c r="F43" s="45">
        <v>0</v>
      </c>
      <c r="G43" s="45">
        <v>0</v>
      </c>
      <c r="H43" s="45">
        <v>0</v>
      </c>
      <c r="I43" s="45">
        <v>0</v>
      </c>
      <c r="J43" s="45">
        <v>0</v>
      </c>
      <c r="K43" s="45">
        <v>0</v>
      </c>
      <c r="L43" s="45">
        <v>0</v>
      </c>
      <c r="M43" s="45">
        <v>0</v>
      </c>
      <c r="N43" s="45">
        <f t="shared" si="5"/>
        <v>422714</v>
      </c>
      <c r="O43" s="46">
        <f t="shared" si="6"/>
        <v>0.36302381003499579</v>
      </c>
      <c r="P43" s="9"/>
    </row>
    <row r="44" spans="1:16">
      <c r="A44" s="11"/>
      <c r="B44" s="24">
        <v>335.15</v>
      </c>
      <c r="C44" s="19" t="s">
        <v>51</v>
      </c>
      <c r="D44" s="45">
        <v>379176</v>
      </c>
      <c r="E44" s="45">
        <v>0</v>
      </c>
      <c r="F44" s="45">
        <v>0</v>
      </c>
      <c r="G44" s="45">
        <v>0</v>
      </c>
      <c r="H44" s="45">
        <v>0</v>
      </c>
      <c r="I44" s="45">
        <v>0</v>
      </c>
      <c r="J44" s="45">
        <v>0</v>
      </c>
      <c r="K44" s="45">
        <v>0</v>
      </c>
      <c r="L44" s="45">
        <v>0</v>
      </c>
      <c r="M44" s="45">
        <v>0</v>
      </c>
      <c r="N44" s="45">
        <f t="shared" si="5"/>
        <v>379176</v>
      </c>
      <c r="O44" s="46">
        <f t="shared" si="6"/>
        <v>0.32563368186014557</v>
      </c>
      <c r="P44" s="9"/>
    </row>
    <row r="45" spans="1:16">
      <c r="A45" s="11"/>
      <c r="B45" s="24">
        <v>335.16</v>
      </c>
      <c r="C45" s="19" t="s">
        <v>52</v>
      </c>
      <c r="D45" s="45">
        <v>446500</v>
      </c>
      <c r="E45" s="45">
        <v>0</v>
      </c>
      <c r="F45" s="45">
        <v>0</v>
      </c>
      <c r="G45" s="45">
        <v>0</v>
      </c>
      <c r="H45" s="45">
        <v>0</v>
      </c>
      <c r="I45" s="45">
        <v>0</v>
      </c>
      <c r="J45" s="45">
        <v>0</v>
      </c>
      <c r="K45" s="45">
        <v>0</v>
      </c>
      <c r="L45" s="45">
        <v>0</v>
      </c>
      <c r="M45" s="45">
        <v>0</v>
      </c>
      <c r="N45" s="45">
        <f t="shared" si="5"/>
        <v>446500</v>
      </c>
      <c r="O45" s="46">
        <f t="shared" si="6"/>
        <v>0.38345105953582242</v>
      </c>
      <c r="P45" s="9"/>
    </row>
    <row r="46" spans="1:16">
      <c r="A46" s="11"/>
      <c r="B46" s="24">
        <v>335.17</v>
      </c>
      <c r="C46" s="19" t="s">
        <v>53</v>
      </c>
      <c r="D46" s="45">
        <v>12830</v>
      </c>
      <c r="E46" s="45">
        <v>0</v>
      </c>
      <c r="F46" s="45">
        <v>0</v>
      </c>
      <c r="G46" s="45">
        <v>0</v>
      </c>
      <c r="H46" s="45">
        <v>0</v>
      </c>
      <c r="I46" s="45">
        <v>0</v>
      </c>
      <c r="J46" s="45">
        <v>0</v>
      </c>
      <c r="K46" s="45">
        <v>0</v>
      </c>
      <c r="L46" s="45">
        <v>0</v>
      </c>
      <c r="M46" s="45">
        <v>0</v>
      </c>
      <c r="N46" s="45">
        <f t="shared" si="5"/>
        <v>12830</v>
      </c>
      <c r="O46" s="46">
        <f t="shared" si="6"/>
        <v>1.1018313760010305E-2</v>
      </c>
      <c r="P46" s="9"/>
    </row>
    <row r="47" spans="1:16">
      <c r="A47" s="11"/>
      <c r="B47" s="24">
        <v>335.18</v>
      </c>
      <c r="C47" s="19" t="s">
        <v>54</v>
      </c>
      <c r="D47" s="45">
        <v>0</v>
      </c>
      <c r="E47" s="45">
        <v>94754257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f t="shared" si="5"/>
        <v>94754257</v>
      </c>
      <c r="O47" s="46">
        <f t="shared" si="6"/>
        <v>81.37428945616935</v>
      </c>
      <c r="P47" s="9"/>
    </row>
    <row r="48" spans="1:16">
      <c r="A48" s="11"/>
      <c r="B48" s="24">
        <v>335.21</v>
      </c>
      <c r="C48" s="19" t="s">
        <v>55</v>
      </c>
      <c r="D48" s="45">
        <v>170023</v>
      </c>
      <c r="E48" s="45">
        <v>0</v>
      </c>
      <c r="F48" s="45">
        <v>0</v>
      </c>
      <c r="G48" s="45">
        <v>0</v>
      </c>
      <c r="H48" s="45">
        <v>0</v>
      </c>
      <c r="I48" s="45">
        <v>0</v>
      </c>
      <c r="J48" s="45">
        <v>0</v>
      </c>
      <c r="K48" s="45">
        <v>0</v>
      </c>
      <c r="L48" s="45">
        <v>0</v>
      </c>
      <c r="M48" s="45">
        <v>0</v>
      </c>
      <c r="N48" s="45">
        <f t="shared" si="5"/>
        <v>170023</v>
      </c>
      <c r="O48" s="46">
        <f t="shared" si="6"/>
        <v>0.14601455654078194</v>
      </c>
      <c r="P48" s="9"/>
    </row>
    <row r="49" spans="1:16">
      <c r="A49" s="11"/>
      <c r="B49" s="24">
        <v>335.22</v>
      </c>
      <c r="C49" s="19" t="s">
        <v>56</v>
      </c>
      <c r="D49" s="45">
        <v>0</v>
      </c>
      <c r="E49" s="45">
        <v>3069974</v>
      </c>
      <c r="F49" s="45">
        <v>0</v>
      </c>
      <c r="G49" s="45">
        <v>0</v>
      </c>
      <c r="H49" s="45">
        <v>0</v>
      </c>
      <c r="I49" s="45">
        <v>0</v>
      </c>
      <c r="J49" s="45">
        <v>0</v>
      </c>
      <c r="K49" s="45">
        <v>0</v>
      </c>
      <c r="L49" s="45">
        <v>0</v>
      </c>
      <c r="M49" s="45">
        <v>0</v>
      </c>
      <c r="N49" s="45">
        <f t="shared" si="5"/>
        <v>3069974</v>
      </c>
      <c r="O49" s="46">
        <f t="shared" si="6"/>
        <v>2.6364720784936773</v>
      </c>
      <c r="P49" s="9"/>
    </row>
    <row r="50" spans="1:16">
      <c r="A50" s="11"/>
      <c r="B50" s="24">
        <v>335.23</v>
      </c>
      <c r="C50" s="19" t="s">
        <v>57</v>
      </c>
      <c r="D50" s="45">
        <v>1733</v>
      </c>
      <c r="E50" s="45">
        <v>102509</v>
      </c>
      <c r="F50" s="45">
        <v>0</v>
      </c>
      <c r="G50" s="45">
        <v>0</v>
      </c>
      <c r="H50" s="45">
        <v>0</v>
      </c>
      <c r="I50" s="45">
        <v>0</v>
      </c>
      <c r="J50" s="45">
        <v>0</v>
      </c>
      <c r="K50" s="45">
        <v>0</v>
      </c>
      <c r="L50" s="45">
        <v>0</v>
      </c>
      <c r="M50" s="45">
        <v>0</v>
      </c>
      <c r="N50" s="45">
        <f t="shared" si="5"/>
        <v>104242</v>
      </c>
      <c r="O50" s="46">
        <f t="shared" si="6"/>
        <v>8.9522296412392385E-2</v>
      </c>
      <c r="P50" s="9"/>
    </row>
    <row r="51" spans="1:16">
      <c r="A51" s="11"/>
      <c r="B51" s="24">
        <v>335.39</v>
      </c>
      <c r="C51" s="19" t="s">
        <v>58</v>
      </c>
      <c r="D51" s="45">
        <v>-16</v>
      </c>
      <c r="E51" s="45">
        <v>1470647</v>
      </c>
      <c r="F51" s="45">
        <v>0</v>
      </c>
      <c r="G51" s="45">
        <v>0</v>
      </c>
      <c r="H51" s="45">
        <v>0</v>
      </c>
      <c r="I51" s="45">
        <v>0</v>
      </c>
      <c r="J51" s="45">
        <v>0</v>
      </c>
      <c r="K51" s="45">
        <v>0</v>
      </c>
      <c r="L51" s="45">
        <v>0</v>
      </c>
      <c r="M51" s="45">
        <v>0</v>
      </c>
      <c r="N51" s="45">
        <f t="shared" si="5"/>
        <v>1470631</v>
      </c>
      <c r="O51" s="46">
        <f t="shared" si="6"/>
        <v>1.262967559095691</v>
      </c>
      <c r="P51" s="9"/>
    </row>
    <row r="52" spans="1:16">
      <c r="A52" s="11"/>
      <c r="B52" s="24">
        <v>335.49</v>
      </c>
      <c r="C52" s="19" t="s">
        <v>59</v>
      </c>
      <c r="D52" s="45">
        <v>0</v>
      </c>
      <c r="E52" s="45">
        <v>16903859</v>
      </c>
      <c r="F52" s="45">
        <v>0</v>
      </c>
      <c r="G52" s="45">
        <v>0</v>
      </c>
      <c r="H52" s="45">
        <v>0</v>
      </c>
      <c r="I52" s="45">
        <v>0</v>
      </c>
      <c r="J52" s="45">
        <v>0</v>
      </c>
      <c r="K52" s="45">
        <v>0</v>
      </c>
      <c r="L52" s="45">
        <v>0</v>
      </c>
      <c r="M52" s="45">
        <v>0</v>
      </c>
      <c r="N52" s="45">
        <f t="shared" si="5"/>
        <v>16903859</v>
      </c>
      <c r="O52" s="46">
        <f t="shared" si="6"/>
        <v>14.516915215664383</v>
      </c>
      <c r="P52" s="9"/>
    </row>
    <row r="53" spans="1:16">
      <c r="A53" s="11"/>
      <c r="B53" s="24">
        <v>335.5</v>
      </c>
      <c r="C53" s="19" t="s">
        <v>60</v>
      </c>
      <c r="D53" s="45">
        <v>0</v>
      </c>
      <c r="E53" s="45">
        <v>7467585</v>
      </c>
      <c r="F53" s="45">
        <v>0</v>
      </c>
      <c r="G53" s="45">
        <v>0</v>
      </c>
      <c r="H53" s="45">
        <v>0</v>
      </c>
      <c r="I53" s="45">
        <v>0</v>
      </c>
      <c r="J53" s="45">
        <v>0</v>
      </c>
      <c r="K53" s="45">
        <v>0</v>
      </c>
      <c r="L53" s="45">
        <v>0</v>
      </c>
      <c r="M53" s="45">
        <v>0</v>
      </c>
      <c r="N53" s="45">
        <f t="shared" si="5"/>
        <v>7467585</v>
      </c>
      <c r="O53" s="46">
        <f t="shared" si="6"/>
        <v>6.4131094746334032</v>
      </c>
      <c r="P53" s="9"/>
    </row>
    <row r="54" spans="1:16">
      <c r="A54" s="11"/>
      <c r="B54" s="24">
        <v>335.69</v>
      </c>
      <c r="C54" s="19" t="s">
        <v>61</v>
      </c>
      <c r="D54" s="45">
        <v>50799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479000</v>
      </c>
      <c r="K54" s="45">
        <v>0</v>
      </c>
      <c r="L54" s="45">
        <v>0</v>
      </c>
      <c r="M54" s="45">
        <v>0</v>
      </c>
      <c r="N54" s="45">
        <f t="shared" si="5"/>
        <v>529799</v>
      </c>
      <c r="O54" s="46">
        <f t="shared" si="6"/>
        <v>0.45498765485110676</v>
      </c>
      <c r="P54" s="9"/>
    </row>
    <row r="55" spans="1:16">
      <c r="A55" s="11"/>
      <c r="B55" s="24">
        <v>335.7</v>
      </c>
      <c r="C55" s="19" t="s">
        <v>62</v>
      </c>
      <c r="D55" s="45">
        <v>0</v>
      </c>
      <c r="E55" s="45">
        <v>2307628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f t="shared" si="5"/>
        <v>2307628</v>
      </c>
      <c r="O55" s="46">
        <f t="shared" si="6"/>
        <v>1.9817746956652424</v>
      </c>
      <c r="P55" s="9"/>
    </row>
    <row r="56" spans="1:16">
      <c r="A56" s="11"/>
      <c r="B56" s="24">
        <v>337.2</v>
      </c>
      <c r="C56" s="19" t="s">
        <v>65</v>
      </c>
      <c r="D56" s="45">
        <v>0</v>
      </c>
      <c r="E56" s="45">
        <v>84157</v>
      </c>
      <c r="F56" s="45">
        <v>0</v>
      </c>
      <c r="G56" s="45">
        <v>0</v>
      </c>
      <c r="H56" s="45">
        <v>0</v>
      </c>
      <c r="I56" s="45">
        <v>0</v>
      </c>
      <c r="J56" s="45">
        <v>0</v>
      </c>
      <c r="K56" s="45">
        <v>0</v>
      </c>
      <c r="L56" s="45">
        <v>0</v>
      </c>
      <c r="M56" s="45">
        <v>0</v>
      </c>
      <c r="N56" s="45">
        <f t="shared" ref="N56:N61" si="7">SUM(D56:M56)</f>
        <v>84157</v>
      </c>
      <c r="O56" s="46">
        <f t="shared" si="6"/>
        <v>7.2273439680529017E-2</v>
      </c>
      <c r="P56" s="9"/>
    </row>
    <row r="57" spans="1:16">
      <c r="A57" s="11"/>
      <c r="B57" s="24">
        <v>337.3</v>
      </c>
      <c r="C57" s="19" t="s">
        <v>66</v>
      </c>
      <c r="D57" s="45">
        <v>0</v>
      </c>
      <c r="E57" s="45">
        <v>605283</v>
      </c>
      <c r="F57" s="45">
        <v>0</v>
      </c>
      <c r="G57" s="45">
        <v>0</v>
      </c>
      <c r="H57" s="45">
        <v>0</v>
      </c>
      <c r="I57" s="45">
        <v>0</v>
      </c>
      <c r="J57" s="45">
        <v>0</v>
      </c>
      <c r="K57" s="45">
        <v>0</v>
      </c>
      <c r="L57" s="45">
        <v>0</v>
      </c>
      <c r="M57" s="45">
        <v>0</v>
      </c>
      <c r="N57" s="45">
        <f t="shared" si="7"/>
        <v>605283</v>
      </c>
      <c r="O57" s="46">
        <f t="shared" si="6"/>
        <v>0.51981278313330614</v>
      </c>
      <c r="P57" s="9"/>
    </row>
    <row r="58" spans="1:16">
      <c r="A58" s="11"/>
      <c r="B58" s="24">
        <v>337.6</v>
      </c>
      <c r="C58" s="19" t="s">
        <v>211</v>
      </c>
      <c r="D58" s="45">
        <v>0</v>
      </c>
      <c r="E58" s="45">
        <v>672</v>
      </c>
      <c r="F58" s="45">
        <v>0</v>
      </c>
      <c r="G58" s="45">
        <v>0</v>
      </c>
      <c r="H58" s="45">
        <v>0</v>
      </c>
      <c r="I58" s="45">
        <v>0</v>
      </c>
      <c r="J58" s="45">
        <v>0</v>
      </c>
      <c r="K58" s="45">
        <v>0</v>
      </c>
      <c r="L58" s="45">
        <v>0</v>
      </c>
      <c r="M58" s="45">
        <v>0</v>
      </c>
      <c r="N58" s="45">
        <f t="shared" si="7"/>
        <v>672</v>
      </c>
      <c r="O58" s="46">
        <f t="shared" si="6"/>
        <v>5.7710887347832624E-4</v>
      </c>
      <c r="P58" s="9"/>
    </row>
    <row r="59" spans="1:16">
      <c r="A59" s="11"/>
      <c r="B59" s="24">
        <v>337.9</v>
      </c>
      <c r="C59" s="19" t="s">
        <v>69</v>
      </c>
      <c r="D59" s="45">
        <v>0</v>
      </c>
      <c r="E59" s="45">
        <v>-921</v>
      </c>
      <c r="F59" s="45">
        <v>0</v>
      </c>
      <c r="G59" s="45">
        <v>0</v>
      </c>
      <c r="H59" s="45">
        <v>0</v>
      </c>
      <c r="I59" s="45">
        <v>0</v>
      </c>
      <c r="J59" s="45">
        <v>0</v>
      </c>
      <c r="K59" s="45">
        <v>0</v>
      </c>
      <c r="L59" s="45">
        <v>0</v>
      </c>
      <c r="M59" s="45">
        <v>0</v>
      </c>
      <c r="N59" s="45">
        <f t="shared" si="7"/>
        <v>-921</v>
      </c>
      <c r="O59" s="46">
        <f t="shared" si="6"/>
        <v>-7.9094832213324172E-4</v>
      </c>
      <c r="P59" s="9"/>
    </row>
    <row r="60" spans="1:16" ht="15.75">
      <c r="A60" s="28" t="s">
        <v>75</v>
      </c>
      <c r="B60" s="29"/>
      <c r="C60" s="30"/>
      <c r="D60" s="31">
        <f t="shared" ref="D60:M60" si="8">SUM(D61:D115)</f>
        <v>66592158</v>
      </c>
      <c r="E60" s="31">
        <f t="shared" si="8"/>
        <v>104163453</v>
      </c>
      <c r="F60" s="31">
        <f t="shared" si="8"/>
        <v>0</v>
      </c>
      <c r="G60" s="31">
        <f t="shared" si="8"/>
        <v>0</v>
      </c>
      <c r="H60" s="31">
        <f t="shared" si="8"/>
        <v>0</v>
      </c>
      <c r="I60" s="31">
        <f t="shared" si="8"/>
        <v>269771000</v>
      </c>
      <c r="J60" s="31">
        <f t="shared" si="8"/>
        <v>125777000</v>
      </c>
      <c r="K60" s="31">
        <f t="shared" si="8"/>
        <v>0</v>
      </c>
      <c r="L60" s="31">
        <f t="shared" si="8"/>
        <v>0</v>
      </c>
      <c r="M60" s="31">
        <f t="shared" si="8"/>
        <v>2270000</v>
      </c>
      <c r="N60" s="31">
        <f t="shared" si="7"/>
        <v>568573611</v>
      </c>
      <c r="O60" s="44">
        <f t="shared" si="6"/>
        <v>488.28701805612212</v>
      </c>
      <c r="P60" s="10"/>
    </row>
    <row r="61" spans="1:16">
      <c r="A61" s="11"/>
      <c r="B61" s="24">
        <v>341.1</v>
      </c>
      <c r="C61" s="19" t="s">
        <v>78</v>
      </c>
      <c r="D61" s="45">
        <v>0</v>
      </c>
      <c r="E61" s="45">
        <v>16989263</v>
      </c>
      <c r="F61" s="45">
        <v>0</v>
      </c>
      <c r="G61" s="45">
        <v>0</v>
      </c>
      <c r="H61" s="45">
        <v>0</v>
      </c>
      <c r="I61" s="45">
        <v>0</v>
      </c>
      <c r="J61" s="45">
        <v>0</v>
      </c>
      <c r="K61" s="45">
        <v>0</v>
      </c>
      <c r="L61" s="45">
        <v>0</v>
      </c>
      <c r="M61" s="45">
        <v>0</v>
      </c>
      <c r="N61" s="45">
        <f t="shared" si="7"/>
        <v>16989263</v>
      </c>
      <c r="O61" s="46">
        <f t="shared" si="6"/>
        <v>14.590259570174121</v>
      </c>
      <c r="P61" s="9"/>
    </row>
    <row r="62" spans="1:16">
      <c r="A62" s="11"/>
      <c r="B62" s="24">
        <v>341.15</v>
      </c>
      <c r="C62" s="19" t="s">
        <v>79</v>
      </c>
      <c r="D62" s="45">
        <v>0</v>
      </c>
      <c r="E62" s="45">
        <v>4577739</v>
      </c>
      <c r="F62" s="45">
        <v>0</v>
      </c>
      <c r="G62" s="45">
        <v>0</v>
      </c>
      <c r="H62" s="45">
        <v>0</v>
      </c>
      <c r="I62" s="45">
        <v>0</v>
      </c>
      <c r="J62" s="45">
        <v>0</v>
      </c>
      <c r="K62" s="45">
        <v>0</v>
      </c>
      <c r="L62" s="45">
        <v>0</v>
      </c>
      <c r="M62" s="45">
        <v>0</v>
      </c>
      <c r="N62" s="45">
        <f t="shared" ref="N62:N115" si="9">SUM(D62:M62)</f>
        <v>4577739</v>
      </c>
      <c r="O62" s="46">
        <f t="shared" si="6"/>
        <v>3.9313300556068445</v>
      </c>
      <c r="P62" s="9"/>
    </row>
    <row r="63" spans="1:16">
      <c r="A63" s="11"/>
      <c r="B63" s="24">
        <v>341.2</v>
      </c>
      <c r="C63" s="19" t="s">
        <v>81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125777000</v>
      </c>
      <c r="K63" s="45">
        <v>0</v>
      </c>
      <c r="L63" s="45">
        <v>0</v>
      </c>
      <c r="M63" s="45">
        <v>0</v>
      </c>
      <c r="N63" s="45">
        <f t="shared" si="9"/>
        <v>125777000</v>
      </c>
      <c r="O63" s="46">
        <f t="shared" si="6"/>
        <v>108.01640294565988</v>
      </c>
      <c r="P63" s="9"/>
    </row>
    <row r="64" spans="1:16">
      <c r="A64" s="11"/>
      <c r="B64" s="24">
        <v>341.52</v>
      </c>
      <c r="C64" s="19" t="s">
        <v>83</v>
      </c>
      <c r="D64" s="45">
        <v>2006806</v>
      </c>
      <c r="E64" s="45">
        <v>0</v>
      </c>
      <c r="F64" s="45">
        <v>0</v>
      </c>
      <c r="G64" s="45">
        <v>0</v>
      </c>
      <c r="H64" s="45">
        <v>0</v>
      </c>
      <c r="I64" s="45">
        <v>0</v>
      </c>
      <c r="J64" s="45">
        <v>0</v>
      </c>
      <c r="K64" s="45">
        <v>0</v>
      </c>
      <c r="L64" s="45">
        <v>0</v>
      </c>
      <c r="M64" s="45">
        <v>0</v>
      </c>
      <c r="N64" s="45">
        <f t="shared" si="9"/>
        <v>2006806</v>
      </c>
      <c r="O64" s="46">
        <f t="shared" si="6"/>
        <v>1.72343087790111</v>
      </c>
      <c r="P64" s="9"/>
    </row>
    <row r="65" spans="1:16">
      <c r="A65" s="11"/>
      <c r="B65" s="24">
        <v>341.55</v>
      </c>
      <c r="C65" s="19" t="s">
        <v>84</v>
      </c>
      <c r="D65" s="45">
        <v>37412</v>
      </c>
      <c r="E65" s="45">
        <v>0</v>
      </c>
      <c r="F65" s="45">
        <v>0</v>
      </c>
      <c r="G65" s="45">
        <v>0</v>
      </c>
      <c r="H65" s="45">
        <v>0</v>
      </c>
      <c r="I65" s="45">
        <v>0</v>
      </c>
      <c r="J65" s="45">
        <v>0</v>
      </c>
      <c r="K65" s="45">
        <v>0</v>
      </c>
      <c r="L65" s="45">
        <v>0</v>
      </c>
      <c r="M65" s="45">
        <v>0</v>
      </c>
      <c r="N65" s="45">
        <f t="shared" si="9"/>
        <v>37412</v>
      </c>
      <c r="O65" s="46">
        <f t="shared" si="6"/>
        <v>3.2129162462159432E-2</v>
      </c>
      <c r="P65" s="9"/>
    </row>
    <row r="66" spans="1:16">
      <c r="A66" s="11"/>
      <c r="B66" s="24">
        <v>341.8</v>
      </c>
      <c r="C66" s="19" t="s">
        <v>85</v>
      </c>
      <c r="D66" s="45">
        <v>0</v>
      </c>
      <c r="E66" s="45">
        <v>16594419</v>
      </c>
      <c r="F66" s="45">
        <v>0</v>
      </c>
      <c r="G66" s="45">
        <v>0</v>
      </c>
      <c r="H66" s="45">
        <v>0</v>
      </c>
      <c r="I66" s="45">
        <v>0</v>
      </c>
      <c r="J66" s="45">
        <v>0</v>
      </c>
      <c r="K66" s="45">
        <v>0</v>
      </c>
      <c r="L66" s="45">
        <v>0</v>
      </c>
      <c r="M66" s="45">
        <v>0</v>
      </c>
      <c r="N66" s="45">
        <f t="shared" si="9"/>
        <v>16594419</v>
      </c>
      <c r="O66" s="46">
        <f t="shared" si="6"/>
        <v>14.251170320115078</v>
      </c>
      <c r="P66" s="9"/>
    </row>
    <row r="67" spans="1:16">
      <c r="A67" s="11"/>
      <c r="B67" s="24">
        <v>341.9</v>
      </c>
      <c r="C67" s="19" t="s">
        <v>86</v>
      </c>
      <c r="D67" s="45">
        <v>38717671</v>
      </c>
      <c r="E67" s="45">
        <v>4538933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>
        <v>1739792</v>
      </c>
      <c r="N67" s="45">
        <f t="shared" si="9"/>
        <v>44996396</v>
      </c>
      <c r="O67" s="46">
        <f t="shared" si="6"/>
        <v>38.642588402000989</v>
      </c>
      <c r="P67" s="9"/>
    </row>
    <row r="68" spans="1:16">
      <c r="A68" s="11"/>
      <c r="B68" s="24">
        <v>342.1</v>
      </c>
      <c r="C68" s="19" t="s">
        <v>87</v>
      </c>
      <c r="D68" s="45">
        <v>2368505</v>
      </c>
      <c r="E68" s="45">
        <v>0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</v>
      </c>
      <c r="L68" s="45">
        <v>0</v>
      </c>
      <c r="M68" s="45">
        <v>0</v>
      </c>
      <c r="N68" s="45">
        <f t="shared" si="9"/>
        <v>2368505</v>
      </c>
      <c r="O68" s="46">
        <f t="shared" si="6"/>
        <v>2.0340554350859867</v>
      </c>
      <c r="P68" s="9"/>
    </row>
    <row r="69" spans="1:16">
      <c r="A69" s="11"/>
      <c r="B69" s="24">
        <v>342.2</v>
      </c>
      <c r="C69" s="19" t="s">
        <v>88</v>
      </c>
      <c r="D69" s="45">
        <v>1779783</v>
      </c>
      <c r="E69" s="45">
        <v>0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5">
        <v>0</v>
      </c>
      <c r="L69" s="45">
        <v>0</v>
      </c>
      <c r="M69" s="45">
        <v>0</v>
      </c>
      <c r="N69" s="45">
        <f t="shared" si="9"/>
        <v>1779783</v>
      </c>
      <c r="O69" s="46">
        <f t="shared" ref="O69:O100" si="10">(N69/O$153)</f>
        <v>1.5284651222706487</v>
      </c>
      <c r="P69" s="9"/>
    </row>
    <row r="70" spans="1:16">
      <c r="A70" s="11"/>
      <c r="B70" s="24">
        <v>342.3</v>
      </c>
      <c r="C70" s="19" t="s">
        <v>89</v>
      </c>
      <c r="D70" s="45">
        <v>182026</v>
      </c>
      <c r="E70" s="45">
        <v>0</v>
      </c>
      <c r="F70" s="45">
        <v>0</v>
      </c>
      <c r="G70" s="45">
        <v>0</v>
      </c>
      <c r="H70" s="45">
        <v>0</v>
      </c>
      <c r="I70" s="45">
        <v>0</v>
      </c>
      <c r="J70" s="45">
        <v>0</v>
      </c>
      <c r="K70" s="45">
        <v>0</v>
      </c>
      <c r="L70" s="45">
        <v>0</v>
      </c>
      <c r="M70" s="45">
        <v>0</v>
      </c>
      <c r="N70" s="45">
        <f t="shared" si="9"/>
        <v>182026</v>
      </c>
      <c r="O70" s="46">
        <f t="shared" si="10"/>
        <v>0.15632264851750863</v>
      </c>
      <c r="P70" s="9"/>
    </row>
    <row r="71" spans="1:16">
      <c r="A71" s="11"/>
      <c r="B71" s="24">
        <v>342.4</v>
      </c>
      <c r="C71" s="19" t="s">
        <v>269</v>
      </c>
      <c r="D71" s="45">
        <v>0</v>
      </c>
      <c r="E71" s="45">
        <v>3589360</v>
      </c>
      <c r="F71" s="45">
        <v>0</v>
      </c>
      <c r="G71" s="45">
        <v>0</v>
      </c>
      <c r="H71" s="45">
        <v>0</v>
      </c>
      <c r="I71" s="45">
        <v>0</v>
      </c>
      <c r="J71" s="45">
        <v>0</v>
      </c>
      <c r="K71" s="45">
        <v>0</v>
      </c>
      <c r="L71" s="45">
        <v>0</v>
      </c>
      <c r="M71" s="45">
        <v>0</v>
      </c>
      <c r="N71" s="45">
        <f t="shared" si="9"/>
        <v>3589360</v>
      </c>
      <c r="O71" s="46">
        <f t="shared" si="10"/>
        <v>3.0825171221847691</v>
      </c>
      <c r="P71" s="9"/>
    </row>
    <row r="72" spans="1:16">
      <c r="A72" s="11"/>
      <c r="B72" s="24">
        <v>342.5</v>
      </c>
      <c r="C72" s="19" t="s">
        <v>90</v>
      </c>
      <c r="D72" s="45">
        <v>215453</v>
      </c>
      <c r="E72" s="45">
        <v>0</v>
      </c>
      <c r="F72" s="45">
        <v>0</v>
      </c>
      <c r="G72" s="45">
        <v>0</v>
      </c>
      <c r="H72" s="45">
        <v>0</v>
      </c>
      <c r="I72" s="45">
        <v>0</v>
      </c>
      <c r="J72" s="45">
        <v>0</v>
      </c>
      <c r="K72" s="45">
        <v>0</v>
      </c>
      <c r="L72" s="45">
        <v>0</v>
      </c>
      <c r="M72" s="45">
        <v>0</v>
      </c>
      <c r="N72" s="45">
        <f t="shared" si="9"/>
        <v>215453</v>
      </c>
      <c r="O72" s="46">
        <f t="shared" si="10"/>
        <v>0.18502952100822295</v>
      </c>
      <c r="P72" s="9"/>
    </row>
    <row r="73" spans="1:16">
      <c r="A73" s="11"/>
      <c r="B73" s="24">
        <v>342.6</v>
      </c>
      <c r="C73" s="19" t="s">
        <v>91</v>
      </c>
      <c r="D73" s="45">
        <v>9550530</v>
      </c>
      <c r="E73" s="45">
        <v>0</v>
      </c>
      <c r="F73" s="45">
        <v>0</v>
      </c>
      <c r="G73" s="45">
        <v>0</v>
      </c>
      <c r="H73" s="45">
        <v>0</v>
      </c>
      <c r="I73" s="45">
        <v>0</v>
      </c>
      <c r="J73" s="45">
        <v>0</v>
      </c>
      <c r="K73" s="45">
        <v>0</v>
      </c>
      <c r="L73" s="45">
        <v>0</v>
      </c>
      <c r="M73" s="45">
        <v>0</v>
      </c>
      <c r="N73" s="45">
        <f t="shared" si="9"/>
        <v>9550530</v>
      </c>
      <c r="O73" s="46">
        <f t="shared" si="10"/>
        <v>8.2019279902097608</v>
      </c>
      <c r="P73" s="9"/>
    </row>
    <row r="74" spans="1:16">
      <c r="A74" s="11"/>
      <c r="B74" s="24">
        <v>342.9</v>
      </c>
      <c r="C74" s="19" t="s">
        <v>92</v>
      </c>
      <c r="D74" s="45">
        <v>395930</v>
      </c>
      <c r="E74" s="45">
        <v>378786</v>
      </c>
      <c r="F74" s="45">
        <v>0</v>
      </c>
      <c r="G74" s="45">
        <v>0</v>
      </c>
      <c r="H74" s="45">
        <v>0</v>
      </c>
      <c r="I74" s="45">
        <v>0</v>
      </c>
      <c r="J74" s="45">
        <v>0</v>
      </c>
      <c r="K74" s="45">
        <v>0</v>
      </c>
      <c r="L74" s="45">
        <v>0</v>
      </c>
      <c r="M74" s="45">
        <v>0</v>
      </c>
      <c r="N74" s="45">
        <f t="shared" si="9"/>
        <v>774716</v>
      </c>
      <c r="O74" s="46">
        <f t="shared" si="10"/>
        <v>0.66532065182386158</v>
      </c>
      <c r="P74" s="9"/>
    </row>
    <row r="75" spans="1:16">
      <c r="A75" s="11"/>
      <c r="B75" s="24">
        <v>343.4</v>
      </c>
      <c r="C75" s="19" t="s">
        <v>93</v>
      </c>
      <c r="D75" s="45">
        <v>0</v>
      </c>
      <c r="E75" s="45">
        <v>0</v>
      </c>
      <c r="F75" s="45">
        <v>0</v>
      </c>
      <c r="G75" s="45">
        <v>0</v>
      </c>
      <c r="H75" s="45">
        <v>0</v>
      </c>
      <c r="I75" s="45">
        <v>81651000</v>
      </c>
      <c r="J75" s="45">
        <v>0</v>
      </c>
      <c r="K75" s="45">
        <v>0</v>
      </c>
      <c r="L75" s="45">
        <v>0</v>
      </c>
      <c r="M75" s="45">
        <v>0</v>
      </c>
      <c r="N75" s="45">
        <f t="shared" si="9"/>
        <v>81651000</v>
      </c>
      <c r="O75" s="46">
        <f t="shared" si="10"/>
        <v>70.121304506516097</v>
      </c>
      <c r="P75" s="9"/>
    </row>
    <row r="76" spans="1:16">
      <c r="A76" s="11"/>
      <c r="B76" s="24">
        <v>343.6</v>
      </c>
      <c r="C76" s="19" t="s">
        <v>94</v>
      </c>
      <c r="D76" s="45">
        <v>0</v>
      </c>
      <c r="E76" s="45">
        <v>0</v>
      </c>
      <c r="F76" s="45">
        <v>0</v>
      </c>
      <c r="G76" s="45">
        <v>0</v>
      </c>
      <c r="H76" s="45">
        <v>0</v>
      </c>
      <c r="I76" s="45">
        <v>188120000</v>
      </c>
      <c r="J76" s="45">
        <v>0</v>
      </c>
      <c r="K76" s="45">
        <v>0</v>
      </c>
      <c r="L76" s="45">
        <v>0</v>
      </c>
      <c r="M76" s="45">
        <v>0</v>
      </c>
      <c r="N76" s="45">
        <f t="shared" si="9"/>
        <v>188120000</v>
      </c>
      <c r="O76" s="46">
        <f t="shared" si="10"/>
        <v>161.55613285527193</v>
      </c>
      <c r="P76" s="9"/>
    </row>
    <row r="77" spans="1:16">
      <c r="A77" s="11"/>
      <c r="B77" s="24">
        <v>343.7</v>
      </c>
      <c r="C77" s="19" t="s">
        <v>95</v>
      </c>
      <c r="D77" s="45">
        <v>5024393</v>
      </c>
      <c r="E77" s="45">
        <v>592571</v>
      </c>
      <c r="F77" s="45">
        <v>0</v>
      </c>
      <c r="G77" s="45">
        <v>0</v>
      </c>
      <c r="H77" s="45">
        <v>0</v>
      </c>
      <c r="I77" s="45">
        <v>0</v>
      </c>
      <c r="J77" s="45">
        <v>0</v>
      </c>
      <c r="K77" s="45">
        <v>0</v>
      </c>
      <c r="L77" s="45">
        <v>0</v>
      </c>
      <c r="M77" s="45">
        <v>0</v>
      </c>
      <c r="N77" s="45">
        <f t="shared" si="9"/>
        <v>5616964</v>
      </c>
      <c r="O77" s="46">
        <f t="shared" si="10"/>
        <v>4.8238091762028468</v>
      </c>
      <c r="P77" s="9"/>
    </row>
    <row r="78" spans="1:16">
      <c r="A78" s="11"/>
      <c r="B78" s="24">
        <v>343.9</v>
      </c>
      <c r="C78" s="19" t="s">
        <v>96</v>
      </c>
      <c r="D78" s="45">
        <v>3218377</v>
      </c>
      <c r="E78" s="45">
        <v>309437</v>
      </c>
      <c r="F78" s="45">
        <v>0</v>
      </c>
      <c r="G78" s="45">
        <v>0</v>
      </c>
      <c r="H78" s="45">
        <v>0</v>
      </c>
      <c r="I78" s="45">
        <v>0</v>
      </c>
      <c r="J78" s="45">
        <v>0</v>
      </c>
      <c r="K78" s="45">
        <v>0</v>
      </c>
      <c r="L78" s="45">
        <v>0</v>
      </c>
      <c r="M78" s="45">
        <v>0</v>
      </c>
      <c r="N78" s="45">
        <f t="shared" si="9"/>
        <v>3527814</v>
      </c>
      <c r="O78" s="46">
        <f t="shared" si="10"/>
        <v>3.0296618502694463</v>
      </c>
      <c r="P78" s="9"/>
    </row>
    <row r="79" spans="1:16">
      <c r="A79" s="11"/>
      <c r="B79" s="24">
        <v>344.5</v>
      </c>
      <c r="C79" s="19" t="s">
        <v>97</v>
      </c>
      <c r="D79" s="45">
        <v>786430</v>
      </c>
      <c r="E79" s="45">
        <v>0</v>
      </c>
      <c r="F79" s="45">
        <v>0</v>
      </c>
      <c r="G79" s="45">
        <v>0</v>
      </c>
      <c r="H79" s="45">
        <v>0</v>
      </c>
      <c r="I79" s="45">
        <v>0</v>
      </c>
      <c r="J79" s="45">
        <v>0</v>
      </c>
      <c r="K79" s="45">
        <v>0</v>
      </c>
      <c r="L79" s="45">
        <v>0</v>
      </c>
      <c r="M79" s="45">
        <v>0</v>
      </c>
      <c r="N79" s="45">
        <f t="shared" si="9"/>
        <v>786430</v>
      </c>
      <c r="O79" s="46">
        <f t="shared" si="10"/>
        <v>0.6753805526332739</v>
      </c>
      <c r="P79" s="9"/>
    </row>
    <row r="80" spans="1:16">
      <c r="A80" s="11"/>
      <c r="B80" s="24">
        <v>344.9</v>
      </c>
      <c r="C80" s="19" t="s">
        <v>98</v>
      </c>
      <c r="D80" s="45">
        <v>77569</v>
      </c>
      <c r="E80" s="45">
        <v>4020860</v>
      </c>
      <c r="F80" s="45">
        <v>0</v>
      </c>
      <c r="G80" s="45">
        <v>0</v>
      </c>
      <c r="H80" s="45">
        <v>0</v>
      </c>
      <c r="I80" s="45">
        <v>0</v>
      </c>
      <c r="J80" s="45">
        <v>0</v>
      </c>
      <c r="K80" s="45">
        <v>0</v>
      </c>
      <c r="L80" s="45">
        <v>0</v>
      </c>
      <c r="M80" s="45">
        <v>0</v>
      </c>
      <c r="N80" s="45">
        <f t="shared" si="9"/>
        <v>4098429</v>
      </c>
      <c r="O80" s="46">
        <f t="shared" si="10"/>
        <v>3.5197019988406293</v>
      </c>
      <c r="P80" s="9"/>
    </row>
    <row r="81" spans="1:16">
      <c r="A81" s="11"/>
      <c r="B81" s="24">
        <v>345.1</v>
      </c>
      <c r="C81" s="19" t="s">
        <v>99</v>
      </c>
      <c r="D81" s="45">
        <v>61736</v>
      </c>
      <c r="E81" s="45">
        <v>1218116</v>
      </c>
      <c r="F81" s="45">
        <v>0</v>
      </c>
      <c r="G81" s="45">
        <v>0</v>
      </c>
      <c r="H81" s="45">
        <v>0</v>
      </c>
      <c r="I81" s="45">
        <v>0</v>
      </c>
      <c r="J81" s="45">
        <v>0</v>
      </c>
      <c r="K81" s="45">
        <v>0</v>
      </c>
      <c r="L81" s="45">
        <v>0</v>
      </c>
      <c r="M81" s="45">
        <v>0</v>
      </c>
      <c r="N81" s="45">
        <f t="shared" si="9"/>
        <v>1279852</v>
      </c>
      <c r="O81" s="46">
        <f t="shared" si="10"/>
        <v>1.0991278957425339</v>
      </c>
      <c r="P81" s="9"/>
    </row>
    <row r="82" spans="1:16">
      <c r="A82" s="11"/>
      <c r="B82" s="24">
        <v>345.9</v>
      </c>
      <c r="C82" s="19" t="s">
        <v>100</v>
      </c>
      <c r="D82" s="45">
        <v>141648</v>
      </c>
      <c r="E82" s="45">
        <v>4635261</v>
      </c>
      <c r="F82" s="45">
        <v>0</v>
      </c>
      <c r="G82" s="45">
        <v>0</v>
      </c>
      <c r="H82" s="45">
        <v>0</v>
      </c>
      <c r="I82" s="45">
        <v>0</v>
      </c>
      <c r="J82" s="45">
        <v>0</v>
      </c>
      <c r="K82" s="45">
        <v>0</v>
      </c>
      <c r="L82" s="45">
        <v>0</v>
      </c>
      <c r="M82" s="45">
        <v>0</v>
      </c>
      <c r="N82" s="45">
        <f t="shared" si="9"/>
        <v>4776909</v>
      </c>
      <c r="O82" s="46">
        <f t="shared" si="10"/>
        <v>4.1023758507417822</v>
      </c>
      <c r="P82" s="9"/>
    </row>
    <row r="83" spans="1:16">
      <c r="A83" s="11"/>
      <c r="B83" s="24">
        <v>346.4</v>
      </c>
      <c r="C83" s="19" t="s">
        <v>101</v>
      </c>
      <c r="D83" s="45">
        <v>241842</v>
      </c>
      <c r="E83" s="45">
        <v>0</v>
      </c>
      <c r="F83" s="45">
        <v>0</v>
      </c>
      <c r="G83" s="45">
        <v>0</v>
      </c>
      <c r="H83" s="45">
        <v>0</v>
      </c>
      <c r="I83" s="45">
        <v>0</v>
      </c>
      <c r="J83" s="45">
        <v>0</v>
      </c>
      <c r="K83" s="45">
        <v>0</v>
      </c>
      <c r="L83" s="45">
        <v>0</v>
      </c>
      <c r="M83" s="45">
        <v>0</v>
      </c>
      <c r="N83" s="45">
        <f t="shared" si="9"/>
        <v>241842</v>
      </c>
      <c r="O83" s="46">
        <f t="shared" si="10"/>
        <v>0.20769220860081156</v>
      </c>
      <c r="P83" s="9"/>
    </row>
    <row r="84" spans="1:16">
      <c r="A84" s="11"/>
      <c r="B84" s="24">
        <v>346.9</v>
      </c>
      <c r="C84" s="19" t="s">
        <v>102</v>
      </c>
      <c r="D84" s="45">
        <v>62263</v>
      </c>
      <c r="E84" s="45">
        <v>1557632</v>
      </c>
      <c r="F84" s="45">
        <v>0</v>
      </c>
      <c r="G84" s="45">
        <v>0</v>
      </c>
      <c r="H84" s="45">
        <v>0</v>
      </c>
      <c r="I84" s="45">
        <v>0</v>
      </c>
      <c r="J84" s="45">
        <v>0</v>
      </c>
      <c r="K84" s="45">
        <v>0</v>
      </c>
      <c r="L84" s="45">
        <v>0</v>
      </c>
      <c r="M84" s="45">
        <v>0</v>
      </c>
      <c r="N84" s="45">
        <f t="shared" si="9"/>
        <v>1619895</v>
      </c>
      <c r="O84" s="46">
        <f t="shared" si="10"/>
        <v>1.3911544324451983</v>
      </c>
      <c r="P84" s="9"/>
    </row>
    <row r="85" spans="1:16">
      <c r="A85" s="11"/>
      <c r="B85" s="24">
        <v>347.1</v>
      </c>
      <c r="C85" s="19" t="s">
        <v>103</v>
      </c>
      <c r="D85" s="45">
        <v>0</v>
      </c>
      <c r="E85" s="45">
        <v>20923</v>
      </c>
      <c r="F85" s="45">
        <v>0</v>
      </c>
      <c r="G85" s="45">
        <v>0</v>
      </c>
      <c r="H85" s="45">
        <v>0</v>
      </c>
      <c r="I85" s="45">
        <v>0</v>
      </c>
      <c r="J85" s="45">
        <v>0</v>
      </c>
      <c r="K85" s="45">
        <v>0</v>
      </c>
      <c r="L85" s="45">
        <v>0</v>
      </c>
      <c r="M85" s="45">
        <v>0</v>
      </c>
      <c r="N85" s="45">
        <f t="shared" si="9"/>
        <v>20923</v>
      </c>
      <c r="O85" s="46">
        <f t="shared" si="10"/>
        <v>1.7968525237778303E-2</v>
      </c>
      <c r="P85" s="9"/>
    </row>
    <row r="86" spans="1:16">
      <c r="A86" s="11"/>
      <c r="B86" s="24">
        <v>347.2</v>
      </c>
      <c r="C86" s="19" t="s">
        <v>104</v>
      </c>
      <c r="D86" s="45">
        <v>1268795</v>
      </c>
      <c r="E86" s="45">
        <v>0</v>
      </c>
      <c r="F86" s="45">
        <v>0</v>
      </c>
      <c r="G86" s="45">
        <v>0</v>
      </c>
      <c r="H86" s="45">
        <v>0</v>
      </c>
      <c r="I86" s="45">
        <v>0</v>
      </c>
      <c r="J86" s="45">
        <v>0</v>
      </c>
      <c r="K86" s="45">
        <v>0</v>
      </c>
      <c r="L86" s="45">
        <v>0</v>
      </c>
      <c r="M86" s="45">
        <v>0</v>
      </c>
      <c r="N86" s="45">
        <f t="shared" si="9"/>
        <v>1268795</v>
      </c>
      <c r="O86" s="46">
        <f t="shared" si="10"/>
        <v>1.0896322219121026</v>
      </c>
      <c r="P86" s="9"/>
    </row>
    <row r="87" spans="1:16">
      <c r="A87" s="11"/>
      <c r="B87" s="24">
        <v>347.3</v>
      </c>
      <c r="C87" s="19" t="s">
        <v>183</v>
      </c>
      <c r="D87" s="45">
        <v>1960</v>
      </c>
      <c r="E87" s="45">
        <v>0</v>
      </c>
      <c r="F87" s="45">
        <v>0</v>
      </c>
      <c r="G87" s="45">
        <v>0</v>
      </c>
      <c r="H87" s="45">
        <v>0</v>
      </c>
      <c r="I87" s="45">
        <v>0</v>
      </c>
      <c r="J87" s="45">
        <v>0</v>
      </c>
      <c r="K87" s="45">
        <v>0</v>
      </c>
      <c r="L87" s="45">
        <v>0</v>
      </c>
      <c r="M87" s="45">
        <v>0</v>
      </c>
      <c r="N87" s="45">
        <f t="shared" si="9"/>
        <v>1960</v>
      </c>
      <c r="O87" s="46">
        <f t="shared" si="10"/>
        <v>1.6832342143117847E-3</v>
      </c>
      <c r="P87" s="9"/>
    </row>
    <row r="88" spans="1:16">
      <c r="A88" s="11"/>
      <c r="B88" s="24">
        <v>347.4</v>
      </c>
      <c r="C88" s="19" t="s">
        <v>105</v>
      </c>
      <c r="D88" s="45">
        <v>0</v>
      </c>
      <c r="E88" s="45">
        <v>430691</v>
      </c>
      <c r="F88" s="45">
        <v>0</v>
      </c>
      <c r="G88" s="45">
        <v>0</v>
      </c>
      <c r="H88" s="45">
        <v>0</v>
      </c>
      <c r="I88" s="45">
        <v>0</v>
      </c>
      <c r="J88" s="45">
        <v>0</v>
      </c>
      <c r="K88" s="45">
        <v>0</v>
      </c>
      <c r="L88" s="45">
        <v>0</v>
      </c>
      <c r="M88" s="45">
        <v>0</v>
      </c>
      <c r="N88" s="45">
        <f t="shared" si="9"/>
        <v>430691</v>
      </c>
      <c r="O88" s="46">
        <f t="shared" si="10"/>
        <v>0.36987440152865148</v>
      </c>
      <c r="P88" s="9"/>
    </row>
    <row r="89" spans="1:16">
      <c r="A89" s="11"/>
      <c r="B89" s="24">
        <v>347.5</v>
      </c>
      <c r="C89" s="19" t="s">
        <v>106</v>
      </c>
      <c r="D89" s="45">
        <v>4325</v>
      </c>
      <c r="E89" s="45">
        <v>0</v>
      </c>
      <c r="F89" s="45">
        <v>0</v>
      </c>
      <c r="G89" s="45">
        <v>0</v>
      </c>
      <c r="H89" s="45">
        <v>0</v>
      </c>
      <c r="I89" s="45">
        <v>0</v>
      </c>
      <c r="J89" s="45">
        <v>0</v>
      </c>
      <c r="K89" s="45">
        <v>0</v>
      </c>
      <c r="L89" s="45">
        <v>0</v>
      </c>
      <c r="M89" s="45">
        <v>0</v>
      </c>
      <c r="N89" s="45">
        <f t="shared" si="9"/>
        <v>4325</v>
      </c>
      <c r="O89" s="46">
        <f t="shared" si="10"/>
        <v>3.7142795800502392E-3</v>
      </c>
      <c r="P89" s="9"/>
    </row>
    <row r="90" spans="1:16">
      <c r="A90" s="11"/>
      <c r="B90" s="24">
        <v>347.9</v>
      </c>
      <c r="C90" s="19" t="s">
        <v>107</v>
      </c>
      <c r="D90" s="45">
        <v>125178</v>
      </c>
      <c r="E90" s="45">
        <v>33314</v>
      </c>
      <c r="F90" s="45">
        <v>0</v>
      </c>
      <c r="G90" s="45">
        <v>0</v>
      </c>
      <c r="H90" s="45">
        <v>0</v>
      </c>
      <c r="I90" s="45">
        <v>0</v>
      </c>
      <c r="J90" s="45">
        <v>0</v>
      </c>
      <c r="K90" s="45">
        <v>0</v>
      </c>
      <c r="L90" s="45">
        <v>0</v>
      </c>
      <c r="M90" s="45">
        <v>0</v>
      </c>
      <c r="N90" s="45">
        <f t="shared" si="9"/>
        <v>158492</v>
      </c>
      <c r="O90" s="46">
        <f t="shared" si="10"/>
        <v>0.13611181484423643</v>
      </c>
      <c r="P90" s="9"/>
    </row>
    <row r="91" spans="1:16">
      <c r="A91" s="11"/>
      <c r="B91" s="24">
        <v>348.11</v>
      </c>
      <c r="C91" s="19" t="s">
        <v>115</v>
      </c>
      <c r="D91" s="45">
        <v>0</v>
      </c>
      <c r="E91" s="45">
        <v>120536</v>
      </c>
      <c r="F91" s="45">
        <v>0</v>
      </c>
      <c r="G91" s="45">
        <v>0</v>
      </c>
      <c r="H91" s="45">
        <v>0</v>
      </c>
      <c r="I91" s="45">
        <v>0</v>
      </c>
      <c r="J91" s="45">
        <v>0</v>
      </c>
      <c r="K91" s="45">
        <v>0</v>
      </c>
      <c r="L91" s="45">
        <v>0</v>
      </c>
      <c r="M91" s="45">
        <v>0</v>
      </c>
      <c r="N91" s="45">
        <f t="shared" si="9"/>
        <v>120536</v>
      </c>
      <c r="O91" s="46">
        <f t="shared" si="10"/>
        <v>0.10351546900830882</v>
      </c>
      <c r="P91" s="9"/>
    </row>
    <row r="92" spans="1:16">
      <c r="A92" s="11"/>
      <c r="B92" s="24">
        <v>348.12</v>
      </c>
      <c r="C92" s="19" t="s">
        <v>116</v>
      </c>
      <c r="D92" s="45">
        <v>46929</v>
      </c>
      <c r="E92" s="45">
        <v>288607</v>
      </c>
      <c r="F92" s="45">
        <v>0</v>
      </c>
      <c r="G92" s="45">
        <v>0</v>
      </c>
      <c r="H92" s="45">
        <v>0</v>
      </c>
      <c r="I92" s="45">
        <v>0</v>
      </c>
      <c r="J92" s="45">
        <v>0</v>
      </c>
      <c r="K92" s="45">
        <v>0</v>
      </c>
      <c r="L92" s="45">
        <v>0</v>
      </c>
      <c r="M92" s="45">
        <v>0</v>
      </c>
      <c r="N92" s="45">
        <f t="shared" si="9"/>
        <v>335536</v>
      </c>
      <c r="O92" s="46">
        <f t="shared" si="10"/>
        <v>0.28815595680271378</v>
      </c>
      <c r="P92" s="9"/>
    </row>
    <row r="93" spans="1:16">
      <c r="A93" s="11"/>
      <c r="B93" s="24">
        <v>348.13</v>
      </c>
      <c r="C93" s="19" t="s">
        <v>117</v>
      </c>
      <c r="D93" s="45">
        <v>0</v>
      </c>
      <c r="E93" s="45">
        <v>609723</v>
      </c>
      <c r="F93" s="45">
        <v>0</v>
      </c>
      <c r="G93" s="45">
        <v>0</v>
      </c>
      <c r="H93" s="45">
        <v>0</v>
      </c>
      <c r="I93" s="45">
        <v>0</v>
      </c>
      <c r="J93" s="45">
        <v>0</v>
      </c>
      <c r="K93" s="45">
        <v>0</v>
      </c>
      <c r="L93" s="45">
        <v>0</v>
      </c>
      <c r="M93" s="45">
        <v>0</v>
      </c>
      <c r="N93" s="45">
        <f t="shared" si="9"/>
        <v>609723</v>
      </c>
      <c r="O93" s="46">
        <f t="shared" si="10"/>
        <v>0.52362582390450219</v>
      </c>
      <c r="P93" s="9"/>
    </row>
    <row r="94" spans="1:16">
      <c r="A94" s="11"/>
      <c r="B94" s="24">
        <v>348.21</v>
      </c>
      <c r="C94" s="19" t="s">
        <v>118</v>
      </c>
      <c r="D94" s="45">
        <v>0</v>
      </c>
      <c r="E94" s="45">
        <v>1969</v>
      </c>
      <c r="F94" s="45">
        <v>0</v>
      </c>
      <c r="G94" s="45">
        <v>0</v>
      </c>
      <c r="H94" s="45">
        <v>0</v>
      </c>
      <c r="I94" s="45">
        <v>0</v>
      </c>
      <c r="J94" s="45">
        <v>0</v>
      </c>
      <c r="K94" s="45">
        <v>0</v>
      </c>
      <c r="L94" s="45">
        <v>0</v>
      </c>
      <c r="M94" s="45">
        <v>0</v>
      </c>
      <c r="N94" s="45">
        <f t="shared" si="9"/>
        <v>1969</v>
      </c>
      <c r="O94" s="46">
        <f t="shared" si="10"/>
        <v>1.6909633510101552E-3</v>
      </c>
      <c r="P94" s="9"/>
    </row>
    <row r="95" spans="1:16">
      <c r="A95" s="11"/>
      <c r="B95" s="24">
        <v>348.22</v>
      </c>
      <c r="C95" s="19" t="s">
        <v>119</v>
      </c>
      <c r="D95" s="45">
        <v>22110</v>
      </c>
      <c r="E95" s="45">
        <v>162638</v>
      </c>
      <c r="F95" s="45">
        <v>0</v>
      </c>
      <c r="G95" s="45">
        <v>0</v>
      </c>
      <c r="H95" s="45">
        <v>0</v>
      </c>
      <c r="I95" s="45">
        <v>0</v>
      </c>
      <c r="J95" s="45">
        <v>0</v>
      </c>
      <c r="K95" s="45">
        <v>0</v>
      </c>
      <c r="L95" s="45">
        <v>0</v>
      </c>
      <c r="M95" s="45">
        <v>0</v>
      </c>
      <c r="N95" s="45">
        <f t="shared" si="9"/>
        <v>184748</v>
      </c>
      <c r="O95" s="46">
        <f t="shared" si="10"/>
        <v>0.15866028297228246</v>
      </c>
      <c r="P95" s="9"/>
    </row>
    <row r="96" spans="1:16">
      <c r="A96" s="11"/>
      <c r="B96" s="24">
        <v>348.23</v>
      </c>
      <c r="C96" s="19" t="s">
        <v>120</v>
      </c>
      <c r="D96" s="45">
        <v>0</v>
      </c>
      <c r="E96" s="45">
        <v>1122907</v>
      </c>
      <c r="F96" s="45">
        <v>0</v>
      </c>
      <c r="G96" s="45">
        <v>0</v>
      </c>
      <c r="H96" s="45">
        <v>0</v>
      </c>
      <c r="I96" s="45">
        <v>0</v>
      </c>
      <c r="J96" s="45">
        <v>0</v>
      </c>
      <c r="K96" s="45">
        <v>0</v>
      </c>
      <c r="L96" s="45">
        <v>0</v>
      </c>
      <c r="M96" s="45">
        <v>0</v>
      </c>
      <c r="N96" s="45">
        <f t="shared" si="9"/>
        <v>1122907</v>
      </c>
      <c r="O96" s="46">
        <f t="shared" si="10"/>
        <v>0.96434463361745071</v>
      </c>
      <c r="P96" s="9"/>
    </row>
    <row r="97" spans="1:16">
      <c r="A97" s="11"/>
      <c r="B97" s="24">
        <v>348.31</v>
      </c>
      <c r="C97" s="19" t="s">
        <v>121</v>
      </c>
      <c r="D97" s="45">
        <v>0</v>
      </c>
      <c r="E97" s="45">
        <v>5011682</v>
      </c>
      <c r="F97" s="45">
        <v>0</v>
      </c>
      <c r="G97" s="45">
        <v>0</v>
      </c>
      <c r="H97" s="45">
        <v>0</v>
      </c>
      <c r="I97" s="45">
        <v>0</v>
      </c>
      <c r="J97" s="45">
        <v>0</v>
      </c>
      <c r="K97" s="45">
        <v>0</v>
      </c>
      <c r="L97" s="45">
        <v>0</v>
      </c>
      <c r="M97" s="45">
        <v>0</v>
      </c>
      <c r="N97" s="45">
        <f t="shared" si="9"/>
        <v>5011682</v>
      </c>
      <c r="O97" s="46">
        <f t="shared" si="10"/>
        <v>4.3039972518625076</v>
      </c>
      <c r="P97" s="9"/>
    </row>
    <row r="98" spans="1:16">
      <c r="A98" s="11"/>
      <c r="B98" s="24">
        <v>348.32</v>
      </c>
      <c r="C98" s="19" t="s">
        <v>122</v>
      </c>
      <c r="D98" s="45">
        <v>0</v>
      </c>
      <c r="E98" s="45">
        <v>144891</v>
      </c>
      <c r="F98" s="45">
        <v>0</v>
      </c>
      <c r="G98" s="45">
        <v>0</v>
      </c>
      <c r="H98" s="45">
        <v>0</v>
      </c>
      <c r="I98" s="45">
        <v>0</v>
      </c>
      <c r="J98" s="45">
        <v>0</v>
      </c>
      <c r="K98" s="45">
        <v>0</v>
      </c>
      <c r="L98" s="45">
        <v>0</v>
      </c>
      <c r="M98" s="45">
        <v>0</v>
      </c>
      <c r="N98" s="45">
        <f t="shared" si="9"/>
        <v>144891</v>
      </c>
      <c r="O98" s="46">
        <f t="shared" si="10"/>
        <v>0.12443137170706572</v>
      </c>
      <c r="P98" s="9"/>
    </row>
    <row r="99" spans="1:16">
      <c r="A99" s="11"/>
      <c r="B99" s="24">
        <v>348.41</v>
      </c>
      <c r="C99" s="19" t="s">
        <v>123</v>
      </c>
      <c r="D99" s="45">
        <v>0</v>
      </c>
      <c r="E99" s="45">
        <v>3970068</v>
      </c>
      <c r="F99" s="45">
        <v>0</v>
      </c>
      <c r="G99" s="45">
        <v>0</v>
      </c>
      <c r="H99" s="45">
        <v>0</v>
      </c>
      <c r="I99" s="45">
        <v>0</v>
      </c>
      <c r="J99" s="45">
        <v>0</v>
      </c>
      <c r="K99" s="45">
        <v>0</v>
      </c>
      <c r="L99" s="45">
        <v>0</v>
      </c>
      <c r="M99" s="45">
        <v>0</v>
      </c>
      <c r="N99" s="45">
        <f t="shared" si="9"/>
        <v>3970068</v>
      </c>
      <c r="O99" s="46">
        <f t="shared" si="10"/>
        <v>3.4094664748695709</v>
      </c>
      <c r="P99" s="9"/>
    </row>
    <row r="100" spans="1:16">
      <c r="A100" s="11"/>
      <c r="B100" s="24">
        <v>348.42</v>
      </c>
      <c r="C100" s="19" t="s">
        <v>124</v>
      </c>
      <c r="D100" s="45">
        <v>13660</v>
      </c>
      <c r="E100" s="45">
        <v>1146007</v>
      </c>
      <c r="F100" s="45">
        <v>0</v>
      </c>
      <c r="G100" s="45">
        <v>0</v>
      </c>
      <c r="H100" s="45">
        <v>0</v>
      </c>
      <c r="I100" s="45">
        <v>0</v>
      </c>
      <c r="J100" s="45">
        <v>0</v>
      </c>
      <c r="K100" s="45">
        <v>0</v>
      </c>
      <c r="L100" s="45">
        <v>0</v>
      </c>
      <c r="M100" s="45">
        <v>0</v>
      </c>
      <c r="N100" s="45">
        <f t="shared" si="9"/>
        <v>1159667</v>
      </c>
      <c r="O100" s="46">
        <f t="shared" si="10"/>
        <v>0.99591386306546148</v>
      </c>
      <c r="P100" s="9"/>
    </row>
    <row r="101" spans="1:16">
      <c r="A101" s="11"/>
      <c r="B101" s="24">
        <v>348.48</v>
      </c>
      <c r="C101" s="19" t="s">
        <v>276</v>
      </c>
      <c r="D101" s="45">
        <v>0</v>
      </c>
      <c r="E101" s="45">
        <v>401908</v>
      </c>
      <c r="F101" s="45">
        <v>0</v>
      </c>
      <c r="G101" s="45">
        <v>0</v>
      </c>
      <c r="H101" s="45">
        <v>0</v>
      </c>
      <c r="I101" s="45">
        <v>0</v>
      </c>
      <c r="J101" s="45">
        <v>0</v>
      </c>
      <c r="K101" s="45">
        <v>0</v>
      </c>
      <c r="L101" s="45">
        <v>0</v>
      </c>
      <c r="M101" s="45">
        <v>0</v>
      </c>
      <c r="N101" s="45">
        <f t="shared" si="9"/>
        <v>401908</v>
      </c>
      <c r="O101" s="46">
        <f t="shared" ref="O101:O132" si="11">(N101/O$153)</f>
        <v>0.34515576357429634</v>
      </c>
      <c r="P101" s="9"/>
    </row>
    <row r="102" spans="1:16">
      <c r="A102" s="11"/>
      <c r="B102" s="24">
        <v>348.51</v>
      </c>
      <c r="C102" s="19" t="s">
        <v>126</v>
      </c>
      <c r="D102" s="45">
        <v>0</v>
      </c>
      <c r="E102" s="45">
        <v>501</v>
      </c>
      <c r="F102" s="45">
        <v>0</v>
      </c>
      <c r="G102" s="45">
        <v>0</v>
      </c>
      <c r="H102" s="45">
        <v>0</v>
      </c>
      <c r="I102" s="45">
        <v>0</v>
      </c>
      <c r="J102" s="45">
        <v>0</v>
      </c>
      <c r="K102" s="45">
        <v>0</v>
      </c>
      <c r="L102" s="45">
        <v>0</v>
      </c>
      <c r="M102" s="45">
        <v>0</v>
      </c>
      <c r="N102" s="45">
        <f t="shared" si="9"/>
        <v>501</v>
      </c>
      <c r="O102" s="46">
        <f t="shared" si="11"/>
        <v>4.3025527620928786E-4</v>
      </c>
      <c r="P102" s="9"/>
    </row>
    <row r="103" spans="1:16">
      <c r="A103" s="11"/>
      <c r="B103" s="24">
        <v>348.52</v>
      </c>
      <c r="C103" s="19" t="s">
        <v>127</v>
      </c>
      <c r="D103" s="45">
        <v>0</v>
      </c>
      <c r="E103" s="45">
        <v>1909017</v>
      </c>
      <c r="F103" s="45">
        <v>0</v>
      </c>
      <c r="G103" s="45">
        <v>0</v>
      </c>
      <c r="H103" s="45">
        <v>0</v>
      </c>
      <c r="I103" s="45">
        <v>0</v>
      </c>
      <c r="J103" s="45">
        <v>0</v>
      </c>
      <c r="K103" s="45">
        <v>0</v>
      </c>
      <c r="L103" s="45">
        <v>0</v>
      </c>
      <c r="M103" s="45">
        <v>0</v>
      </c>
      <c r="N103" s="45">
        <f t="shared" si="9"/>
        <v>1909017</v>
      </c>
      <c r="O103" s="46">
        <f t="shared" si="11"/>
        <v>1.6394503725014493</v>
      </c>
      <c r="P103" s="9"/>
    </row>
    <row r="104" spans="1:16">
      <c r="A104" s="11"/>
      <c r="B104" s="24">
        <v>348.53</v>
      </c>
      <c r="C104" s="19" t="s">
        <v>128</v>
      </c>
      <c r="D104" s="45">
        <v>0</v>
      </c>
      <c r="E104" s="45">
        <v>8948919</v>
      </c>
      <c r="F104" s="45">
        <v>0</v>
      </c>
      <c r="G104" s="45">
        <v>0</v>
      </c>
      <c r="H104" s="45">
        <v>0</v>
      </c>
      <c r="I104" s="45">
        <v>0</v>
      </c>
      <c r="J104" s="45">
        <v>0</v>
      </c>
      <c r="K104" s="45">
        <v>0</v>
      </c>
      <c r="L104" s="45">
        <v>0</v>
      </c>
      <c r="M104" s="45">
        <v>0</v>
      </c>
      <c r="N104" s="45">
        <f t="shared" si="9"/>
        <v>8948919</v>
      </c>
      <c r="O104" s="46">
        <f t="shared" si="11"/>
        <v>7.6852686948493893</v>
      </c>
      <c r="P104" s="9"/>
    </row>
    <row r="105" spans="1:16">
      <c r="A105" s="11"/>
      <c r="B105" s="24">
        <v>348.61</v>
      </c>
      <c r="C105" s="19" t="s">
        <v>129</v>
      </c>
      <c r="D105" s="45">
        <v>0</v>
      </c>
      <c r="E105" s="45">
        <v>53430</v>
      </c>
      <c r="F105" s="45">
        <v>0</v>
      </c>
      <c r="G105" s="45">
        <v>0</v>
      </c>
      <c r="H105" s="45">
        <v>0</v>
      </c>
      <c r="I105" s="45">
        <v>0</v>
      </c>
      <c r="J105" s="45">
        <v>0</v>
      </c>
      <c r="K105" s="45">
        <v>0</v>
      </c>
      <c r="L105" s="45">
        <v>0</v>
      </c>
      <c r="M105" s="45">
        <v>0</v>
      </c>
      <c r="N105" s="45">
        <f t="shared" si="9"/>
        <v>53430</v>
      </c>
      <c r="O105" s="46">
        <f t="shared" si="11"/>
        <v>4.5885308199325847E-2</v>
      </c>
      <c r="P105" s="9"/>
    </row>
    <row r="106" spans="1:16">
      <c r="A106" s="11"/>
      <c r="B106" s="24">
        <v>348.62</v>
      </c>
      <c r="C106" s="19" t="s">
        <v>130</v>
      </c>
      <c r="D106" s="45">
        <v>9379</v>
      </c>
      <c r="E106" s="45">
        <v>23230</v>
      </c>
      <c r="F106" s="45">
        <v>0</v>
      </c>
      <c r="G106" s="45">
        <v>0</v>
      </c>
      <c r="H106" s="45">
        <v>0</v>
      </c>
      <c r="I106" s="45">
        <v>0</v>
      </c>
      <c r="J106" s="45">
        <v>0</v>
      </c>
      <c r="K106" s="45">
        <v>0</v>
      </c>
      <c r="L106" s="45">
        <v>0</v>
      </c>
      <c r="M106" s="45">
        <v>0</v>
      </c>
      <c r="N106" s="45">
        <f t="shared" si="9"/>
        <v>32609</v>
      </c>
      <c r="O106" s="46">
        <f t="shared" si="11"/>
        <v>2.8004379844129075E-2</v>
      </c>
      <c r="P106" s="9"/>
    </row>
    <row r="107" spans="1:16">
      <c r="A107" s="11"/>
      <c r="B107" s="24">
        <v>348.71</v>
      </c>
      <c r="C107" s="19" t="s">
        <v>131</v>
      </c>
      <c r="D107" s="45">
        <v>0</v>
      </c>
      <c r="E107" s="45">
        <v>680281</v>
      </c>
      <c r="F107" s="45">
        <v>0</v>
      </c>
      <c r="G107" s="45">
        <v>0</v>
      </c>
      <c r="H107" s="45">
        <v>0</v>
      </c>
      <c r="I107" s="45">
        <v>0</v>
      </c>
      <c r="J107" s="45">
        <v>0</v>
      </c>
      <c r="K107" s="45">
        <v>0</v>
      </c>
      <c r="L107" s="45">
        <v>0</v>
      </c>
      <c r="M107" s="45">
        <v>0</v>
      </c>
      <c r="N107" s="45">
        <f t="shared" si="9"/>
        <v>680281</v>
      </c>
      <c r="O107" s="46">
        <f t="shared" si="11"/>
        <v>0.58422053803379348</v>
      </c>
      <c r="P107" s="9"/>
    </row>
    <row r="108" spans="1:16">
      <c r="A108" s="11"/>
      <c r="B108" s="24">
        <v>348.72</v>
      </c>
      <c r="C108" s="19" t="s">
        <v>132</v>
      </c>
      <c r="D108" s="45">
        <v>7405</v>
      </c>
      <c r="E108" s="45">
        <v>138397</v>
      </c>
      <c r="F108" s="45">
        <v>0</v>
      </c>
      <c r="G108" s="45">
        <v>0</v>
      </c>
      <c r="H108" s="45">
        <v>0</v>
      </c>
      <c r="I108" s="45">
        <v>0</v>
      </c>
      <c r="J108" s="45">
        <v>0</v>
      </c>
      <c r="K108" s="45">
        <v>0</v>
      </c>
      <c r="L108" s="45">
        <v>0</v>
      </c>
      <c r="M108" s="45">
        <v>0</v>
      </c>
      <c r="N108" s="45">
        <f t="shared" si="9"/>
        <v>145802</v>
      </c>
      <c r="O108" s="46">
        <f t="shared" si="11"/>
        <v>0.1252137320995341</v>
      </c>
      <c r="P108" s="9"/>
    </row>
    <row r="109" spans="1:16">
      <c r="A109" s="11"/>
      <c r="B109" s="24">
        <v>348.88</v>
      </c>
      <c r="C109" s="19" t="s">
        <v>108</v>
      </c>
      <c r="D109" s="45">
        <v>170715</v>
      </c>
      <c r="E109" s="45">
        <v>0</v>
      </c>
      <c r="F109" s="45">
        <v>0</v>
      </c>
      <c r="G109" s="45">
        <v>0</v>
      </c>
      <c r="H109" s="45">
        <v>0</v>
      </c>
      <c r="I109" s="45">
        <v>0</v>
      </c>
      <c r="J109" s="45">
        <v>0</v>
      </c>
      <c r="K109" s="45">
        <v>0</v>
      </c>
      <c r="L109" s="45">
        <v>0</v>
      </c>
      <c r="M109" s="45">
        <v>0</v>
      </c>
      <c r="N109" s="45">
        <f t="shared" si="9"/>
        <v>170715</v>
      </c>
      <c r="O109" s="46">
        <f t="shared" si="11"/>
        <v>0.14660884127358997</v>
      </c>
      <c r="P109" s="9"/>
    </row>
    <row r="110" spans="1:16">
      <c r="A110" s="11"/>
      <c r="B110" s="24">
        <v>348.92099999999999</v>
      </c>
      <c r="C110" s="19" t="s">
        <v>109</v>
      </c>
      <c r="D110" s="45">
        <v>0</v>
      </c>
      <c r="E110" s="45">
        <v>530209</v>
      </c>
      <c r="F110" s="45">
        <v>0</v>
      </c>
      <c r="G110" s="45">
        <v>0</v>
      </c>
      <c r="H110" s="45">
        <v>0</v>
      </c>
      <c r="I110" s="45">
        <v>0</v>
      </c>
      <c r="J110" s="45">
        <v>0</v>
      </c>
      <c r="K110" s="45">
        <v>0</v>
      </c>
      <c r="L110" s="45">
        <v>0</v>
      </c>
      <c r="M110" s="45">
        <v>0</v>
      </c>
      <c r="N110" s="45">
        <f>SUM(D110:M110)</f>
        <v>530209</v>
      </c>
      <c r="O110" s="46">
        <f t="shared" si="11"/>
        <v>0.45533975996736586</v>
      </c>
      <c r="P110" s="9"/>
    </row>
    <row r="111" spans="1:16">
      <c r="A111" s="11"/>
      <c r="B111" s="24">
        <v>348.92200000000003</v>
      </c>
      <c r="C111" s="19" t="s">
        <v>110</v>
      </c>
      <c r="D111" s="45">
        <v>0</v>
      </c>
      <c r="E111" s="45">
        <v>530208</v>
      </c>
      <c r="F111" s="45">
        <v>0</v>
      </c>
      <c r="G111" s="45">
        <v>0</v>
      </c>
      <c r="H111" s="45">
        <v>0</v>
      </c>
      <c r="I111" s="45">
        <v>0</v>
      </c>
      <c r="J111" s="45">
        <v>0</v>
      </c>
      <c r="K111" s="45">
        <v>0</v>
      </c>
      <c r="L111" s="45">
        <v>0</v>
      </c>
      <c r="M111" s="45">
        <v>0</v>
      </c>
      <c r="N111" s="45">
        <f>SUM(D111:M111)</f>
        <v>530208</v>
      </c>
      <c r="O111" s="46">
        <f t="shared" si="11"/>
        <v>0.4553389011743994</v>
      </c>
      <c r="P111" s="9"/>
    </row>
    <row r="112" spans="1:16">
      <c r="A112" s="11"/>
      <c r="B112" s="24">
        <v>348.923</v>
      </c>
      <c r="C112" s="19" t="s">
        <v>111</v>
      </c>
      <c r="D112" s="45">
        <v>0</v>
      </c>
      <c r="E112" s="45">
        <v>0</v>
      </c>
      <c r="F112" s="45">
        <v>0</v>
      </c>
      <c r="G112" s="45">
        <v>0</v>
      </c>
      <c r="H112" s="45">
        <v>0</v>
      </c>
      <c r="I112" s="45">
        <v>0</v>
      </c>
      <c r="J112" s="45">
        <v>0</v>
      </c>
      <c r="K112" s="45">
        <v>0</v>
      </c>
      <c r="L112" s="45">
        <v>0</v>
      </c>
      <c r="M112" s="45">
        <v>530208</v>
      </c>
      <c r="N112" s="45">
        <f>SUM(D112:M112)</f>
        <v>530208</v>
      </c>
      <c r="O112" s="46">
        <f t="shared" si="11"/>
        <v>0.4553389011743994</v>
      </c>
      <c r="P112" s="9"/>
    </row>
    <row r="113" spans="1:16">
      <c r="A113" s="11"/>
      <c r="B113" s="24">
        <v>348.92399999999998</v>
      </c>
      <c r="C113" s="19" t="s">
        <v>112</v>
      </c>
      <c r="D113" s="45">
        <v>0</v>
      </c>
      <c r="E113" s="45">
        <v>530209</v>
      </c>
      <c r="F113" s="45">
        <v>0</v>
      </c>
      <c r="G113" s="45">
        <v>0</v>
      </c>
      <c r="H113" s="45">
        <v>0</v>
      </c>
      <c r="I113" s="45">
        <v>0</v>
      </c>
      <c r="J113" s="45">
        <v>0</v>
      </c>
      <c r="K113" s="45">
        <v>0</v>
      </c>
      <c r="L113" s="45">
        <v>0</v>
      </c>
      <c r="M113" s="45">
        <v>0</v>
      </c>
      <c r="N113" s="45">
        <f>SUM(D113:M113)</f>
        <v>530209</v>
      </c>
      <c r="O113" s="46">
        <f t="shared" si="11"/>
        <v>0.45533975996736586</v>
      </c>
      <c r="P113" s="9"/>
    </row>
    <row r="114" spans="1:16">
      <c r="A114" s="11"/>
      <c r="B114" s="24">
        <v>348.93</v>
      </c>
      <c r="C114" s="19" t="s">
        <v>113</v>
      </c>
      <c r="D114" s="45">
        <v>0</v>
      </c>
      <c r="E114" s="45">
        <v>4133602</v>
      </c>
      <c r="F114" s="45">
        <v>0</v>
      </c>
      <c r="G114" s="45">
        <v>0</v>
      </c>
      <c r="H114" s="45">
        <v>0</v>
      </c>
      <c r="I114" s="45">
        <v>0</v>
      </c>
      <c r="J114" s="45">
        <v>0</v>
      </c>
      <c r="K114" s="45">
        <v>0</v>
      </c>
      <c r="L114" s="45">
        <v>0</v>
      </c>
      <c r="M114" s="45">
        <v>0</v>
      </c>
      <c r="N114" s="45">
        <f>SUM(D114:M114)</f>
        <v>4133602</v>
      </c>
      <c r="O114" s="46">
        <f t="shared" si="11"/>
        <v>3.5499083238508278</v>
      </c>
      <c r="P114" s="9"/>
    </row>
    <row r="115" spans="1:16">
      <c r="A115" s="11"/>
      <c r="B115" s="24">
        <v>349</v>
      </c>
      <c r="C115" s="19" t="s">
        <v>1</v>
      </c>
      <c r="D115" s="45">
        <v>53328</v>
      </c>
      <c r="E115" s="45">
        <v>14217209</v>
      </c>
      <c r="F115" s="45">
        <v>0</v>
      </c>
      <c r="G115" s="45">
        <v>0</v>
      </c>
      <c r="H115" s="45">
        <v>0</v>
      </c>
      <c r="I115" s="45">
        <v>0</v>
      </c>
      <c r="J115" s="45">
        <v>0</v>
      </c>
      <c r="K115" s="45">
        <v>0</v>
      </c>
      <c r="L115" s="45">
        <v>0</v>
      </c>
      <c r="M115" s="45">
        <v>0</v>
      </c>
      <c r="N115" s="45">
        <f t="shared" si="9"/>
        <v>14270537</v>
      </c>
      <c r="O115" s="46">
        <f t="shared" si="11"/>
        <v>12.255436803572579</v>
      </c>
      <c r="P115" s="9"/>
    </row>
    <row r="116" spans="1:16" ht="15.75">
      <c r="A116" s="28" t="s">
        <v>76</v>
      </c>
      <c r="B116" s="29"/>
      <c r="C116" s="30"/>
      <c r="D116" s="31">
        <f t="shared" ref="D116:M116" si="12">SUM(D117:D124)</f>
        <v>3819092</v>
      </c>
      <c r="E116" s="31">
        <f t="shared" si="12"/>
        <v>15209577</v>
      </c>
      <c r="F116" s="31">
        <f t="shared" si="12"/>
        <v>0</v>
      </c>
      <c r="G116" s="31">
        <f t="shared" si="12"/>
        <v>0</v>
      </c>
      <c r="H116" s="31">
        <f t="shared" si="12"/>
        <v>0</v>
      </c>
      <c r="I116" s="31">
        <f t="shared" si="12"/>
        <v>0</v>
      </c>
      <c r="J116" s="31">
        <f t="shared" si="12"/>
        <v>0</v>
      </c>
      <c r="K116" s="31">
        <f t="shared" si="12"/>
        <v>0</v>
      </c>
      <c r="L116" s="31">
        <f t="shared" si="12"/>
        <v>0</v>
      </c>
      <c r="M116" s="31">
        <f t="shared" si="12"/>
        <v>0</v>
      </c>
      <c r="N116" s="31">
        <f>SUM(D116:M116)</f>
        <v>19028669</v>
      </c>
      <c r="O116" s="44">
        <f t="shared" si="11"/>
        <v>16.341687098782661</v>
      </c>
      <c r="P116" s="10"/>
    </row>
    <row r="117" spans="1:16">
      <c r="A117" s="12"/>
      <c r="B117" s="38">
        <v>351.1</v>
      </c>
      <c r="C117" s="20" t="s">
        <v>134</v>
      </c>
      <c r="D117" s="45">
        <v>437</v>
      </c>
      <c r="E117" s="45">
        <v>1193882</v>
      </c>
      <c r="F117" s="45">
        <v>0</v>
      </c>
      <c r="G117" s="45">
        <v>0</v>
      </c>
      <c r="H117" s="45">
        <v>0</v>
      </c>
      <c r="I117" s="45">
        <v>0</v>
      </c>
      <c r="J117" s="45">
        <v>0</v>
      </c>
      <c r="K117" s="45">
        <v>0</v>
      </c>
      <c r="L117" s="45">
        <v>0</v>
      </c>
      <c r="M117" s="45">
        <v>0</v>
      </c>
      <c r="N117" s="45">
        <f>SUM(D117:M117)</f>
        <v>1194319</v>
      </c>
      <c r="O117" s="46">
        <f t="shared" si="11"/>
        <v>1.0256727569401207</v>
      </c>
      <c r="P117" s="9"/>
    </row>
    <row r="118" spans="1:16">
      <c r="A118" s="12"/>
      <c r="B118" s="38">
        <v>351.2</v>
      </c>
      <c r="C118" s="20" t="s">
        <v>136</v>
      </c>
      <c r="D118" s="45">
        <v>0</v>
      </c>
      <c r="E118" s="45">
        <v>322887</v>
      </c>
      <c r="F118" s="45">
        <v>0</v>
      </c>
      <c r="G118" s="45">
        <v>0</v>
      </c>
      <c r="H118" s="45">
        <v>0</v>
      </c>
      <c r="I118" s="45">
        <v>0</v>
      </c>
      <c r="J118" s="45">
        <v>0</v>
      </c>
      <c r="K118" s="45">
        <v>0</v>
      </c>
      <c r="L118" s="45">
        <v>0</v>
      </c>
      <c r="M118" s="45">
        <v>0</v>
      </c>
      <c r="N118" s="45">
        <f t="shared" ref="N118:N124" si="13">SUM(D118:M118)</f>
        <v>322887</v>
      </c>
      <c r="O118" s="46">
        <f t="shared" si="11"/>
        <v>0.27729308456963736</v>
      </c>
      <c r="P118" s="9"/>
    </row>
    <row r="119" spans="1:16">
      <c r="A119" s="12"/>
      <c r="B119" s="38">
        <v>351.3</v>
      </c>
      <c r="C119" s="20" t="s">
        <v>175</v>
      </c>
      <c r="D119" s="45">
        <v>2376</v>
      </c>
      <c r="E119" s="45">
        <v>0</v>
      </c>
      <c r="F119" s="45">
        <v>0</v>
      </c>
      <c r="G119" s="45">
        <v>0</v>
      </c>
      <c r="H119" s="45">
        <v>0</v>
      </c>
      <c r="I119" s="45">
        <v>0</v>
      </c>
      <c r="J119" s="45">
        <v>0</v>
      </c>
      <c r="K119" s="45">
        <v>0</v>
      </c>
      <c r="L119" s="45">
        <v>0</v>
      </c>
      <c r="M119" s="45">
        <v>0</v>
      </c>
      <c r="N119" s="45">
        <f t="shared" si="13"/>
        <v>2376</v>
      </c>
      <c r="O119" s="46">
        <f t="shared" si="11"/>
        <v>2.0404920883697964E-3</v>
      </c>
      <c r="P119" s="9"/>
    </row>
    <row r="120" spans="1:16">
      <c r="A120" s="12"/>
      <c r="B120" s="38">
        <v>351.5</v>
      </c>
      <c r="C120" s="20" t="s">
        <v>137</v>
      </c>
      <c r="D120" s="45">
        <v>0</v>
      </c>
      <c r="E120" s="45">
        <v>9206181</v>
      </c>
      <c r="F120" s="45">
        <v>0</v>
      </c>
      <c r="G120" s="45">
        <v>0</v>
      </c>
      <c r="H120" s="45">
        <v>0</v>
      </c>
      <c r="I120" s="45">
        <v>0</v>
      </c>
      <c r="J120" s="45">
        <v>0</v>
      </c>
      <c r="K120" s="45">
        <v>0</v>
      </c>
      <c r="L120" s="45">
        <v>0</v>
      </c>
      <c r="M120" s="45">
        <v>0</v>
      </c>
      <c r="N120" s="45">
        <f t="shared" si="13"/>
        <v>9206181</v>
      </c>
      <c r="O120" s="46">
        <f t="shared" si="11"/>
        <v>7.9062034909934091</v>
      </c>
      <c r="P120" s="9"/>
    </row>
    <row r="121" spans="1:16">
      <c r="A121" s="12"/>
      <c r="B121" s="38">
        <v>352</v>
      </c>
      <c r="C121" s="20" t="s">
        <v>138</v>
      </c>
      <c r="D121" s="45">
        <v>0</v>
      </c>
      <c r="E121" s="45">
        <v>448869</v>
      </c>
      <c r="F121" s="45">
        <v>0</v>
      </c>
      <c r="G121" s="45">
        <v>0</v>
      </c>
      <c r="H121" s="45">
        <v>0</v>
      </c>
      <c r="I121" s="45">
        <v>0</v>
      </c>
      <c r="J121" s="45">
        <v>0</v>
      </c>
      <c r="K121" s="45">
        <v>0</v>
      </c>
      <c r="L121" s="45">
        <v>0</v>
      </c>
      <c r="M121" s="45">
        <v>0</v>
      </c>
      <c r="N121" s="45">
        <f t="shared" si="13"/>
        <v>448869</v>
      </c>
      <c r="O121" s="46">
        <f t="shared" si="11"/>
        <v>0.38548554007342678</v>
      </c>
      <c r="P121" s="9"/>
    </row>
    <row r="122" spans="1:16">
      <c r="A122" s="12"/>
      <c r="B122" s="38">
        <v>353</v>
      </c>
      <c r="C122" s="20" t="s">
        <v>139</v>
      </c>
      <c r="D122" s="45">
        <v>0</v>
      </c>
      <c r="E122" s="45">
        <v>482068</v>
      </c>
      <c r="F122" s="45">
        <v>0</v>
      </c>
      <c r="G122" s="45">
        <v>0</v>
      </c>
      <c r="H122" s="45">
        <v>0</v>
      </c>
      <c r="I122" s="45">
        <v>0</v>
      </c>
      <c r="J122" s="45">
        <v>0</v>
      </c>
      <c r="K122" s="45">
        <v>0</v>
      </c>
      <c r="L122" s="45">
        <v>0</v>
      </c>
      <c r="M122" s="45">
        <v>0</v>
      </c>
      <c r="N122" s="45">
        <f t="shared" si="13"/>
        <v>482068</v>
      </c>
      <c r="O122" s="46">
        <f t="shared" si="11"/>
        <v>0.41399660776778235</v>
      </c>
      <c r="P122" s="9"/>
    </row>
    <row r="123" spans="1:16">
      <c r="A123" s="12"/>
      <c r="B123" s="38">
        <v>354</v>
      </c>
      <c r="C123" s="20" t="s">
        <v>140</v>
      </c>
      <c r="D123" s="45">
        <v>3776477</v>
      </c>
      <c r="E123" s="45">
        <v>136305</v>
      </c>
      <c r="F123" s="45">
        <v>0</v>
      </c>
      <c r="G123" s="45">
        <v>0</v>
      </c>
      <c r="H123" s="45">
        <v>0</v>
      </c>
      <c r="I123" s="45">
        <v>0</v>
      </c>
      <c r="J123" s="45">
        <v>0</v>
      </c>
      <c r="K123" s="45">
        <v>0</v>
      </c>
      <c r="L123" s="45">
        <v>0</v>
      </c>
      <c r="M123" s="45">
        <v>0</v>
      </c>
      <c r="N123" s="45">
        <f t="shared" si="13"/>
        <v>3912782</v>
      </c>
      <c r="O123" s="46">
        <f t="shared" si="11"/>
        <v>3.3602696609914764</v>
      </c>
      <c r="P123" s="9"/>
    </row>
    <row r="124" spans="1:16">
      <c r="A124" s="12"/>
      <c r="B124" s="38">
        <v>359</v>
      </c>
      <c r="C124" s="20" t="s">
        <v>141</v>
      </c>
      <c r="D124" s="45">
        <v>39802</v>
      </c>
      <c r="E124" s="45">
        <v>3419385</v>
      </c>
      <c r="F124" s="45">
        <v>0</v>
      </c>
      <c r="G124" s="45">
        <v>0</v>
      </c>
      <c r="H124" s="45">
        <v>0</v>
      </c>
      <c r="I124" s="45">
        <v>0</v>
      </c>
      <c r="J124" s="45">
        <v>0</v>
      </c>
      <c r="K124" s="45">
        <v>0</v>
      </c>
      <c r="L124" s="45">
        <v>0</v>
      </c>
      <c r="M124" s="45">
        <v>0</v>
      </c>
      <c r="N124" s="45">
        <f t="shared" si="13"/>
        <v>3459187</v>
      </c>
      <c r="O124" s="46">
        <f t="shared" si="11"/>
        <v>2.9707254653584387</v>
      </c>
      <c r="P124" s="9"/>
    </row>
    <row r="125" spans="1:16" ht="15.75">
      <c r="A125" s="28" t="s">
        <v>5</v>
      </c>
      <c r="B125" s="29"/>
      <c r="C125" s="30"/>
      <c r="D125" s="31">
        <f t="shared" ref="D125:M125" si="14">SUM(D126:D142)</f>
        <v>24790996</v>
      </c>
      <c r="E125" s="31">
        <f t="shared" si="14"/>
        <v>89996249</v>
      </c>
      <c r="F125" s="31">
        <f t="shared" si="14"/>
        <v>0</v>
      </c>
      <c r="G125" s="31">
        <f t="shared" si="14"/>
        <v>0</v>
      </c>
      <c r="H125" s="31">
        <f t="shared" si="14"/>
        <v>0</v>
      </c>
      <c r="I125" s="31">
        <f t="shared" si="14"/>
        <v>1428000</v>
      </c>
      <c r="J125" s="31">
        <f t="shared" si="14"/>
        <v>1298000</v>
      </c>
      <c r="K125" s="31">
        <f t="shared" si="14"/>
        <v>0</v>
      </c>
      <c r="L125" s="31">
        <f t="shared" si="14"/>
        <v>0</v>
      </c>
      <c r="M125" s="31">
        <f t="shared" si="14"/>
        <v>2072000</v>
      </c>
      <c r="N125" s="31">
        <f>SUM(D125:M125)</f>
        <v>119585245</v>
      </c>
      <c r="O125" s="44">
        <f t="shared" si="11"/>
        <v>102.6989673014578</v>
      </c>
      <c r="P125" s="10"/>
    </row>
    <row r="126" spans="1:16">
      <c r="A126" s="11"/>
      <c r="B126" s="24">
        <v>361.1</v>
      </c>
      <c r="C126" s="19" t="s">
        <v>142</v>
      </c>
      <c r="D126" s="45">
        <v>15796422</v>
      </c>
      <c r="E126" s="45">
        <v>27701878</v>
      </c>
      <c r="F126" s="45">
        <v>0</v>
      </c>
      <c r="G126" s="45">
        <v>0</v>
      </c>
      <c r="H126" s="45">
        <v>0</v>
      </c>
      <c r="I126" s="45">
        <v>0</v>
      </c>
      <c r="J126" s="45">
        <v>0</v>
      </c>
      <c r="K126" s="45">
        <v>0</v>
      </c>
      <c r="L126" s="45">
        <v>0</v>
      </c>
      <c r="M126" s="45">
        <v>211000</v>
      </c>
      <c r="N126" s="45">
        <f>SUM(D126:M126)</f>
        <v>43709300</v>
      </c>
      <c r="O126" s="46">
        <f t="shared" si="11"/>
        <v>37.537239410009235</v>
      </c>
      <c r="P126" s="9"/>
    </row>
    <row r="127" spans="1:16">
      <c r="A127" s="11"/>
      <c r="B127" s="24">
        <v>361.3</v>
      </c>
      <c r="C127" s="19" t="s">
        <v>143</v>
      </c>
      <c r="D127" s="45">
        <v>610598</v>
      </c>
      <c r="E127" s="45">
        <v>1276899</v>
      </c>
      <c r="F127" s="45">
        <v>0</v>
      </c>
      <c r="G127" s="45">
        <v>0</v>
      </c>
      <c r="H127" s="45">
        <v>0</v>
      </c>
      <c r="I127" s="45">
        <v>0</v>
      </c>
      <c r="J127" s="45">
        <v>0</v>
      </c>
      <c r="K127" s="45">
        <v>0</v>
      </c>
      <c r="L127" s="45">
        <v>0</v>
      </c>
      <c r="M127" s="45">
        <v>0</v>
      </c>
      <c r="N127" s="45">
        <f t="shared" ref="N127:N142" si="15">SUM(D127:M127)</f>
        <v>1887497</v>
      </c>
      <c r="O127" s="46">
        <f t="shared" si="11"/>
        <v>1.6209691478626791</v>
      </c>
      <c r="P127" s="9"/>
    </row>
    <row r="128" spans="1:16">
      <c r="A128" s="11"/>
      <c r="B128" s="24">
        <v>361.4</v>
      </c>
      <c r="C128" s="19" t="s">
        <v>261</v>
      </c>
      <c r="D128" s="45">
        <v>-737087</v>
      </c>
      <c r="E128" s="45">
        <v>-969614</v>
      </c>
      <c r="F128" s="45">
        <v>0</v>
      </c>
      <c r="G128" s="45">
        <v>0</v>
      </c>
      <c r="H128" s="45">
        <v>0</v>
      </c>
      <c r="I128" s="45">
        <v>0</v>
      </c>
      <c r="J128" s="45">
        <v>0</v>
      </c>
      <c r="K128" s="45">
        <v>0</v>
      </c>
      <c r="L128" s="45">
        <v>0</v>
      </c>
      <c r="M128" s="45">
        <v>0</v>
      </c>
      <c r="N128" s="45">
        <f t="shared" si="15"/>
        <v>-1706701</v>
      </c>
      <c r="O128" s="46">
        <f t="shared" si="11"/>
        <v>-1.4657028146939477</v>
      </c>
      <c r="P128" s="9"/>
    </row>
    <row r="129" spans="1:16">
      <c r="A129" s="11"/>
      <c r="B129" s="24">
        <v>362</v>
      </c>
      <c r="C129" s="19" t="s">
        <v>145</v>
      </c>
      <c r="D129" s="45">
        <v>979310</v>
      </c>
      <c r="E129" s="45">
        <v>358939</v>
      </c>
      <c r="F129" s="45">
        <v>0</v>
      </c>
      <c r="G129" s="45">
        <v>0</v>
      </c>
      <c r="H129" s="45">
        <v>0</v>
      </c>
      <c r="I129" s="45">
        <v>0</v>
      </c>
      <c r="J129" s="45">
        <v>0</v>
      </c>
      <c r="K129" s="45">
        <v>0</v>
      </c>
      <c r="L129" s="45">
        <v>0</v>
      </c>
      <c r="M129" s="45">
        <v>0</v>
      </c>
      <c r="N129" s="45">
        <f t="shared" si="15"/>
        <v>1338249</v>
      </c>
      <c r="O129" s="46">
        <f t="shared" si="11"/>
        <v>1.1492788286063937</v>
      </c>
      <c r="P129" s="9"/>
    </row>
    <row r="130" spans="1:16">
      <c r="A130" s="11"/>
      <c r="B130" s="24">
        <v>363.1</v>
      </c>
      <c r="C130" s="19" t="s">
        <v>270</v>
      </c>
      <c r="D130" s="45">
        <v>0</v>
      </c>
      <c r="E130" s="45">
        <v>0</v>
      </c>
      <c r="F130" s="45">
        <v>0</v>
      </c>
      <c r="G130" s="45">
        <v>0</v>
      </c>
      <c r="H130" s="45">
        <v>0</v>
      </c>
      <c r="I130" s="45">
        <v>0</v>
      </c>
      <c r="J130" s="45">
        <v>0</v>
      </c>
      <c r="K130" s="45">
        <v>0</v>
      </c>
      <c r="L130" s="45">
        <v>0</v>
      </c>
      <c r="M130" s="45">
        <v>1779000</v>
      </c>
      <c r="N130" s="45">
        <f t="shared" si="15"/>
        <v>1779000</v>
      </c>
      <c r="O130" s="46">
        <f t="shared" si="11"/>
        <v>1.5277926873778904</v>
      </c>
      <c r="P130" s="9"/>
    </row>
    <row r="131" spans="1:16">
      <c r="A131" s="11"/>
      <c r="B131" s="24">
        <v>363.11</v>
      </c>
      <c r="C131" s="19" t="s">
        <v>25</v>
      </c>
      <c r="D131" s="45">
        <v>0</v>
      </c>
      <c r="E131" s="45">
        <v>5218351</v>
      </c>
      <c r="F131" s="45">
        <v>0</v>
      </c>
      <c r="G131" s="45">
        <v>0</v>
      </c>
      <c r="H131" s="45">
        <v>0</v>
      </c>
      <c r="I131" s="45">
        <v>0</v>
      </c>
      <c r="J131" s="45">
        <v>0</v>
      </c>
      <c r="K131" s="45">
        <v>0</v>
      </c>
      <c r="L131" s="45">
        <v>0</v>
      </c>
      <c r="M131" s="45">
        <v>0</v>
      </c>
      <c r="N131" s="45">
        <f t="shared" si="15"/>
        <v>5218351</v>
      </c>
      <c r="O131" s="46">
        <f t="shared" si="11"/>
        <v>4.4814831354531206</v>
      </c>
      <c r="P131" s="9"/>
    </row>
    <row r="132" spans="1:16">
      <c r="A132" s="11"/>
      <c r="B132" s="24">
        <v>363.12</v>
      </c>
      <c r="C132" s="19" t="s">
        <v>190</v>
      </c>
      <c r="D132" s="45">
        <v>0</v>
      </c>
      <c r="E132" s="45">
        <v>7251723</v>
      </c>
      <c r="F132" s="45">
        <v>0</v>
      </c>
      <c r="G132" s="45">
        <v>0</v>
      </c>
      <c r="H132" s="45">
        <v>0</v>
      </c>
      <c r="I132" s="45">
        <v>0</v>
      </c>
      <c r="J132" s="45">
        <v>0</v>
      </c>
      <c r="K132" s="45">
        <v>0</v>
      </c>
      <c r="L132" s="45">
        <v>0</v>
      </c>
      <c r="M132" s="45">
        <v>0</v>
      </c>
      <c r="N132" s="45">
        <f t="shared" si="15"/>
        <v>7251723</v>
      </c>
      <c r="O132" s="46">
        <f t="shared" si="11"/>
        <v>6.2277287073018872</v>
      </c>
      <c r="P132" s="9"/>
    </row>
    <row r="133" spans="1:16">
      <c r="A133" s="11"/>
      <c r="B133" s="24">
        <v>363.22</v>
      </c>
      <c r="C133" s="19" t="s">
        <v>191</v>
      </c>
      <c r="D133" s="45">
        <v>0</v>
      </c>
      <c r="E133" s="45">
        <v>532937</v>
      </c>
      <c r="F133" s="45">
        <v>0</v>
      </c>
      <c r="G133" s="45">
        <v>0</v>
      </c>
      <c r="H133" s="45">
        <v>0</v>
      </c>
      <c r="I133" s="45">
        <v>0</v>
      </c>
      <c r="J133" s="45">
        <v>0</v>
      </c>
      <c r="K133" s="45">
        <v>0</v>
      </c>
      <c r="L133" s="45">
        <v>0</v>
      </c>
      <c r="M133" s="45">
        <v>0</v>
      </c>
      <c r="N133" s="45">
        <f t="shared" si="15"/>
        <v>532937</v>
      </c>
      <c r="O133" s="46">
        <f t="shared" ref="O133:O151" si="16">(N133/O$153)</f>
        <v>0.45768254717993861</v>
      </c>
      <c r="P133" s="9"/>
    </row>
    <row r="134" spans="1:16">
      <c r="A134" s="11"/>
      <c r="B134" s="24">
        <v>363.23</v>
      </c>
      <c r="C134" s="19" t="s">
        <v>192</v>
      </c>
      <c r="D134" s="45">
        <v>0</v>
      </c>
      <c r="E134" s="45">
        <v>2747329</v>
      </c>
      <c r="F134" s="45">
        <v>0</v>
      </c>
      <c r="G134" s="45">
        <v>0</v>
      </c>
      <c r="H134" s="45">
        <v>0</v>
      </c>
      <c r="I134" s="45">
        <v>0</v>
      </c>
      <c r="J134" s="45">
        <v>0</v>
      </c>
      <c r="K134" s="45">
        <v>0</v>
      </c>
      <c r="L134" s="45">
        <v>0</v>
      </c>
      <c r="M134" s="45">
        <v>0</v>
      </c>
      <c r="N134" s="45">
        <f t="shared" si="15"/>
        <v>2747329</v>
      </c>
      <c r="O134" s="46">
        <f t="shared" si="16"/>
        <v>2.3593868218219294</v>
      </c>
      <c r="P134" s="9"/>
    </row>
    <row r="135" spans="1:16">
      <c r="A135" s="11"/>
      <c r="B135" s="24">
        <v>363.24</v>
      </c>
      <c r="C135" s="19" t="s">
        <v>193</v>
      </c>
      <c r="D135" s="45">
        <v>0</v>
      </c>
      <c r="E135" s="45">
        <v>13685045</v>
      </c>
      <c r="F135" s="45">
        <v>0</v>
      </c>
      <c r="G135" s="45">
        <v>0</v>
      </c>
      <c r="H135" s="45">
        <v>0</v>
      </c>
      <c r="I135" s="45">
        <v>0</v>
      </c>
      <c r="J135" s="45">
        <v>0</v>
      </c>
      <c r="K135" s="45">
        <v>0</v>
      </c>
      <c r="L135" s="45">
        <v>0</v>
      </c>
      <c r="M135" s="45">
        <v>0</v>
      </c>
      <c r="N135" s="45">
        <f t="shared" si="15"/>
        <v>13685045</v>
      </c>
      <c r="O135" s="46">
        <f t="shared" si="16"/>
        <v>11.75262039203899</v>
      </c>
      <c r="P135" s="9"/>
    </row>
    <row r="136" spans="1:16">
      <c r="A136" s="11"/>
      <c r="B136" s="24">
        <v>363.27</v>
      </c>
      <c r="C136" s="19" t="s">
        <v>194</v>
      </c>
      <c r="D136" s="45">
        <v>0</v>
      </c>
      <c r="E136" s="45">
        <v>2839394</v>
      </c>
      <c r="F136" s="45">
        <v>0</v>
      </c>
      <c r="G136" s="45">
        <v>0</v>
      </c>
      <c r="H136" s="45">
        <v>0</v>
      </c>
      <c r="I136" s="45">
        <v>0</v>
      </c>
      <c r="J136" s="45">
        <v>0</v>
      </c>
      <c r="K136" s="45">
        <v>0</v>
      </c>
      <c r="L136" s="45">
        <v>0</v>
      </c>
      <c r="M136" s="45">
        <v>0</v>
      </c>
      <c r="N136" s="45">
        <f t="shared" si="15"/>
        <v>2839394</v>
      </c>
      <c r="O136" s="46">
        <f t="shared" si="16"/>
        <v>2.4384515962814266</v>
      </c>
      <c r="P136" s="9"/>
    </row>
    <row r="137" spans="1:16">
      <c r="A137" s="11"/>
      <c r="B137" s="24">
        <v>364</v>
      </c>
      <c r="C137" s="19" t="s">
        <v>237</v>
      </c>
      <c r="D137" s="45">
        <v>5998972</v>
      </c>
      <c r="E137" s="45">
        <v>9060244</v>
      </c>
      <c r="F137" s="45">
        <v>0</v>
      </c>
      <c r="G137" s="45">
        <v>0</v>
      </c>
      <c r="H137" s="45">
        <v>0</v>
      </c>
      <c r="I137" s="45">
        <v>1428000</v>
      </c>
      <c r="J137" s="45">
        <v>1298000</v>
      </c>
      <c r="K137" s="45">
        <v>0</v>
      </c>
      <c r="L137" s="45">
        <v>0</v>
      </c>
      <c r="M137" s="45">
        <v>0</v>
      </c>
      <c r="N137" s="45">
        <f t="shared" si="15"/>
        <v>17785216</v>
      </c>
      <c r="O137" s="46">
        <f t="shared" si="16"/>
        <v>15.273818408227237</v>
      </c>
      <c r="P137" s="9"/>
    </row>
    <row r="138" spans="1:16">
      <c r="A138" s="11"/>
      <c r="B138" s="24">
        <v>365</v>
      </c>
      <c r="C138" s="19" t="s">
        <v>238</v>
      </c>
      <c r="D138" s="45">
        <v>8107</v>
      </c>
      <c r="E138" s="45">
        <v>7152</v>
      </c>
      <c r="F138" s="45">
        <v>0</v>
      </c>
      <c r="G138" s="45">
        <v>0</v>
      </c>
      <c r="H138" s="45">
        <v>0</v>
      </c>
      <c r="I138" s="45">
        <v>0</v>
      </c>
      <c r="J138" s="45">
        <v>0</v>
      </c>
      <c r="K138" s="45">
        <v>0</v>
      </c>
      <c r="L138" s="45">
        <v>0</v>
      </c>
      <c r="M138" s="45">
        <v>0</v>
      </c>
      <c r="N138" s="45">
        <f t="shared" si="15"/>
        <v>15259</v>
      </c>
      <c r="O138" s="46">
        <f t="shared" si="16"/>
        <v>1.3104321875603838E-2</v>
      </c>
      <c r="P138" s="9"/>
    </row>
    <row r="139" spans="1:16">
      <c r="A139" s="11"/>
      <c r="B139" s="24">
        <v>366</v>
      </c>
      <c r="C139" s="19" t="s">
        <v>148</v>
      </c>
      <c r="D139" s="45">
        <v>271429</v>
      </c>
      <c r="E139" s="45">
        <v>6282344</v>
      </c>
      <c r="F139" s="45">
        <v>0</v>
      </c>
      <c r="G139" s="45">
        <v>0</v>
      </c>
      <c r="H139" s="45">
        <v>0</v>
      </c>
      <c r="I139" s="45">
        <v>0</v>
      </c>
      <c r="J139" s="45">
        <v>0</v>
      </c>
      <c r="K139" s="45">
        <v>0</v>
      </c>
      <c r="L139" s="45">
        <v>0</v>
      </c>
      <c r="M139" s="45">
        <v>0</v>
      </c>
      <c r="N139" s="45">
        <f t="shared" si="15"/>
        <v>6553773</v>
      </c>
      <c r="O139" s="46">
        <f t="shared" si="16"/>
        <v>5.6283341563432598</v>
      </c>
      <c r="P139" s="9"/>
    </row>
    <row r="140" spans="1:16">
      <c r="A140" s="11"/>
      <c r="B140" s="24">
        <v>367</v>
      </c>
      <c r="C140" s="19" t="s">
        <v>278</v>
      </c>
      <c r="D140" s="45">
        <v>-141613</v>
      </c>
      <c r="E140" s="45">
        <v>-203895</v>
      </c>
      <c r="F140" s="45">
        <v>0</v>
      </c>
      <c r="G140" s="45">
        <v>0</v>
      </c>
      <c r="H140" s="45">
        <v>0</v>
      </c>
      <c r="I140" s="45">
        <v>0</v>
      </c>
      <c r="J140" s="45">
        <v>0</v>
      </c>
      <c r="K140" s="45">
        <v>0</v>
      </c>
      <c r="L140" s="45">
        <v>0</v>
      </c>
      <c r="M140" s="45">
        <v>0</v>
      </c>
      <c r="N140" s="45">
        <f t="shared" si="15"/>
        <v>-345508</v>
      </c>
      <c r="O140" s="46">
        <f t="shared" si="16"/>
        <v>-0.29671984026450826</v>
      </c>
      <c r="P140" s="9"/>
    </row>
    <row r="141" spans="1:16">
      <c r="A141" s="11"/>
      <c r="B141" s="24">
        <v>369.3</v>
      </c>
      <c r="C141" s="19" t="s">
        <v>150</v>
      </c>
      <c r="D141" s="45">
        <v>247227</v>
      </c>
      <c r="E141" s="45">
        <v>1943756</v>
      </c>
      <c r="F141" s="45">
        <v>0</v>
      </c>
      <c r="G141" s="45">
        <v>0</v>
      </c>
      <c r="H141" s="45">
        <v>0</v>
      </c>
      <c r="I141" s="45">
        <v>0</v>
      </c>
      <c r="J141" s="45">
        <v>0</v>
      </c>
      <c r="K141" s="45">
        <v>0</v>
      </c>
      <c r="L141" s="45">
        <v>0</v>
      </c>
      <c r="M141" s="45">
        <v>0</v>
      </c>
      <c r="N141" s="45">
        <f t="shared" si="15"/>
        <v>2190983</v>
      </c>
      <c r="O141" s="46">
        <f t="shared" si="16"/>
        <v>1.8816007900895291</v>
      </c>
      <c r="P141" s="9"/>
    </row>
    <row r="142" spans="1:16">
      <c r="A142" s="11"/>
      <c r="B142" s="24">
        <v>369.9</v>
      </c>
      <c r="C142" s="19" t="s">
        <v>151</v>
      </c>
      <c r="D142" s="45">
        <v>1757631</v>
      </c>
      <c r="E142" s="45">
        <v>12263767</v>
      </c>
      <c r="F142" s="45">
        <v>0</v>
      </c>
      <c r="G142" s="45">
        <v>0</v>
      </c>
      <c r="H142" s="45">
        <v>0</v>
      </c>
      <c r="I142" s="45">
        <v>0</v>
      </c>
      <c r="J142" s="45">
        <v>0</v>
      </c>
      <c r="K142" s="45">
        <v>0</v>
      </c>
      <c r="L142" s="45">
        <v>0</v>
      </c>
      <c r="M142" s="45">
        <v>82000</v>
      </c>
      <c r="N142" s="45">
        <f t="shared" si="15"/>
        <v>14103398</v>
      </c>
      <c r="O142" s="46">
        <f t="shared" si="16"/>
        <v>12.111899005947141</v>
      </c>
      <c r="P142" s="9"/>
    </row>
    <row r="143" spans="1:16" ht="15.75">
      <c r="A143" s="28" t="s">
        <v>77</v>
      </c>
      <c r="B143" s="29"/>
      <c r="C143" s="30"/>
      <c r="D143" s="31">
        <f t="shared" ref="D143:M143" si="17">SUM(D144:D150)</f>
        <v>141441749</v>
      </c>
      <c r="E143" s="31">
        <f t="shared" si="17"/>
        <v>918420688</v>
      </c>
      <c r="F143" s="31">
        <f t="shared" si="17"/>
        <v>0</v>
      </c>
      <c r="G143" s="31">
        <f t="shared" si="17"/>
        <v>0</v>
      </c>
      <c r="H143" s="31">
        <f t="shared" si="17"/>
        <v>0</v>
      </c>
      <c r="I143" s="31">
        <f t="shared" si="17"/>
        <v>91990000</v>
      </c>
      <c r="J143" s="31">
        <f t="shared" si="17"/>
        <v>13736000</v>
      </c>
      <c r="K143" s="31">
        <f t="shared" si="17"/>
        <v>0</v>
      </c>
      <c r="L143" s="31">
        <f t="shared" si="17"/>
        <v>0</v>
      </c>
      <c r="M143" s="31">
        <f t="shared" si="17"/>
        <v>4967000</v>
      </c>
      <c r="N143" s="31">
        <f>SUM(D143:M143)</f>
        <v>1170555437</v>
      </c>
      <c r="O143" s="44">
        <f t="shared" si="16"/>
        <v>1005.2647761770831</v>
      </c>
      <c r="P143" s="9"/>
    </row>
    <row r="144" spans="1:16">
      <c r="A144" s="11"/>
      <c r="B144" s="24">
        <v>381</v>
      </c>
      <c r="C144" s="19" t="s">
        <v>152</v>
      </c>
      <c r="D144" s="45">
        <v>141441749</v>
      </c>
      <c r="E144" s="45">
        <v>784487134</v>
      </c>
      <c r="F144" s="45">
        <v>0</v>
      </c>
      <c r="G144" s="45">
        <v>0</v>
      </c>
      <c r="H144" s="45">
        <v>0</v>
      </c>
      <c r="I144" s="45">
        <v>50000</v>
      </c>
      <c r="J144" s="45">
        <v>7248000</v>
      </c>
      <c r="K144" s="45">
        <v>0</v>
      </c>
      <c r="L144" s="45">
        <v>0</v>
      </c>
      <c r="M144" s="45">
        <v>0</v>
      </c>
      <c r="N144" s="45">
        <f>SUM(D144:M144)</f>
        <v>933226883</v>
      </c>
      <c r="O144" s="46">
        <f t="shared" si="16"/>
        <v>801.44868325568416</v>
      </c>
      <c r="P144" s="9"/>
    </row>
    <row r="145" spans="1:119">
      <c r="A145" s="11"/>
      <c r="B145" s="24">
        <v>384</v>
      </c>
      <c r="C145" s="19" t="s">
        <v>153</v>
      </c>
      <c r="D145" s="45">
        <v>0</v>
      </c>
      <c r="E145" s="45">
        <v>33755000</v>
      </c>
      <c r="F145" s="45">
        <v>0</v>
      </c>
      <c r="G145" s="45">
        <v>0</v>
      </c>
      <c r="H145" s="45">
        <v>0</v>
      </c>
      <c r="I145" s="45">
        <v>0</v>
      </c>
      <c r="J145" s="45">
        <v>0</v>
      </c>
      <c r="K145" s="45">
        <v>0</v>
      </c>
      <c r="L145" s="45">
        <v>0</v>
      </c>
      <c r="M145" s="45">
        <v>0</v>
      </c>
      <c r="N145" s="45">
        <f t="shared" ref="N145:N150" si="18">SUM(D145:M145)</f>
        <v>33755000</v>
      </c>
      <c r="O145" s="46">
        <f t="shared" si="16"/>
        <v>28.988556583721579</v>
      </c>
      <c r="P145" s="9"/>
    </row>
    <row r="146" spans="1:119">
      <c r="A146" s="11"/>
      <c r="B146" s="24">
        <v>385</v>
      </c>
      <c r="C146" s="19" t="s">
        <v>195</v>
      </c>
      <c r="D146" s="45">
        <v>0</v>
      </c>
      <c r="E146" s="45">
        <v>100178554</v>
      </c>
      <c r="F146" s="45">
        <v>0</v>
      </c>
      <c r="G146" s="45">
        <v>0</v>
      </c>
      <c r="H146" s="45">
        <v>0</v>
      </c>
      <c r="I146" s="45">
        <v>0</v>
      </c>
      <c r="J146" s="45">
        <v>0</v>
      </c>
      <c r="K146" s="45">
        <v>0</v>
      </c>
      <c r="L146" s="45">
        <v>0</v>
      </c>
      <c r="M146" s="45">
        <v>0</v>
      </c>
      <c r="N146" s="45">
        <f t="shared" si="18"/>
        <v>100178554</v>
      </c>
      <c r="O146" s="46">
        <f t="shared" si="16"/>
        <v>86.03263756789832</v>
      </c>
      <c r="P146" s="9"/>
    </row>
    <row r="147" spans="1:119">
      <c r="A147" s="11"/>
      <c r="B147" s="24">
        <v>389.1</v>
      </c>
      <c r="C147" s="19" t="s">
        <v>239</v>
      </c>
      <c r="D147" s="45">
        <v>0</v>
      </c>
      <c r="E147" s="45">
        <v>0</v>
      </c>
      <c r="F147" s="45">
        <v>0</v>
      </c>
      <c r="G147" s="45">
        <v>0</v>
      </c>
      <c r="H147" s="45">
        <v>0</v>
      </c>
      <c r="I147" s="45">
        <v>29791000</v>
      </c>
      <c r="J147" s="45">
        <v>6425000</v>
      </c>
      <c r="K147" s="45">
        <v>0</v>
      </c>
      <c r="L147" s="45">
        <v>0</v>
      </c>
      <c r="M147" s="45">
        <v>0</v>
      </c>
      <c r="N147" s="45">
        <f t="shared" si="18"/>
        <v>36216000</v>
      </c>
      <c r="O147" s="46">
        <f t="shared" si="16"/>
        <v>31.102046074242651</v>
      </c>
      <c r="P147" s="9"/>
    </row>
    <row r="148" spans="1:119">
      <c r="A148" s="11"/>
      <c r="B148" s="24">
        <v>389.2</v>
      </c>
      <c r="C148" s="19" t="s">
        <v>271</v>
      </c>
      <c r="D148" s="45">
        <v>0</v>
      </c>
      <c r="E148" s="45">
        <v>0</v>
      </c>
      <c r="F148" s="45">
        <v>0</v>
      </c>
      <c r="G148" s="45">
        <v>0</v>
      </c>
      <c r="H148" s="45">
        <v>0</v>
      </c>
      <c r="I148" s="45">
        <v>58141000</v>
      </c>
      <c r="J148" s="45">
        <v>0</v>
      </c>
      <c r="K148" s="45">
        <v>0</v>
      </c>
      <c r="L148" s="45">
        <v>0</v>
      </c>
      <c r="M148" s="45">
        <v>0</v>
      </c>
      <c r="N148" s="45">
        <f t="shared" si="18"/>
        <v>58141000</v>
      </c>
      <c r="O148" s="46">
        <f t="shared" si="16"/>
        <v>49.931081864439527</v>
      </c>
      <c r="P148" s="9"/>
    </row>
    <row r="149" spans="1:119" ht="15.75" thickBot="1">
      <c r="A149" s="11"/>
      <c r="B149" s="24">
        <v>389.4</v>
      </c>
      <c r="C149" s="19" t="s">
        <v>240</v>
      </c>
      <c r="D149" s="45">
        <v>0</v>
      </c>
      <c r="E149" s="45">
        <v>0</v>
      </c>
      <c r="F149" s="45">
        <v>0</v>
      </c>
      <c r="G149" s="45">
        <v>0</v>
      </c>
      <c r="H149" s="45">
        <v>0</v>
      </c>
      <c r="I149" s="45">
        <v>0</v>
      </c>
      <c r="J149" s="45">
        <v>0</v>
      </c>
      <c r="K149" s="45">
        <v>0</v>
      </c>
      <c r="L149" s="45">
        <v>0</v>
      </c>
      <c r="M149" s="45">
        <v>4967000</v>
      </c>
      <c r="N149" s="45">
        <f t="shared" si="18"/>
        <v>4967000</v>
      </c>
      <c r="O149" s="46">
        <f t="shared" si="16"/>
        <v>4.2656246645339975</v>
      </c>
      <c r="P149" s="9"/>
    </row>
    <row r="150" spans="1:119" ht="15.75" thickBot="1">
      <c r="A150" s="11"/>
      <c r="B150" s="24">
        <v>389.9</v>
      </c>
      <c r="C150" s="19" t="s">
        <v>241</v>
      </c>
      <c r="D150" s="45">
        <v>0</v>
      </c>
      <c r="E150" s="45">
        <v>0</v>
      </c>
      <c r="F150" s="45">
        <v>0</v>
      </c>
      <c r="G150" s="45">
        <v>0</v>
      </c>
      <c r="H150" s="45">
        <v>0</v>
      </c>
      <c r="I150" s="45">
        <v>4008000</v>
      </c>
      <c r="J150" s="45">
        <v>63000</v>
      </c>
      <c r="K150" s="45">
        <v>0</v>
      </c>
      <c r="L150" s="45">
        <v>0</v>
      </c>
      <c r="M150" s="45">
        <v>0</v>
      </c>
      <c r="N150" s="45">
        <f t="shared" si="18"/>
        <v>4071000</v>
      </c>
      <c r="O150" s="46">
        <f t="shared" si="16"/>
        <v>3.4961461665628959</v>
      </c>
      <c r="P150" s="9"/>
    </row>
    <row r="151" spans="1:119" ht="16.5" thickBot="1">
      <c r="A151" s="13" t="s">
        <v>114</v>
      </c>
      <c r="B151" s="22"/>
      <c r="C151" s="21"/>
      <c r="D151" s="14">
        <f t="shared" ref="D151:M151" si="19">SUM(D5,D14,D18,D60,D116,D125,D143)</f>
        <v>917609101</v>
      </c>
      <c r="E151" s="14">
        <f t="shared" si="19"/>
        <v>1693046994</v>
      </c>
      <c r="F151" s="14">
        <f t="shared" si="19"/>
        <v>0</v>
      </c>
      <c r="G151" s="14">
        <f t="shared" si="19"/>
        <v>0</v>
      </c>
      <c r="H151" s="14">
        <f t="shared" si="19"/>
        <v>0</v>
      </c>
      <c r="I151" s="14">
        <f t="shared" si="19"/>
        <v>363189000</v>
      </c>
      <c r="J151" s="14">
        <f t="shared" si="19"/>
        <v>141290000</v>
      </c>
      <c r="K151" s="14">
        <f t="shared" si="19"/>
        <v>0</v>
      </c>
      <c r="L151" s="14">
        <f t="shared" si="19"/>
        <v>0</v>
      </c>
      <c r="M151" s="14">
        <f t="shared" si="19"/>
        <v>9309000</v>
      </c>
      <c r="N151" s="14">
        <f>SUM(D151:M151)</f>
        <v>3124444095</v>
      </c>
      <c r="O151" s="37">
        <f t="shared" si="16"/>
        <v>2683.2506129634799</v>
      </c>
      <c r="P151" s="6"/>
      <c r="Q151" s="2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</row>
    <row r="152" spans="1:119">
      <c r="A152" s="15"/>
      <c r="B152" s="17"/>
      <c r="C152" s="17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8"/>
    </row>
    <row r="153" spans="1:119">
      <c r="A153" s="39"/>
      <c r="B153" s="40"/>
      <c r="C153" s="40"/>
      <c r="D153" s="41"/>
      <c r="E153" s="41"/>
      <c r="F153" s="41"/>
      <c r="G153" s="41"/>
      <c r="H153" s="41"/>
      <c r="I153" s="41"/>
      <c r="J153" s="41"/>
      <c r="K153" s="41"/>
      <c r="L153" s="48" t="s">
        <v>279</v>
      </c>
      <c r="M153" s="48"/>
      <c r="N153" s="48"/>
      <c r="O153" s="42">
        <v>1164425</v>
      </c>
    </row>
    <row r="154" spans="1:119">
      <c r="A154" s="49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1"/>
    </row>
    <row r="155" spans="1:119" ht="15.75" customHeight="1" thickBot="1">
      <c r="A155" s="52" t="s">
        <v>178</v>
      </c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4"/>
    </row>
  </sheetData>
  <mergeCells count="10">
    <mergeCell ref="L153:N153"/>
    <mergeCell ref="A154:O154"/>
    <mergeCell ref="A155:O155"/>
    <mergeCell ref="A1:O1"/>
    <mergeCell ref="A2:O2"/>
    <mergeCell ref="A3:C4"/>
    <mergeCell ref="D3:H3"/>
    <mergeCell ref="I3:J3"/>
    <mergeCell ref="K3:L3"/>
    <mergeCell ref="O3:O4"/>
  </mergeCells>
  <printOptions horizontalCentered="1"/>
  <pageMargins left="0.5" right="0.5" top="0.5" bottom="0.5" header="0.3" footer="0.3"/>
  <pageSetup paperSize="5" scale="55" fitToHeight="0" orientation="landscape" r:id="rId1"/>
  <headerFooter>
    <oddFooter>&amp;L&amp;14Office of Economic and Demographic Research&amp;R&amp;14Page &amp;P of &amp;N</oddFooter>
  </headerFooter>
</worksheet>
</file>

<file path=docMetadata/LabelInfo.xml><?xml version="1.0" encoding="utf-8"?>
<clbl:labelList xmlns:clbl="http://schemas.microsoft.com/office/2020/mipLabelMetadata">
  <clbl:label id="{0505bbe3-9726-451b-8f6f-c7a729eae470}" enabled="0" method="" siteId="{0505bbe3-9726-451b-8f6f-c7a729eae47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40</vt:i4>
      </vt:variant>
    </vt:vector>
  </HeadingPairs>
  <TitlesOfParts>
    <vt:vector size="60" baseType="lpstr"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'2006'!Print_Area</vt:lpstr>
      <vt:lpstr>'2007'!Print_Area</vt:lpstr>
      <vt:lpstr>'2008'!Print_Area</vt:lpstr>
      <vt:lpstr>'2009'!Print_Area</vt:lpstr>
      <vt:lpstr>'2010'!Print_Area</vt:lpstr>
      <vt:lpstr>'2011'!Print_Area</vt:lpstr>
      <vt:lpstr>'2012'!Print_Area</vt:lpstr>
      <vt:lpstr>'2013'!Print_Area</vt:lpstr>
      <vt:lpstr>'2014'!Print_Area</vt:lpstr>
      <vt:lpstr>'2015'!Print_Area</vt:lpstr>
      <vt:lpstr>'2016'!Print_Area</vt:lpstr>
      <vt:lpstr>'2017'!Print_Area</vt:lpstr>
      <vt:lpstr>'2018'!Print_Area</vt:lpstr>
      <vt:lpstr>'2019'!Print_Area</vt:lpstr>
      <vt:lpstr>'2020'!Print_Area</vt:lpstr>
      <vt:lpstr>'2021'!Print_Area</vt:lpstr>
      <vt:lpstr>'2022'!Print_Area</vt:lpstr>
      <vt:lpstr>'2023'!Print_Area</vt:lpstr>
      <vt:lpstr>'2024'!Print_Area</vt:lpstr>
      <vt:lpstr>'2025'!Print_Area</vt:lpstr>
      <vt:lpstr>'2006'!Print_Titles</vt:lpstr>
      <vt:lpstr>'2007'!Print_Titles</vt:lpstr>
      <vt:lpstr>'2008'!Print_Titles</vt:lpstr>
      <vt:lpstr>'2009'!Print_Titles</vt:lpstr>
      <vt:lpstr>'2010'!Print_Titles</vt:lpstr>
      <vt:lpstr>'2011'!Print_Titles</vt:lpstr>
      <vt:lpstr>'2012'!Print_Titles</vt:lpstr>
      <vt:lpstr>'2013'!Print_Titles</vt:lpstr>
      <vt:lpstr>'2014'!Print_Titles</vt:lpstr>
      <vt:lpstr>'2015'!Print_Titles</vt:lpstr>
      <vt:lpstr>'2016'!Print_Titles</vt:lpstr>
      <vt:lpstr>'2017'!Print_Titles</vt:lpstr>
      <vt:lpstr>'2018'!Print_Titles</vt:lpstr>
      <vt:lpstr>'2019'!Print_Titles</vt:lpstr>
      <vt:lpstr>'2020'!Print_Titles</vt:lpstr>
      <vt:lpstr>'2021'!Print_Titles</vt:lpstr>
      <vt:lpstr>'2022'!Print_Titles</vt:lpstr>
      <vt:lpstr>'2023'!Print_Titles</vt:lpstr>
      <vt:lpstr>'2024'!Print_Titles</vt:lpstr>
      <vt:lpstr>'2025'!Print_Titles</vt:lpstr>
    </vt:vector>
  </TitlesOfParts>
  <Company>Florida Legislature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Florida Legislature</dc:creator>
  <cp:lastModifiedBy>O'Cain, Steve</cp:lastModifiedBy>
  <cp:lastPrinted>2026-09-24T21:16:13Z</cp:lastPrinted>
  <dcterms:created xsi:type="dcterms:W3CDTF">2000-08-31T21:26:31Z</dcterms:created>
  <dcterms:modified xsi:type="dcterms:W3CDTF">2026-09-24T21:16:20Z</dcterms:modified>
</cp:coreProperties>
</file>